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ONAL\Downloads\"/>
    </mc:Choice>
  </mc:AlternateContent>
  <xr:revisionPtr revIDLastSave="0" documentId="8_{C844E972-1DB2-427E-9CEB-9B64A60B0DA0}" xr6:coauthVersionLast="47" xr6:coauthVersionMax="47" xr10:uidLastSave="{00000000-0000-0000-0000-000000000000}"/>
  <bookViews>
    <workbookView xWindow="-108" yWindow="-108" windowWidth="23256" windowHeight="12456" firstSheet="1" activeTab="1" xr2:uid="{00000000-000D-0000-FFFF-FFFF00000000}"/>
  </bookViews>
  <sheets>
    <sheet name="Raw_Data" sheetId="1" r:id="rId1"/>
    <sheet name="cleaned" sheetId="2" r:id="rId2"/>
    <sheet name="summary" sheetId="10" r:id="rId3"/>
    <sheet name="DASHBOARD" sheetId="7" r:id="rId4"/>
    <sheet name="pivot table" sheetId="13" r:id="rId5"/>
    <sheet name="pivot_dashboard" sheetId="15" r:id="rId6"/>
    <sheet name="VLOOKUP_Analysis" sheetId="16" r:id="rId7"/>
    <sheet name="What_If_Analysis" sheetId="17" r:id="rId8"/>
  </sheets>
  <externalReferences>
    <externalReference r:id="rId9"/>
  </externalReferences>
  <definedNames>
    <definedName name="Slicer_Month">#N/A</definedName>
    <definedName name="Slicer_Region">#N/A</definedName>
    <definedName name="Slicer_Team">#N/A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7" l="1"/>
  <c r="B6" i="17" s="1"/>
  <c r="B8" i="17" s="1"/>
  <c r="B21" i="16"/>
  <c r="B20" i="16"/>
  <c r="B19" i="16"/>
  <c r="B18" i="16"/>
  <c r="B17" i="16"/>
  <c r="B16" i="16"/>
  <c r="B15" i="16"/>
  <c r="B14" i="16"/>
  <c r="B13" i="16"/>
  <c r="B12" i="16"/>
  <c r="B11" i="16"/>
  <c r="B10" i="16"/>
  <c r="B9" i="16"/>
  <c r="B8" i="16"/>
  <c r="I20" i="10"/>
  <c r="I21" i="10"/>
  <c r="I22" i="10"/>
  <c r="I23" i="10"/>
  <c r="I19" i="10"/>
  <c r="F8" i="10"/>
  <c r="A9" i="15"/>
  <c r="C9" i="15"/>
  <c r="E9" i="15" s="1"/>
  <c r="G9" i="15"/>
  <c r="F3" i="10"/>
  <c r="I3" i="10"/>
  <c r="B4" i="10"/>
  <c r="F4" i="10"/>
  <c r="I4" i="10"/>
  <c r="B5" i="10"/>
  <c r="F5" i="10"/>
  <c r="I5" i="10"/>
  <c r="B6" i="10"/>
  <c r="F6" i="10"/>
  <c r="I6" i="10"/>
  <c r="I4" i="7" s="1"/>
  <c r="B7" i="10"/>
  <c r="I7" i="10"/>
  <c r="B8" i="10"/>
  <c r="I8" i="10"/>
  <c r="B9" i="10"/>
  <c r="L9" i="10"/>
  <c r="B10" i="10"/>
  <c r="L10" i="10"/>
  <c r="B11" i="10"/>
  <c r="L11" i="10"/>
  <c r="B12" i="10"/>
  <c r="L12" i="10"/>
  <c r="B13" i="10"/>
  <c r="B14" i="10"/>
  <c r="B15" i="10"/>
  <c r="B16" i="10"/>
  <c r="B17" i="10"/>
  <c r="M17" i="10"/>
  <c r="B18" i="10"/>
  <c r="M18" i="10"/>
  <c r="B19" i="10"/>
  <c r="M19" i="10"/>
  <c r="B20" i="10"/>
  <c r="M20" i="10"/>
  <c r="M21" i="10"/>
  <c r="M22" i="10"/>
  <c r="I31" i="10"/>
  <c r="J31" i="10"/>
  <c r="K31" i="10"/>
  <c r="L31" i="10"/>
  <c r="I32" i="10"/>
  <c r="J32" i="10"/>
  <c r="K32" i="10"/>
  <c r="L32" i="10"/>
  <c r="A33" i="10"/>
  <c r="B33" i="10" s="1"/>
  <c r="I33" i="10"/>
  <c r="J33" i="10"/>
  <c r="K33" i="10"/>
  <c r="L33" i="10"/>
  <c r="A34" i="10"/>
  <c r="B34" i="10" s="1"/>
  <c r="I34" i="10"/>
  <c r="J34" i="10"/>
  <c r="K34" i="10"/>
  <c r="L34" i="10"/>
  <c r="A35" i="10"/>
  <c r="B35" i="10" s="1"/>
  <c r="I35" i="10"/>
  <c r="J35" i="10"/>
  <c r="K35" i="10"/>
  <c r="L35" i="10"/>
  <c r="A36" i="10"/>
  <c r="B36" i="10" s="1"/>
  <c r="I36" i="10"/>
  <c r="J36" i="10"/>
  <c r="K36" i="10"/>
  <c r="L36" i="10"/>
  <c r="A37" i="10"/>
  <c r="B37" i="10" s="1"/>
  <c r="I37" i="10"/>
  <c r="J37" i="10"/>
  <c r="K37" i="10"/>
  <c r="L37" i="10"/>
  <c r="A38" i="10"/>
  <c r="B38" i="10" s="1"/>
  <c r="I38" i="10"/>
  <c r="J38" i="10"/>
  <c r="K38" i="10"/>
  <c r="L38" i="10"/>
  <c r="A39" i="10"/>
  <c r="B39" i="10" s="1"/>
  <c r="A40" i="10"/>
  <c r="B40" i="10" s="1"/>
  <c r="A52" i="10" a="1"/>
  <c r="G4" i="7"/>
  <c r="A4" i="7"/>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R5" i="2"/>
  <c r="R2" i="2"/>
  <c r="R3" i="2"/>
  <c r="R4"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F7" i="10" l="1"/>
  <c r="C4" i="7" s="1"/>
  <c r="F22" i="10"/>
  <c r="F19" i="10"/>
  <c r="F23" i="10"/>
  <c r="F27" i="10"/>
  <c r="F16" i="10"/>
  <c r="F21" i="10"/>
  <c r="F26" i="10"/>
  <c r="F17" i="10"/>
  <c r="F20" i="10"/>
  <c r="F24" i="10"/>
  <c r="F18" i="10"/>
  <c r="F25" i="10"/>
  <c r="E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<sst xmlns="http://schemas.openxmlformats.org/spreadsheetml/2006/main" count="32576" uniqueCount="2796">
  <si>
    <t>Record_ID</t>
  </si>
  <si>
    <t>Date</t>
  </si>
  <si>
    <t>Team</t>
  </si>
  <si>
    <t>Owner</t>
  </si>
  <si>
    <t>Region</t>
  </si>
  <si>
    <t>Customer</t>
  </si>
  <si>
    <t>Product</t>
  </si>
  <si>
    <t>Lead_Source</t>
  </si>
  <si>
    <t>Sales_Stage</t>
  </si>
  <si>
    <t>Deals</t>
  </si>
  <si>
    <t>Deal_Value_INR</t>
  </si>
  <si>
    <t>Revenue_INR</t>
  </si>
  <si>
    <t>Tickets</t>
  </si>
  <si>
    <t>First_Response_Hours</t>
  </si>
  <si>
    <t>Resolution_Hours</t>
  </si>
  <si>
    <t>CSAT</t>
  </si>
  <si>
    <t>Status</t>
  </si>
  <si>
    <t>INT-00001</t>
  </si>
  <si>
    <t>Sales</t>
  </si>
  <si>
    <t>Ishita</t>
  </si>
  <si>
    <t>India</t>
  </si>
  <si>
    <t>Customer 220</t>
  </si>
  <si>
    <t>CRM</t>
  </si>
  <si>
    <t>Inbound</t>
  </si>
  <si>
    <t>Won</t>
  </si>
  <si>
    <t>INT-00002</t>
  </si>
  <si>
    <t>Support</t>
  </si>
  <si>
    <t>Sneha</t>
  </si>
  <si>
    <t>USA</t>
  </si>
  <si>
    <t>Customer 619</t>
  </si>
  <si>
    <t>WhatsApp API</t>
  </si>
  <si>
    <t>Closed</t>
  </si>
  <si>
    <t>INT-00003</t>
  </si>
  <si>
    <t>Pooja</t>
  </si>
  <si>
    <t>Customer 672</t>
  </si>
  <si>
    <t>INT-00004</t>
  </si>
  <si>
    <t>Karan</t>
  </si>
  <si>
    <t>UK</t>
  </si>
  <si>
    <t>Customer 314</t>
  </si>
  <si>
    <t>Resolved</t>
  </si>
  <si>
    <t>INT-00005</t>
  </si>
  <si>
    <t>Aarav</t>
  </si>
  <si>
    <t>SEA</t>
  </si>
  <si>
    <t>Customer 445</t>
  </si>
  <si>
    <t>Automation</t>
  </si>
  <si>
    <t>Proposal</t>
  </si>
  <si>
    <t>INT-00006</t>
  </si>
  <si>
    <t>Nisha</t>
  </si>
  <si>
    <t>UAE</t>
  </si>
  <si>
    <t>Customer 593</t>
  </si>
  <si>
    <t>Analytics</t>
  </si>
  <si>
    <t>INT-00007</t>
  </si>
  <si>
    <t>Diya</t>
  </si>
  <si>
    <t>Customer 517</t>
  </si>
  <si>
    <t>Referral</t>
  </si>
  <si>
    <t>Qualified</t>
  </si>
  <si>
    <t>INT-00008</t>
  </si>
  <si>
    <t>Customer 588</t>
  </si>
  <si>
    <t>INT-00009</t>
  </si>
  <si>
    <t>Customer 391</t>
  </si>
  <si>
    <t>INT-00010</t>
  </si>
  <si>
    <t>Customer 628</t>
  </si>
  <si>
    <t>Pending</t>
  </si>
  <si>
    <t>INT-00011</t>
  </si>
  <si>
    <t>Kabir</t>
  </si>
  <si>
    <t>Customer 254</t>
  </si>
  <si>
    <t>Partner</t>
  </si>
  <si>
    <t>Negotiation</t>
  </si>
  <si>
    <t>INT-00012</t>
  </si>
  <si>
    <t>Rahul</t>
  </si>
  <si>
    <t>Customer 307</t>
  </si>
  <si>
    <t>INT-00013</t>
  </si>
  <si>
    <t>Vivek</t>
  </si>
  <si>
    <t>Customer 559</t>
  </si>
  <si>
    <t>INT-00014</t>
  </si>
  <si>
    <t>Customer 259</t>
  </si>
  <si>
    <t>INT-00015</t>
  </si>
  <si>
    <t>Customer 688</t>
  </si>
  <si>
    <t>Outbound</t>
  </si>
  <si>
    <t>Lost</t>
  </si>
  <si>
    <t>INT-00016</t>
  </si>
  <si>
    <t>Customer 533</t>
  </si>
  <si>
    <t>INT-00017</t>
  </si>
  <si>
    <t>Customer 537</t>
  </si>
  <si>
    <t>INT-00018</t>
  </si>
  <si>
    <t>Customer 434</t>
  </si>
  <si>
    <t>Website</t>
  </si>
  <si>
    <t>INT-00019</t>
  </si>
  <si>
    <t>Customer 226</t>
  </si>
  <si>
    <t>Demo Scheduled</t>
  </si>
  <si>
    <t>INT-00020</t>
  </si>
  <si>
    <t>Customer 041</t>
  </si>
  <si>
    <t>INT-00021</t>
  </si>
  <si>
    <t>Customer 620</t>
  </si>
  <si>
    <t>INT-00022</t>
  </si>
  <si>
    <t>Meera</t>
  </si>
  <si>
    <t>Customer 201</t>
  </si>
  <si>
    <t>INT-00023</t>
  </si>
  <si>
    <t>INT-00024</t>
  </si>
  <si>
    <t>Customer 207</t>
  </si>
  <si>
    <t>INT-00025</t>
  </si>
  <si>
    <t>Customer 547</t>
  </si>
  <si>
    <t>INT-00026</t>
  </si>
  <si>
    <t>Customer 614</t>
  </si>
  <si>
    <t>INT-00027</t>
  </si>
  <si>
    <t>Arjun</t>
  </si>
  <si>
    <t>Customer 636</t>
  </si>
  <si>
    <t>INT-00028</t>
  </si>
  <si>
    <t>Customer 673</t>
  </si>
  <si>
    <t>INT-00029</t>
  </si>
  <si>
    <t>Customer 068</t>
  </si>
  <si>
    <t>INT-00030</t>
  </si>
  <si>
    <t>Customer 062</t>
  </si>
  <si>
    <t>INT-00031</t>
  </si>
  <si>
    <t>Aditya</t>
  </si>
  <si>
    <t>Customer 684</t>
  </si>
  <si>
    <t>INT-00032</t>
  </si>
  <si>
    <t>Rohan</t>
  </si>
  <si>
    <t>Customer 232</t>
  </si>
  <si>
    <t>INT-00033</t>
  </si>
  <si>
    <t>Customer 406</t>
  </si>
  <si>
    <t>INT-00034</t>
  </si>
  <si>
    <t>Customer 214</t>
  </si>
  <si>
    <t>INT-00035</t>
  </si>
  <si>
    <t>Customer 093</t>
  </si>
  <si>
    <t>INT-00036</t>
  </si>
  <si>
    <t>Ananya</t>
  </si>
  <si>
    <t>Customer 049</t>
  </si>
  <si>
    <t>INT-00037</t>
  </si>
  <si>
    <t>Customer 318</t>
  </si>
  <si>
    <t>INT-00038</t>
  </si>
  <si>
    <t>Customer 571</t>
  </si>
  <si>
    <t>INT-00039</t>
  </si>
  <si>
    <t>INT-00040</t>
  </si>
  <si>
    <t>Customer 250</t>
  </si>
  <si>
    <t>INT-00041</t>
  </si>
  <si>
    <t>Customer 658</t>
  </si>
  <si>
    <t>INT-00042</t>
  </si>
  <si>
    <t>Customer 378</t>
  </si>
  <si>
    <t>INT-00043</t>
  </si>
  <si>
    <t>Customer 266</t>
  </si>
  <si>
    <t>INT-00044</t>
  </si>
  <si>
    <t>Customer 387</t>
  </si>
  <si>
    <t>INT-00045</t>
  </si>
  <si>
    <t>Customer 357</t>
  </si>
  <si>
    <t>INT-00046</t>
  </si>
  <si>
    <t>Customer 438</t>
  </si>
  <si>
    <t>INT-00047</t>
  </si>
  <si>
    <t>Customer 451</t>
  </si>
  <si>
    <t>INT-00048</t>
  </si>
  <si>
    <t>Customer 380</t>
  </si>
  <si>
    <t>INT-00049</t>
  </si>
  <si>
    <t>INT-00050</t>
  </si>
  <si>
    <t>INT-00051</t>
  </si>
  <si>
    <t>Customer 344</t>
  </si>
  <si>
    <t>INT-00052</t>
  </si>
  <si>
    <t>Customer 262</t>
  </si>
  <si>
    <t>INT-00053</t>
  </si>
  <si>
    <t>Customer 087</t>
  </si>
  <si>
    <t>INT-00054</t>
  </si>
  <si>
    <t>Customer 165</t>
  </si>
  <si>
    <t>INT-00055</t>
  </si>
  <si>
    <t>Customer 109</t>
  </si>
  <si>
    <t>INT-00056</t>
  </si>
  <si>
    <t>Customer 604</t>
  </si>
  <si>
    <t>INT-00057</t>
  </si>
  <si>
    <t>Customer 104</t>
  </si>
  <si>
    <t>INT-00058</t>
  </si>
  <si>
    <t>Customer 064</t>
  </si>
  <si>
    <t>INT-00059</t>
  </si>
  <si>
    <t>Customer 487</t>
  </si>
  <si>
    <t>INT-00060</t>
  </si>
  <si>
    <t>Customer 695</t>
  </si>
  <si>
    <t>INT-00061</t>
  </si>
  <si>
    <t>Customer 499</t>
  </si>
  <si>
    <t>INT-00062</t>
  </si>
  <si>
    <t>Customer 511</t>
  </si>
  <si>
    <t>INT-00063</t>
  </si>
  <si>
    <t>Customer 323</t>
  </si>
  <si>
    <t>INT-00064</t>
  </si>
  <si>
    <t>Customer 683</t>
  </si>
  <si>
    <t>INT-00065</t>
  </si>
  <si>
    <t>Customer 303</t>
  </si>
  <si>
    <t>INT-00066</t>
  </si>
  <si>
    <t>Customer 292</t>
  </si>
  <si>
    <t>INT-00067</t>
  </si>
  <si>
    <t>Customer 265</t>
  </si>
  <si>
    <t>INT-00068</t>
  </si>
  <si>
    <t>Customer 188</t>
  </si>
  <si>
    <t>INT-00069</t>
  </si>
  <si>
    <t>INT-00070</t>
  </si>
  <si>
    <t>Customer 567</t>
  </si>
  <si>
    <t>INT-00071</t>
  </si>
  <si>
    <t>Customer 053</t>
  </si>
  <si>
    <t>INT-00072</t>
  </si>
  <si>
    <t>Customer 566</t>
  </si>
  <si>
    <t>INT-00073</t>
  </si>
  <si>
    <t>Customer 022</t>
  </si>
  <si>
    <t>INT-00074</t>
  </si>
  <si>
    <t>Customer 639</t>
  </si>
  <si>
    <t>INT-00075</t>
  </si>
  <si>
    <t>Customer 390</t>
  </si>
  <si>
    <t>INT-00076</t>
  </si>
  <si>
    <t>Customer 141</t>
  </si>
  <si>
    <t>INT-00077</t>
  </si>
  <si>
    <t>Customer 175</t>
  </si>
  <si>
    <t>INT-00078</t>
  </si>
  <si>
    <t>INT-00079</t>
  </si>
  <si>
    <t>Customer 553</t>
  </si>
  <si>
    <t>INT-00080</t>
  </si>
  <si>
    <t>Customer 100</t>
  </si>
  <si>
    <t>INT-00081</t>
  </si>
  <si>
    <t>Customer 173</t>
  </si>
  <si>
    <t>INT-00082</t>
  </si>
  <si>
    <t>INT-00083</t>
  </si>
  <si>
    <t>INT-00084</t>
  </si>
  <si>
    <t>Customer 536</t>
  </si>
  <si>
    <t>INT-00085</t>
  </si>
  <si>
    <t>Customer 687</t>
  </si>
  <si>
    <t>INT-00086</t>
  </si>
  <si>
    <t>Customer 033</t>
  </si>
  <si>
    <t>INT-00087</t>
  </si>
  <si>
    <t>Customer 647</t>
  </si>
  <si>
    <t>INT-00088</t>
  </si>
  <si>
    <t>Customer 644</t>
  </si>
  <si>
    <t>Escalated</t>
  </si>
  <si>
    <t>INT-00089</t>
  </si>
  <si>
    <t>INT-00090</t>
  </si>
  <si>
    <t>INT-00091</t>
  </si>
  <si>
    <t>INT-00092</t>
  </si>
  <si>
    <t>Customer 700</t>
  </si>
  <si>
    <t>INT-00093</t>
  </si>
  <si>
    <t>Priya</t>
  </si>
  <si>
    <t>Customer 573</t>
  </si>
  <si>
    <t>INT-00094</t>
  </si>
  <si>
    <t>Customer 223</t>
  </si>
  <si>
    <t>INT-00095</t>
  </si>
  <si>
    <t>Customer 333</t>
  </si>
  <si>
    <t>INT-00096</t>
  </si>
  <si>
    <t>Customer 154</t>
  </si>
  <si>
    <t>INT-00097</t>
  </si>
  <si>
    <t>Customer 478</t>
  </si>
  <si>
    <t>INT-00098</t>
  </si>
  <si>
    <t>INT-00099</t>
  </si>
  <si>
    <t>Customer 322</t>
  </si>
  <si>
    <t>INT-00100</t>
  </si>
  <si>
    <t>Customer 010</t>
  </si>
  <si>
    <t>INT-00101</t>
  </si>
  <si>
    <t>Customer 611</t>
  </si>
  <si>
    <t>INT-00102</t>
  </si>
  <si>
    <t>Customer 091</t>
  </si>
  <si>
    <t>INT-00103</t>
  </si>
  <si>
    <t>Customer 193</t>
  </si>
  <si>
    <t>INT-00104</t>
  </si>
  <si>
    <t>Customer 282</t>
  </si>
  <si>
    <t>INT-00105</t>
  </si>
  <si>
    <t>Customer 462</t>
  </si>
  <si>
    <t>INT-00106</t>
  </si>
  <si>
    <t>Customer 558</t>
  </si>
  <si>
    <t>INT-00107</t>
  </si>
  <si>
    <t>Customer 189</t>
  </si>
  <si>
    <t>INT-00108</t>
  </si>
  <si>
    <t>Customer 279</t>
  </si>
  <si>
    <t>INT-00109</t>
  </si>
  <si>
    <t>Customer 615</t>
  </si>
  <si>
    <t>INT-00110</t>
  </si>
  <si>
    <t>Customer 343</t>
  </si>
  <si>
    <t>INT-00111</t>
  </si>
  <si>
    <t>Customer 496</t>
  </si>
  <si>
    <t>INT-00112</t>
  </si>
  <si>
    <t>Customer 202</t>
  </si>
  <si>
    <t>INT-00113</t>
  </si>
  <si>
    <t>Customer 560</t>
  </si>
  <si>
    <t>INT-00114</t>
  </si>
  <si>
    <t>Customer 489</t>
  </si>
  <si>
    <t>INT-00115</t>
  </si>
  <si>
    <t>Customer 313</t>
  </si>
  <si>
    <t>INT-00116</t>
  </si>
  <si>
    <t>Customer 575</t>
  </si>
  <si>
    <t>INT-00117</t>
  </si>
  <si>
    <t>Customer 128</t>
  </si>
  <si>
    <t>INT-00118</t>
  </si>
  <si>
    <t>Customer 168</t>
  </si>
  <si>
    <t>INT-00119</t>
  </si>
  <si>
    <t>Customer 151</t>
  </si>
  <si>
    <t>INT-00120</t>
  </si>
  <si>
    <t>Customer 595</t>
  </si>
  <si>
    <t>INT-00121</t>
  </si>
  <si>
    <t>Customer 283</t>
  </si>
  <si>
    <t>INT-00122</t>
  </si>
  <si>
    <t>Customer 050</t>
  </si>
  <si>
    <t>INT-00123</t>
  </si>
  <si>
    <t>Customer 215</t>
  </si>
  <si>
    <t>INT-00124</t>
  </si>
  <si>
    <t>INT-00125</t>
  </si>
  <si>
    <t>Customer 425</t>
  </si>
  <si>
    <t>INT-00126</t>
  </si>
  <si>
    <t>Customer 166</t>
  </si>
  <si>
    <t>INT-00127</t>
  </si>
  <si>
    <t>Customer 148</t>
  </si>
  <si>
    <t>INT-00128</t>
  </si>
  <si>
    <t>Customer 073</t>
  </si>
  <si>
    <t>INT-00129</t>
  </si>
  <si>
    <t>INT-00130</t>
  </si>
  <si>
    <t>Customer 449</t>
  </si>
  <si>
    <t>INT-00131</t>
  </si>
  <si>
    <t>Customer 237</t>
  </si>
  <si>
    <t>INT-00132</t>
  </si>
  <si>
    <t>Customer 367</t>
  </si>
  <si>
    <t>INT-00133</t>
  </si>
  <si>
    <t>Customer 377</t>
  </si>
  <si>
    <t>INT-00134</t>
  </si>
  <si>
    <t>Customer 366</t>
  </si>
  <si>
    <t>INT-00135</t>
  </si>
  <si>
    <t>Customer 331</t>
  </si>
  <si>
    <t>INT-00136</t>
  </si>
  <si>
    <t>Customer 686</t>
  </si>
  <si>
    <t>INT-00137</t>
  </si>
  <si>
    <t>INT-00138</t>
  </si>
  <si>
    <t>INT-00139</t>
  </si>
  <si>
    <t>Customer 530</t>
  </si>
  <si>
    <t>INT-00140</t>
  </si>
  <si>
    <t>INT-00141</t>
  </si>
  <si>
    <t>Customer 021</t>
  </si>
  <si>
    <t>INT-00142</t>
  </si>
  <si>
    <t>INT-00143</t>
  </si>
  <si>
    <t>Customer 311</t>
  </si>
  <si>
    <t>INT-00144</t>
  </si>
  <si>
    <t>Customer 137</t>
  </si>
  <si>
    <t>INT-00145</t>
  </si>
  <si>
    <t>Customer 471</t>
  </si>
  <si>
    <t>INT-00146</t>
  </si>
  <si>
    <t>Customer 624</t>
  </si>
  <si>
    <t>INT-00147</t>
  </si>
  <si>
    <t>Customer 662</t>
  </si>
  <si>
    <t>INT-00148</t>
  </si>
  <si>
    <t>Customer 540</t>
  </si>
  <si>
    <t>INT-00149</t>
  </si>
  <si>
    <t>INT-00150</t>
  </si>
  <si>
    <t>INT-00151</t>
  </si>
  <si>
    <t>Customer 325</t>
  </si>
  <si>
    <t>INT-00152</t>
  </si>
  <si>
    <t>Customer 251</t>
  </si>
  <si>
    <t>INT-00153</t>
  </si>
  <si>
    <t>Customer 668</t>
  </si>
  <si>
    <t>INT-00154</t>
  </si>
  <si>
    <t>Customer 413</t>
  </si>
  <si>
    <t>INT-00155</t>
  </si>
  <si>
    <t>INT-00156</t>
  </si>
  <si>
    <t>Customer 116</t>
  </si>
  <si>
    <t>INT-00157</t>
  </si>
  <si>
    <t>Customer 574</t>
  </si>
  <si>
    <t>INT-00158</t>
  </si>
  <si>
    <t>Customer 256</t>
  </si>
  <si>
    <t>INT-00159</t>
  </si>
  <si>
    <t>Customer 429</t>
  </si>
  <si>
    <t>INT-00160</t>
  </si>
  <si>
    <t>INT-00161</t>
  </si>
  <si>
    <t>Customer 490</t>
  </si>
  <si>
    <t>INT-00162</t>
  </si>
  <si>
    <t>Customer 040</t>
  </si>
  <si>
    <t>INT-00163</t>
  </si>
  <si>
    <t>Customer 178</t>
  </si>
  <si>
    <t>INT-00164</t>
  </si>
  <si>
    <t>Customer 222</t>
  </si>
  <si>
    <t>INT-00165</t>
  </si>
  <si>
    <t>Customer 586</t>
  </si>
  <si>
    <t>INT-00166</t>
  </si>
  <si>
    <t>Customer 534</t>
  </si>
  <si>
    <t>INT-00167</t>
  </si>
  <si>
    <t>Customer 056</t>
  </si>
  <si>
    <t>INT-00168</t>
  </si>
  <si>
    <t>Customer 264</t>
  </si>
  <si>
    <t>INT-00169</t>
  </si>
  <si>
    <t>Customer 459</t>
  </si>
  <si>
    <t>INT-00170</t>
  </si>
  <si>
    <t>Customer 415</t>
  </si>
  <si>
    <t>INT-00171</t>
  </si>
  <si>
    <t>Customer 125</t>
  </si>
  <si>
    <t>INT-00172</t>
  </si>
  <si>
    <t>Customer 276</t>
  </si>
  <si>
    <t>INT-00173</t>
  </si>
  <si>
    <t>Customer 562</t>
  </si>
  <si>
    <t>INT-00174</t>
  </si>
  <si>
    <t>Customer 155</t>
  </si>
  <si>
    <t>INT-00175</t>
  </si>
  <si>
    <t>Customer 458</t>
  </si>
  <si>
    <t>INT-00176</t>
  </si>
  <si>
    <t>INT-00177</t>
  </si>
  <si>
    <t>Customer 296</t>
  </si>
  <si>
    <t>INT-00178</t>
  </si>
  <si>
    <t>INT-00179</t>
  </si>
  <si>
    <t>INT-00180</t>
  </si>
  <si>
    <t>Customer 088</t>
  </si>
  <si>
    <t>INT-00181</t>
  </si>
  <si>
    <t>INT-00182</t>
  </si>
  <si>
    <t>Customer 071</t>
  </si>
  <si>
    <t>INT-00183</t>
  </si>
  <si>
    <t>Customer 084</t>
  </si>
  <si>
    <t>INT-00184</t>
  </si>
  <si>
    <t>Customer 060</t>
  </si>
  <si>
    <t>INT-00185</t>
  </si>
  <si>
    <t>Customer 338</t>
  </si>
  <si>
    <t>INT-00186</t>
  </si>
  <si>
    <t>Customer 424</t>
  </si>
  <si>
    <t>INT-00187</t>
  </si>
  <si>
    <t>INT-00188</t>
  </si>
  <si>
    <t>Customer 399</t>
  </si>
  <si>
    <t>INT-00189</t>
  </si>
  <si>
    <t>INT-00190</t>
  </si>
  <si>
    <t>Customer 439</t>
  </si>
  <si>
    <t>INT-00191</t>
  </si>
  <si>
    <t>Customer 310</t>
  </si>
  <si>
    <t>INT-00192</t>
  </si>
  <si>
    <t>INT-00193</t>
  </si>
  <si>
    <t>Customer 185</t>
  </si>
  <si>
    <t>INT-00194</t>
  </si>
  <si>
    <t>Customer 308</t>
  </si>
  <si>
    <t>INT-00195</t>
  </si>
  <si>
    <t>Customer 626</t>
  </si>
  <si>
    <t>INT-00196</t>
  </si>
  <si>
    <t>INT-00197</t>
  </si>
  <si>
    <t>Customer 473</t>
  </si>
  <si>
    <t>INT-00198</t>
  </si>
  <si>
    <t>Customer 238</t>
  </si>
  <si>
    <t>INT-00199</t>
  </si>
  <si>
    <t>Customer 479</t>
  </si>
  <si>
    <t>INT-00200</t>
  </si>
  <si>
    <t>Customer 098</t>
  </si>
  <si>
    <t>INT-00201</t>
  </si>
  <si>
    <t>Customer 268</t>
  </si>
  <si>
    <t>INT-00202</t>
  </si>
  <si>
    <t>INT-00203</t>
  </si>
  <si>
    <t>Customer 149</t>
  </si>
  <si>
    <t>INT-00204</t>
  </si>
  <si>
    <t>Customer 028</t>
  </si>
  <si>
    <t>INT-00205</t>
  </si>
  <si>
    <t>INT-00206</t>
  </si>
  <si>
    <t>Customer 210</t>
  </si>
  <si>
    <t>INT-00207</t>
  </si>
  <si>
    <t>Customer 184</t>
  </si>
  <si>
    <t>INT-00208</t>
  </si>
  <si>
    <t>Customer 510</t>
  </si>
  <si>
    <t>INT-00209</t>
  </si>
  <si>
    <t>INT-00210</t>
  </si>
  <si>
    <t>Customer 132</t>
  </si>
  <si>
    <t>INT-00211</t>
  </si>
  <si>
    <t>Customer 433</t>
  </si>
  <si>
    <t>INT-00212</t>
  </si>
  <si>
    <t>Customer 070</t>
  </si>
  <si>
    <t>INT-00213</t>
  </si>
  <si>
    <t>Customer 663</t>
  </si>
  <si>
    <t>INT-00214</t>
  </si>
  <si>
    <t>Customer 549</t>
  </si>
  <si>
    <t>INT-00215</t>
  </si>
  <si>
    <t>INT-00216</t>
  </si>
  <si>
    <t>Customer 457</t>
  </si>
  <si>
    <t>INT-00217</t>
  </si>
  <si>
    <t>Customer 191</t>
  </si>
  <si>
    <t>INT-00218</t>
  </si>
  <si>
    <t>INT-00219</t>
  </si>
  <si>
    <t>Customer 526</t>
  </si>
  <si>
    <t>INT-00220</t>
  </si>
  <si>
    <t>Customer 570</t>
  </si>
  <si>
    <t>INT-00221</t>
  </si>
  <si>
    <t>Customer 146</t>
  </si>
  <si>
    <t>INT-00222</t>
  </si>
  <si>
    <t>Customer 419</t>
  </si>
  <si>
    <t>INT-00223</t>
  </si>
  <si>
    <t>Customer 327</t>
  </si>
  <si>
    <t>INT-00224</t>
  </si>
  <si>
    <t>Customer 187</t>
  </si>
  <si>
    <t>INT-00225</t>
  </si>
  <si>
    <t>Customer 136</t>
  </si>
  <si>
    <t>INT-00226</t>
  </si>
  <si>
    <t>INT-00227</t>
  </si>
  <si>
    <t>Customer 350</t>
  </si>
  <si>
    <t>INT-00228</t>
  </si>
  <si>
    <t>INT-00229</t>
  </si>
  <si>
    <t>Customer 096</t>
  </si>
  <si>
    <t>INT-00230</t>
  </si>
  <si>
    <t>Customer 150</t>
  </si>
  <si>
    <t>INT-00231</t>
  </si>
  <si>
    <t>Customer 083</t>
  </si>
  <si>
    <t>INT-00232</t>
  </si>
  <si>
    <t>Customer 495</t>
  </si>
  <si>
    <t>INT-00233</t>
  </si>
  <si>
    <t>Customer 334</t>
  </si>
  <si>
    <t>INT-00234</t>
  </si>
  <si>
    <t>Customer 054</t>
  </si>
  <si>
    <t>INT-00235</t>
  </si>
  <si>
    <t>Customer 239</t>
  </si>
  <si>
    <t>INT-00236</t>
  </si>
  <si>
    <t>Customer 591</t>
  </si>
  <si>
    <t>INT-00237</t>
  </si>
  <si>
    <t>Customer 017</t>
  </si>
  <si>
    <t>INT-00238</t>
  </si>
  <si>
    <t>INT-00239</t>
  </si>
  <si>
    <t>INT-00240</t>
  </si>
  <si>
    <t>Customer 030</t>
  </si>
  <si>
    <t>INT-00241</t>
  </si>
  <si>
    <t>INT-00242</t>
  </si>
  <si>
    <t>Customer 278</t>
  </si>
  <si>
    <t>INT-00243</t>
  </si>
  <si>
    <t>INT-00244</t>
  </si>
  <si>
    <t>Customer 138</t>
  </si>
  <si>
    <t>INT-00245</t>
  </si>
  <si>
    <t>INT-00246</t>
  </si>
  <si>
    <t>INT-00247</t>
  </si>
  <si>
    <t>INT-00248</t>
  </si>
  <si>
    <t>Customer 316</t>
  </si>
  <si>
    <t>INT-00249</t>
  </si>
  <si>
    <t>Customer 361</t>
  </si>
  <si>
    <t>INT-00250</t>
  </si>
  <si>
    <t>Customer 336</t>
  </si>
  <si>
    <t>INT-00251</t>
  </si>
  <si>
    <t>INT-00252</t>
  </si>
  <si>
    <t>Customer 285</t>
  </si>
  <si>
    <t>INT-00253</t>
  </si>
  <si>
    <t>INT-00254</t>
  </si>
  <si>
    <t>Customer 356</t>
  </si>
  <si>
    <t>INT-00255</t>
  </si>
  <si>
    <t>Customer 452</t>
  </si>
  <si>
    <t>INT-00256</t>
  </si>
  <si>
    <t>Customer 142</t>
  </si>
  <si>
    <t>INT-00257</t>
  </si>
  <si>
    <t>Customer 206</t>
  </si>
  <si>
    <t>INT-00258</t>
  </si>
  <si>
    <t>INT-00259</t>
  </si>
  <si>
    <t>Customer 601</t>
  </si>
  <si>
    <t>INT-00260</t>
  </si>
  <si>
    <t>Customer 532</t>
  </si>
  <si>
    <t>INT-00261</t>
  </si>
  <si>
    <t>INT-00262</t>
  </si>
  <si>
    <t>Customer 102</t>
  </si>
  <si>
    <t>INT-00263</t>
  </si>
  <si>
    <t>Customer 200</t>
  </si>
  <si>
    <t>INT-00264</t>
  </si>
  <si>
    <t>Customer 211</t>
  </si>
  <si>
    <t>INT-00265</t>
  </si>
  <si>
    <t>Customer 275</t>
  </si>
  <si>
    <t>INT-00266</t>
  </si>
  <si>
    <t>Customer 376</t>
  </si>
  <si>
    <t>INT-00267</t>
  </si>
  <si>
    <t>Customer 046</t>
  </si>
  <si>
    <t>INT-00268</t>
  </si>
  <si>
    <t>Customer 480</t>
  </si>
  <si>
    <t>INT-00269</t>
  </si>
  <si>
    <t>INT-00270</t>
  </si>
  <si>
    <t>Customer 273</t>
  </si>
  <si>
    <t>INT-00271</t>
  </si>
  <si>
    <t>Customer 506</t>
  </si>
  <si>
    <t>INT-00272</t>
  </si>
  <si>
    <t>INT-00273</t>
  </si>
  <si>
    <t>Customer 427</t>
  </si>
  <si>
    <t>INT-00274</t>
  </si>
  <si>
    <t>INT-00275</t>
  </si>
  <si>
    <t>INT-00276</t>
  </si>
  <si>
    <t>Customer 542</t>
  </si>
  <si>
    <t>INT-00277</t>
  </si>
  <si>
    <t>Customer 442</t>
  </si>
  <si>
    <t>INT-00278</t>
  </si>
  <si>
    <t>INT-00279</t>
  </si>
  <si>
    <t>Customer 172</t>
  </si>
  <si>
    <t>INT-00280</t>
  </si>
  <si>
    <t>INT-00281</t>
  </si>
  <si>
    <t>Customer 426</t>
  </si>
  <si>
    <t>INT-00282</t>
  </si>
  <si>
    <t>Customer 631</t>
  </si>
  <si>
    <t>INT-00283</t>
  </si>
  <si>
    <t>Customer 443</t>
  </si>
  <si>
    <t>INT-00284</t>
  </si>
  <si>
    <t>Customer 349</t>
  </si>
  <si>
    <t>INT-00285</t>
  </si>
  <si>
    <t>Customer 557</t>
  </si>
  <si>
    <t>INT-00286</t>
  </si>
  <si>
    <t>INT-00287</t>
  </si>
  <si>
    <t>INT-00288</t>
  </si>
  <si>
    <t>INT-00289</t>
  </si>
  <si>
    <t>Customer 468</t>
  </si>
  <si>
    <t>INT-00290</t>
  </si>
  <si>
    <t>Customer 432</t>
  </si>
  <si>
    <t>INT-00291</t>
  </si>
  <si>
    <t>INT-00292</t>
  </si>
  <si>
    <t>INT-00293</t>
  </si>
  <si>
    <t>INT-00294</t>
  </si>
  <si>
    <t>INT-00295</t>
  </si>
  <si>
    <t>Customer 158</t>
  </si>
  <si>
    <t>INT-00296</t>
  </si>
  <si>
    <t>Customer 466</t>
  </si>
  <si>
    <t>INT-00297</t>
  </si>
  <si>
    <t>INT-00298</t>
  </si>
  <si>
    <t>INT-00299</t>
  </si>
  <si>
    <t>INT-00300</t>
  </si>
  <si>
    <t>Customer 001</t>
  </si>
  <si>
    <t>INT-00301</t>
  </si>
  <si>
    <t>Customer 182</t>
  </si>
  <si>
    <t>INT-00302</t>
  </si>
  <si>
    <t>Customer 546</t>
  </si>
  <si>
    <t>INT-00303</t>
  </si>
  <si>
    <t>Customer 274</t>
  </si>
  <si>
    <t>INT-00304</t>
  </si>
  <si>
    <t>INT-00305</t>
  </si>
  <si>
    <t>Customer 621</t>
  </si>
  <si>
    <t>INT-00306</t>
  </si>
  <si>
    <t>Customer 485</t>
  </si>
  <si>
    <t>INT-00307</t>
  </si>
  <si>
    <t>Customer 130</t>
  </si>
  <si>
    <t>INT-00308</t>
  </si>
  <si>
    <t>Customer 089</t>
  </si>
  <si>
    <t>INT-00309</t>
  </si>
  <si>
    <t>Customer 106</t>
  </si>
  <si>
    <t>INT-00310</t>
  </si>
  <si>
    <t>Customer 467</t>
  </si>
  <si>
    <t>INT-00311</t>
  </si>
  <si>
    <t>INT-00312</t>
  </si>
  <si>
    <t>Customer 592</t>
  </si>
  <si>
    <t>INT-00313</t>
  </si>
  <si>
    <t>INT-00314</t>
  </si>
  <si>
    <t>Customer 482</t>
  </si>
  <si>
    <t>INT-00315</t>
  </si>
  <si>
    <t>Customer 112</t>
  </si>
  <si>
    <t>INT-00316</t>
  </si>
  <si>
    <t>INT-00317</t>
  </si>
  <si>
    <t>Customer 699</t>
  </si>
  <si>
    <t>INT-00318</t>
  </si>
  <si>
    <t>Customer 024</t>
  </si>
  <si>
    <t>INT-00319</t>
  </si>
  <si>
    <t>INT-00320</t>
  </si>
  <si>
    <t>INT-00321</t>
  </si>
  <si>
    <t>Customer 550</t>
  </si>
  <si>
    <t>INT-00322</t>
  </si>
  <si>
    <t>INT-00323</t>
  </si>
  <si>
    <t>INT-00324</t>
  </si>
  <si>
    <t>INT-00325</t>
  </si>
  <si>
    <t>Customer 422</t>
  </si>
  <si>
    <t>INT-00326</t>
  </si>
  <si>
    <t>INT-00327</t>
  </si>
  <si>
    <t>Customer 599</t>
  </si>
  <si>
    <t>INT-00328</t>
  </si>
  <si>
    <t>INT-00329</t>
  </si>
  <si>
    <t>Customer 248</t>
  </si>
  <si>
    <t>INT-00330</t>
  </si>
  <si>
    <t>Customer 474</t>
  </si>
  <si>
    <t>INT-00331</t>
  </si>
  <si>
    <t>Customer 411</t>
  </si>
  <si>
    <t>INT-00332</t>
  </si>
  <si>
    <t>INT-00333</t>
  </si>
  <si>
    <t>INT-00334</t>
  </si>
  <si>
    <t>INT-00335</t>
  </si>
  <si>
    <t>Customer 528</t>
  </si>
  <si>
    <t>INT-00336</t>
  </si>
  <si>
    <t>Customer 171</t>
  </si>
  <si>
    <t>INT-00337</t>
  </si>
  <si>
    <t>INT-00338</t>
  </si>
  <si>
    <t>Customer 129</t>
  </si>
  <si>
    <t>INT-00339</t>
  </si>
  <si>
    <t>INT-00340</t>
  </si>
  <si>
    <t>Customer 069</t>
  </si>
  <si>
    <t>INT-00341</t>
  </si>
  <si>
    <t>INT-00342</t>
  </si>
  <si>
    <t>Customer 617</t>
  </si>
  <si>
    <t>INT-00343</t>
  </si>
  <si>
    <t>Customer 097</t>
  </si>
  <si>
    <t>INT-00344</t>
  </si>
  <si>
    <t>Customer 527</t>
  </si>
  <si>
    <t>INT-00345</t>
  </si>
  <si>
    <t>INT-00346</t>
  </si>
  <si>
    <t>INT-00347</t>
  </si>
  <si>
    <t>Customer 352</t>
  </si>
  <si>
    <t>INT-00348</t>
  </si>
  <si>
    <t>Customer 341</t>
  </si>
  <si>
    <t>INT-00349</t>
  </si>
  <si>
    <t>INT-00350</t>
  </si>
  <si>
    <t>INT-00351</t>
  </si>
  <si>
    <t>INT-00352</t>
  </si>
  <si>
    <t>Customer 643</t>
  </si>
  <si>
    <t>INT-00353</t>
  </si>
  <si>
    <t>INT-00354</t>
  </si>
  <si>
    <t>INT-00355</t>
  </si>
  <si>
    <t>INT-00356</t>
  </si>
  <si>
    <t>Customer 590</t>
  </si>
  <si>
    <t>INT-00357</t>
  </si>
  <si>
    <t>Customer 079</t>
  </si>
  <si>
    <t>INT-00358</t>
  </si>
  <si>
    <t>Customer 183</t>
  </si>
  <si>
    <t>INT-00359</t>
  </si>
  <si>
    <t>Customer 192</t>
  </si>
  <si>
    <t>INT-00360</t>
  </si>
  <si>
    <t>Customer 019</t>
  </si>
  <si>
    <t>INT-00361</t>
  </si>
  <si>
    <t>INT-00362</t>
  </si>
  <si>
    <t>INT-00363</t>
  </si>
  <si>
    <t>INT-00364</t>
  </si>
  <si>
    <t>Customer 516</t>
  </si>
  <si>
    <t>INT-00365</t>
  </si>
  <si>
    <t>Customer 447</t>
  </si>
  <si>
    <t>INT-00366</t>
  </si>
  <si>
    <t>INT-00367</t>
  </si>
  <si>
    <t>Customer 661</t>
  </si>
  <si>
    <t>INT-00368</t>
  </si>
  <si>
    <t>Customer 556</t>
  </si>
  <si>
    <t>INT-00369</t>
  </si>
  <si>
    <t>INT-00370</t>
  </si>
  <si>
    <t>Customer 298</t>
  </si>
  <si>
    <t>INT-00371</t>
  </si>
  <si>
    <t>Customer 057</t>
  </si>
  <si>
    <t>INT-00372</t>
  </si>
  <si>
    <t>INT-00373</t>
  </si>
  <si>
    <t>INT-00374</t>
  </si>
  <si>
    <t>Customer 042</t>
  </si>
  <si>
    <t>INT-00375</t>
  </si>
  <si>
    <t>INT-00376</t>
  </si>
  <si>
    <t>Customer 698</t>
  </si>
  <si>
    <t>INT-00377</t>
  </si>
  <si>
    <t>INT-00378</t>
  </si>
  <si>
    <t>Customer 169</t>
  </si>
  <si>
    <t>INT-00379</t>
  </si>
  <si>
    <t>Customer 577</t>
  </si>
  <si>
    <t>INT-00380</t>
  </si>
  <si>
    <t>INT-00381</t>
  </si>
  <si>
    <t>Customer 353</t>
  </si>
  <si>
    <t>INT-00382</t>
  </si>
  <si>
    <t>INT-00383</t>
  </si>
  <si>
    <t>INT-00384</t>
  </si>
  <si>
    <t>Customer 004</t>
  </si>
  <si>
    <t>INT-00385</t>
  </si>
  <si>
    <t>INT-00386</t>
  </si>
  <si>
    <t>INT-00387</t>
  </si>
  <si>
    <t>INT-00388</t>
  </si>
  <si>
    <t>Customer 247</t>
  </si>
  <si>
    <t>INT-00389</t>
  </si>
  <si>
    <t>Customer 689</t>
  </si>
  <si>
    <t>INT-00390</t>
  </si>
  <si>
    <t>Customer 114</t>
  </si>
  <si>
    <t>INT-00391</t>
  </si>
  <si>
    <t>INT-00392</t>
  </si>
  <si>
    <t>INT-00393</t>
  </si>
  <si>
    <t>Customer 055</t>
  </si>
  <si>
    <t>INT-00394</t>
  </si>
  <si>
    <t>Customer 444</t>
  </si>
  <si>
    <t>INT-00395</t>
  </si>
  <si>
    <t>Customer 145</t>
  </si>
  <si>
    <t>INT-00396</t>
  </si>
  <si>
    <t>Customer 609</t>
  </si>
  <si>
    <t>INT-00397</t>
  </si>
  <si>
    <t>INT-00398</t>
  </si>
  <si>
    <t>INT-00399</t>
  </si>
  <si>
    <t>Customer 552</t>
  </si>
  <si>
    <t>INT-00400</t>
  </si>
  <si>
    <t>Customer 509</t>
  </si>
  <si>
    <t>INT-00401</t>
  </si>
  <si>
    <t>Customer 258</t>
  </si>
  <si>
    <t>INT-00402</t>
  </si>
  <si>
    <t>Customer 196</t>
  </si>
  <si>
    <t>INT-00403</t>
  </si>
  <si>
    <t>Customer 529</t>
  </si>
  <si>
    <t>INT-00404</t>
  </si>
  <si>
    <t>INT-00405</t>
  </si>
  <si>
    <t>Customer 047</t>
  </si>
  <si>
    <t>INT-00406</t>
  </si>
  <si>
    <t>Customer 082</t>
  </si>
  <si>
    <t>INT-00407</t>
  </si>
  <si>
    <t>Customer 255</t>
  </si>
  <si>
    <t>INT-00408</t>
  </si>
  <si>
    <t>INT-00409</t>
  </si>
  <si>
    <t>Customer 618</t>
  </si>
  <si>
    <t>INT-00410</t>
  </si>
  <si>
    <t>INT-00411</t>
  </si>
  <si>
    <t>Customer 498</t>
  </si>
  <si>
    <t>INT-00412</t>
  </si>
  <si>
    <t>Customer 074</t>
  </si>
  <si>
    <t>INT-00413</t>
  </si>
  <si>
    <t>Customer 600</t>
  </si>
  <si>
    <t>INT-00414</t>
  </si>
  <si>
    <t>INT-00415</t>
  </si>
  <si>
    <t>INT-00416</t>
  </si>
  <si>
    <t>Customer 348</t>
  </si>
  <si>
    <t>INT-00417</t>
  </si>
  <si>
    <t>INT-00418</t>
  </si>
  <si>
    <t>INT-00419</t>
  </si>
  <si>
    <t>Customer 579</t>
  </si>
  <si>
    <t>INT-00420</t>
  </si>
  <si>
    <t>Customer 464</t>
  </si>
  <si>
    <t>INT-00421</t>
  </si>
  <si>
    <t>Customer 642</t>
  </si>
  <si>
    <t>INT-00422</t>
  </si>
  <si>
    <t>INT-00423</t>
  </si>
  <si>
    <t>INT-00424</t>
  </si>
  <si>
    <t>Customer 092</t>
  </si>
  <si>
    <t>INT-00425</t>
  </si>
  <si>
    <t>INT-00426</t>
  </si>
  <si>
    <t>INT-00427</t>
  </si>
  <si>
    <t>Customer 523</t>
  </si>
  <si>
    <t>INT-00428</t>
  </si>
  <si>
    <t>INT-00429</t>
  </si>
  <si>
    <t>Customer 126</t>
  </si>
  <si>
    <t>INT-00430</t>
  </si>
  <si>
    <t>INT-00431</t>
  </si>
  <si>
    <t>Customer 346</t>
  </si>
  <si>
    <t>INT-00432</t>
  </si>
  <si>
    <t>Customer 421</t>
  </si>
  <si>
    <t>INT-00433</t>
  </si>
  <si>
    <t>INT-00434</t>
  </si>
  <si>
    <t>INT-00435</t>
  </si>
  <si>
    <t>Customer 271</t>
  </si>
  <si>
    <t>INT-00436</t>
  </si>
  <si>
    <t>Customer 407</t>
  </si>
  <si>
    <t>INT-00437</t>
  </si>
  <si>
    <t>Customer 249</t>
  </si>
  <si>
    <t>INT-00438</t>
  </si>
  <si>
    <t>INT-00439</t>
  </si>
  <si>
    <t>INT-00440</t>
  </si>
  <si>
    <t>INT-00441</t>
  </si>
  <si>
    <t>Customer 117</t>
  </si>
  <si>
    <t>INT-00442</t>
  </si>
  <si>
    <t>INT-00443</t>
  </si>
  <si>
    <t>INT-00444</t>
  </si>
  <si>
    <t>Customer 394</t>
  </si>
  <si>
    <t>INT-00445</t>
  </si>
  <si>
    <t>Customer 161</t>
  </si>
  <si>
    <t>INT-00446</t>
  </si>
  <si>
    <t>INT-00447</t>
  </si>
  <si>
    <t>INT-00448</t>
  </si>
  <si>
    <t>INT-00449</t>
  </si>
  <si>
    <t>Customer 039</t>
  </si>
  <si>
    <t>INT-00450</t>
  </si>
  <si>
    <t>Customer 561</t>
  </si>
  <si>
    <t>INT-00451</t>
  </si>
  <si>
    <t>INT-00452</t>
  </si>
  <si>
    <t>INT-00453</t>
  </si>
  <si>
    <t>INT-00454</t>
  </si>
  <si>
    <t>Customer 441</t>
  </si>
  <si>
    <t>INT-00455</t>
  </si>
  <si>
    <t>INT-00456</t>
  </si>
  <si>
    <t>INT-00457</t>
  </si>
  <si>
    <t>INT-00458</t>
  </si>
  <si>
    <t>INT-00459</t>
  </si>
  <si>
    <t>Customer 031</t>
  </si>
  <si>
    <t>INT-00460</t>
  </si>
  <si>
    <t>Customer 162</t>
  </si>
  <si>
    <t>INT-00461</t>
  </si>
  <si>
    <t>INT-00462</t>
  </si>
  <si>
    <t>INT-00463</t>
  </si>
  <si>
    <t>INT-00464</t>
  </si>
  <si>
    <t>Customer 328</t>
  </si>
  <si>
    <t>INT-00465</t>
  </si>
  <si>
    <t>INT-00466</t>
  </si>
  <si>
    <t>INT-00467</t>
  </si>
  <si>
    <t>INT-00468</t>
  </si>
  <si>
    <t>Customer 678</t>
  </si>
  <si>
    <t>INT-00469</t>
  </si>
  <si>
    <t>INT-00470</t>
  </si>
  <si>
    <t>INT-00471</t>
  </si>
  <si>
    <t>INT-00472</t>
  </si>
  <si>
    <t>Customer 372</t>
  </si>
  <si>
    <t>INT-00473</t>
  </si>
  <si>
    <t>Customer 524</t>
  </si>
  <si>
    <t>INT-00474</t>
  </si>
  <si>
    <t>Customer 174</t>
  </si>
  <si>
    <t>INT-00475</t>
  </si>
  <si>
    <t>INT-00476</t>
  </si>
  <si>
    <t>Customer 304</t>
  </si>
  <si>
    <t>INT-00477</t>
  </si>
  <si>
    <t>Customer 362</t>
  </si>
  <si>
    <t>INT-00478</t>
  </si>
  <si>
    <t>INT-00479</t>
  </si>
  <si>
    <t>Customer 267</t>
  </si>
  <si>
    <t>INT-00480</t>
  </si>
  <si>
    <t>INT-00481</t>
  </si>
  <si>
    <t>Customer 020</t>
  </si>
  <si>
    <t>INT-00482</t>
  </si>
  <si>
    <t>Customer 513</t>
  </si>
  <si>
    <t>INT-00483</t>
  </si>
  <si>
    <t>Customer 205</t>
  </si>
  <si>
    <t>INT-00484</t>
  </si>
  <si>
    <t>INT-00485</t>
  </si>
  <si>
    <t>INT-00486</t>
  </si>
  <si>
    <t>Customer 507</t>
  </si>
  <si>
    <t>INT-00487</t>
  </si>
  <si>
    <t>INT-00488</t>
  </si>
  <si>
    <t>INT-00489</t>
  </si>
  <si>
    <t>Customer 693</t>
  </si>
  <si>
    <t>INT-00490</t>
  </si>
  <si>
    <t>INT-00491</t>
  </si>
  <si>
    <t>INT-00492</t>
  </si>
  <si>
    <t>INT-00493</t>
  </si>
  <si>
    <t>Customer 066</t>
  </si>
  <si>
    <t>INT-00494</t>
  </si>
  <si>
    <t>Customer 198</t>
  </si>
  <si>
    <t>INT-00495</t>
  </si>
  <si>
    <t>Customer 315</t>
  </si>
  <si>
    <t>INT-00496</t>
  </si>
  <si>
    <t>Customer 502</t>
  </si>
  <si>
    <t>INT-00497</t>
  </si>
  <si>
    <t>INT-00498</t>
  </si>
  <si>
    <t>Customer 403</t>
  </si>
  <si>
    <t>INT-00499</t>
  </si>
  <si>
    <t>INT-00500</t>
  </si>
  <si>
    <t>Customer 123</t>
  </si>
  <si>
    <t>INT-00501</t>
  </si>
  <si>
    <t>INT-00502</t>
  </si>
  <si>
    <t>INT-00503</t>
  </si>
  <si>
    <t>Customer 243</t>
  </si>
  <si>
    <t>INT-00504</t>
  </si>
  <si>
    <t>Customer 012</t>
  </si>
  <si>
    <t>INT-00505</t>
  </si>
  <si>
    <t>Customer 416</t>
  </si>
  <si>
    <t>INT-00506</t>
  </si>
  <si>
    <t>INT-00507</t>
  </si>
  <si>
    <t>Customer 674</t>
  </si>
  <si>
    <t>INT-00508</t>
  </si>
  <si>
    <t>Customer 309</t>
  </si>
  <si>
    <t>INT-00509</t>
  </si>
  <si>
    <t>INT-00510</t>
  </si>
  <si>
    <t>INT-00511</t>
  </si>
  <si>
    <t>INT-00512</t>
  </si>
  <si>
    <t>Customer 058</t>
  </si>
  <si>
    <t>INT-00513</t>
  </si>
  <si>
    <t>INT-00514</t>
  </si>
  <si>
    <t>Customer 635</t>
  </si>
  <si>
    <t>INT-00515</t>
  </si>
  <si>
    <t>INT-00516</t>
  </si>
  <si>
    <t>Customer 623</t>
  </si>
  <si>
    <t>INT-00517</t>
  </si>
  <si>
    <t>INT-00518</t>
  </si>
  <si>
    <t>Customer 437</t>
  </si>
  <si>
    <t>INT-00519</t>
  </si>
  <si>
    <t>INT-00520</t>
  </si>
  <si>
    <t>INT-00521</t>
  </si>
  <si>
    <t>INT-00522</t>
  </si>
  <si>
    <t>INT-00523</t>
  </si>
  <si>
    <t>Customer 011</t>
  </si>
  <si>
    <t>INT-00524</t>
  </si>
  <si>
    <t>Customer 253</t>
  </si>
  <si>
    <t>INT-00525</t>
  </si>
  <si>
    <t>INT-00526</t>
  </si>
  <si>
    <t>Customer 090</t>
  </si>
  <si>
    <t>INT-00527</t>
  </si>
  <si>
    <t>Customer 657</t>
  </si>
  <si>
    <t>INT-00528</t>
  </si>
  <si>
    <t>INT-00529</t>
  </si>
  <si>
    <t>Customer 240</t>
  </si>
  <si>
    <t>INT-00530</t>
  </si>
  <si>
    <t>Customer 119</t>
  </si>
  <si>
    <t>INT-00531</t>
  </si>
  <si>
    <t>Customer 382</t>
  </si>
  <si>
    <t>INT-00532</t>
  </si>
  <si>
    <t>INT-00533</t>
  </si>
  <si>
    <t>INT-00534</t>
  </si>
  <si>
    <t>Customer 224</t>
  </si>
  <si>
    <t>INT-00535</t>
  </si>
  <si>
    <t>Customer 086</t>
  </si>
  <si>
    <t>INT-00536</t>
  </si>
  <si>
    <t>INT-00537</t>
  </si>
  <si>
    <t>Customer 690</t>
  </si>
  <si>
    <t>INT-00538</t>
  </si>
  <si>
    <t>Customer 023</t>
  </si>
  <si>
    <t>INT-00539</t>
  </si>
  <si>
    <t>Customer 044</t>
  </si>
  <si>
    <t>INT-00540</t>
  </si>
  <si>
    <t>INT-00541</t>
  </si>
  <si>
    <t>Customer 204</t>
  </si>
  <si>
    <t>INT-00542</t>
  </si>
  <si>
    <t>Customer 692</t>
  </si>
  <si>
    <t>INT-00543</t>
  </si>
  <si>
    <t>Customer 676</t>
  </si>
  <si>
    <t>INT-00544</t>
  </si>
  <si>
    <t>INT-00545</t>
  </si>
  <si>
    <t>Customer 080</t>
  </si>
  <si>
    <t>INT-00546</t>
  </si>
  <si>
    <t>Customer 075</t>
  </si>
  <si>
    <t>INT-00547</t>
  </si>
  <si>
    <t>Customer 405</t>
  </si>
  <si>
    <t>INT-00548</t>
  </si>
  <si>
    <t>INT-00549</t>
  </si>
  <si>
    <t>INT-00550</t>
  </si>
  <si>
    <t>INT-00551</t>
  </si>
  <si>
    <t>Customer 401</t>
  </si>
  <si>
    <t>INT-00552</t>
  </si>
  <si>
    <t>INT-00553</t>
  </si>
  <si>
    <t>Customer 228</t>
  </si>
  <si>
    <t>INT-00554</t>
  </si>
  <si>
    <t>INT-00555</t>
  </si>
  <si>
    <t>Customer 589</t>
  </si>
  <si>
    <t>INT-00556</t>
  </si>
  <si>
    <t>INT-00557</t>
  </si>
  <si>
    <t>Customer 203</t>
  </si>
  <si>
    <t>INT-00558</t>
  </si>
  <si>
    <t>INT-00559</t>
  </si>
  <si>
    <t>Customer 051</t>
  </si>
  <si>
    <t>INT-00560</t>
  </si>
  <si>
    <t>INT-00561</t>
  </si>
  <si>
    <t>INT-00562</t>
  </si>
  <si>
    <t>INT-00563</t>
  </si>
  <si>
    <t>INT-00564</t>
  </si>
  <si>
    <t>Customer 065</t>
  </si>
  <si>
    <t>INT-00565</t>
  </si>
  <si>
    <t>Customer 641</t>
  </si>
  <si>
    <t>INT-00566</t>
  </si>
  <si>
    <t>Customer 208</t>
  </si>
  <si>
    <t>INT-00567</t>
  </si>
  <si>
    <t>INT-00568</t>
  </si>
  <si>
    <t>Customer 026</t>
  </si>
  <si>
    <t>INT-00569</t>
  </si>
  <si>
    <t>INT-00570</t>
  </si>
  <si>
    <t>Customer 105</t>
  </si>
  <si>
    <t>INT-00571</t>
  </si>
  <si>
    <t>Customer 371</t>
  </si>
  <si>
    <t>INT-00572</t>
  </si>
  <si>
    <t>Customer 381</t>
  </si>
  <si>
    <t>INT-00573</t>
  </si>
  <si>
    <t>Customer 402</t>
  </si>
  <si>
    <t>INT-00574</t>
  </si>
  <si>
    <t>INT-00575</t>
  </si>
  <si>
    <t>Customer 281</t>
  </si>
  <si>
    <t>INT-00576</t>
  </si>
  <si>
    <t>INT-00577</t>
  </si>
  <si>
    <t>Customer 446</t>
  </si>
  <si>
    <t>INT-00578</t>
  </si>
  <si>
    <t>Customer 522</t>
  </si>
  <si>
    <t>INT-00579</t>
  </si>
  <si>
    <t>INT-00580</t>
  </si>
  <si>
    <t>INT-00581</t>
  </si>
  <si>
    <t>Customer 099</t>
  </si>
  <si>
    <t>INT-00582</t>
  </si>
  <si>
    <t>INT-00583</t>
  </si>
  <si>
    <t>INT-00584</t>
  </si>
  <si>
    <t>Customer 544</t>
  </si>
  <si>
    <t>INT-00585</t>
  </si>
  <si>
    <t>INT-00586</t>
  </si>
  <si>
    <t>INT-00587</t>
  </si>
  <si>
    <t>Customer 153</t>
  </si>
  <si>
    <t>INT-00588</t>
  </si>
  <si>
    <t>Customer 144</t>
  </si>
  <si>
    <t>INT-00589</t>
  </si>
  <si>
    <t>Customer 297</t>
  </si>
  <si>
    <t>INT-00590</t>
  </si>
  <si>
    <t>INT-00591</t>
  </si>
  <si>
    <t>INT-00592</t>
  </si>
  <si>
    <t>INT-00593</t>
  </si>
  <si>
    <t>Customer 677</t>
  </si>
  <si>
    <t>INT-00594</t>
  </si>
  <si>
    <t>INT-00595</t>
  </si>
  <si>
    <t>INT-00596</t>
  </si>
  <si>
    <t>Customer 077</t>
  </si>
  <si>
    <t>INT-00597</t>
  </si>
  <si>
    <t>INT-00598</t>
  </si>
  <si>
    <t>Customer 656</t>
  </si>
  <si>
    <t>INT-00599</t>
  </si>
  <si>
    <t>Customer 063</t>
  </si>
  <si>
    <t>INT-00600</t>
  </si>
  <si>
    <t>INT-00601</t>
  </si>
  <si>
    <t>INT-00602</t>
  </si>
  <si>
    <t>INT-00603</t>
  </si>
  <si>
    <t>Customer 246</t>
  </si>
  <si>
    <t>INT-00604</t>
  </si>
  <si>
    <t>INT-00605</t>
  </si>
  <si>
    <t>INT-00606</t>
  </si>
  <si>
    <t>Customer 329</t>
  </si>
  <si>
    <t>INT-00607</t>
  </si>
  <si>
    <t>Customer 653</t>
  </si>
  <si>
    <t>INT-00608</t>
  </si>
  <si>
    <t>Customer 640</t>
  </si>
  <si>
    <t>INT-00609</t>
  </si>
  <si>
    <t>INT-00610</t>
  </si>
  <si>
    <t>INT-00611</t>
  </si>
  <si>
    <t>Customer 630</t>
  </si>
  <si>
    <t>INT-00612</t>
  </si>
  <si>
    <t>INT-00613</t>
  </si>
  <si>
    <t>Customer 580</t>
  </si>
  <si>
    <t>INT-00614</t>
  </si>
  <si>
    <t>INT-00615</t>
  </si>
  <si>
    <t>INT-00616</t>
  </si>
  <si>
    <t>Customer 428</t>
  </si>
  <si>
    <t>INT-00617</t>
  </si>
  <si>
    <t>INT-00618</t>
  </si>
  <si>
    <t>Customer 393</t>
  </si>
  <si>
    <t>INT-00619</t>
  </si>
  <si>
    <t>Customer 435</t>
  </si>
  <si>
    <t>INT-00620</t>
  </si>
  <si>
    <t>Customer 584</t>
  </si>
  <si>
    <t>INT-00621</t>
  </si>
  <si>
    <t>Customer 180</t>
  </si>
  <si>
    <t>INT-00622</t>
  </si>
  <si>
    <t>Customer 118</t>
  </si>
  <si>
    <t>INT-00623</t>
  </si>
  <si>
    <t>INT-00624</t>
  </si>
  <si>
    <t>Customer 186</t>
  </si>
  <si>
    <t>INT-00625</t>
  </si>
  <si>
    <t>Customer 538</t>
  </si>
  <si>
    <t>INT-00626</t>
  </si>
  <si>
    <t>INT-00627</t>
  </si>
  <si>
    <t>INT-00628</t>
  </si>
  <si>
    <t>INT-00629</t>
  </si>
  <si>
    <t>Customer 261</t>
  </si>
  <si>
    <t>INT-00630</t>
  </si>
  <si>
    <t>Customer 244</t>
  </si>
  <si>
    <t>INT-00631</t>
  </si>
  <si>
    <t>Customer 221</t>
  </si>
  <si>
    <t>INT-00632</t>
  </si>
  <si>
    <t>INT-00633</t>
  </si>
  <si>
    <t>INT-00634</t>
  </si>
  <si>
    <t>Customer 306</t>
  </si>
  <si>
    <t>INT-00635</t>
  </si>
  <si>
    <t>INT-00636</t>
  </si>
  <si>
    <t>INT-00637</t>
  </si>
  <si>
    <t>INT-00638</t>
  </si>
  <si>
    <t>Customer 431</t>
  </si>
  <si>
    <t>INT-00639</t>
  </si>
  <si>
    <t>INT-00640</t>
  </si>
  <si>
    <t>INT-00641</t>
  </si>
  <si>
    <t>Customer 139</t>
  </si>
  <si>
    <t>INT-00642</t>
  </si>
  <si>
    <t>INT-00643</t>
  </si>
  <si>
    <t>Customer 219</t>
  </si>
  <si>
    <t>INT-00644</t>
  </si>
  <si>
    <t>INT-00645</t>
  </si>
  <si>
    <t>Customer 486</t>
  </si>
  <si>
    <t>INT-00646</t>
  </si>
  <si>
    <t>INT-00647</t>
  </si>
  <si>
    <t>Customer 649</t>
  </si>
  <si>
    <t>INT-00648</t>
  </si>
  <si>
    <t>Customer 337</t>
  </si>
  <si>
    <t>INT-00649</t>
  </si>
  <si>
    <t>INT-00650</t>
  </si>
  <si>
    <t>INT-00651</t>
  </si>
  <si>
    <t>Customer 134</t>
  </si>
  <si>
    <t>INT-00652</t>
  </si>
  <si>
    <t>Customer 216</t>
  </si>
  <si>
    <t>INT-00653</t>
  </si>
  <si>
    <t>INT-00654</t>
  </si>
  <si>
    <t>INT-00655</t>
  </si>
  <si>
    <t>Customer 501</t>
  </si>
  <si>
    <t>INT-00656</t>
  </si>
  <si>
    <t>Customer 388</t>
  </si>
  <si>
    <t>INT-00657</t>
  </si>
  <si>
    <t>INT-00658</t>
  </si>
  <si>
    <t>INT-00659</t>
  </si>
  <si>
    <t>INT-00660</t>
  </si>
  <si>
    <t>INT-00661</t>
  </si>
  <si>
    <t>Customer 412</t>
  </si>
  <si>
    <t>INT-00662</t>
  </si>
  <si>
    <t>Customer 470</t>
  </si>
  <si>
    <t>INT-00663</t>
  </si>
  <si>
    <t>INT-00664</t>
  </si>
  <si>
    <t>Customer 685</t>
  </si>
  <si>
    <t>INT-00665</t>
  </si>
  <si>
    <t>INT-00666</t>
  </si>
  <si>
    <t>INT-00667</t>
  </si>
  <si>
    <t>Customer 448</t>
  </si>
  <si>
    <t>INT-00668</t>
  </si>
  <si>
    <t>INT-00669</t>
  </si>
  <si>
    <t>INT-00670</t>
  </si>
  <si>
    <t>INT-00671</t>
  </si>
  <si>
    <t>INT-00672</t>
  </si>
  <si>
    <t>INT-00673</t>
  </si>
  <si>
    <t>INT-00674</t>
  </si>
  <si>
    <t>Customer 637</t>
  </si>
  <si>
    <t>INT-00675</t>
  </si>
  <si>
    <t>INT-00676</t>
  </si>
  <si>
    <t>INT-00677</t>
  </si>
  <si>
    <t>Customer 541</t>
  </si>
  <si>
    <t>INT-00678</t>
  </si>
  <si>
    <t>INT-00679</t>
  </si>
  <si>
    <t>INT-00680</t>
  </si>
  <si>
    <t>Customer 610</t>
  </si>
  <si>
    <t>INT-00681</t>
  </si>
  <si>
    <t>INT-00682</t>
  </si>
  <si>
    <t>Customer 095</t>
  </si>
  <si>
    <t>INT-00683</t>
  </si>
  <si>
    <t>INT-00684</t>
  </si>
  <si>
    <t>INT-00685</t>
  </si>
  <si>
    <t>INT-00686</t>
  </si>
  <si>
    <t>Customer 147</t>
  </si>
  <si>
    <t>INT-00687</t>
  </si>
  <si>
    <t>INT-00688</t>
  </si>
  <si>
    <t>INT-00689</t>
  </si>
  <si>
    <t>Customer 027</t>
  </si>
  <si>
    <t>INT-00690</t>
  </si>
  <si>
    <t>Customer 450</t>
  </si>
  <si>
    <t>INT-00691</t>
  </si>
  <si>
    <t>Customer 456</t>
  </si>
  <si>
    <t>INT-00692</t>
  </si>
  <si>
    <t>Customer 632</t>
  </si>
  <si>
    <t>INT-00693</t>
  </si>
  <si>
    <t>Customer 420</t>
  </si>
  <si>
    <t>INT-00694</t>
  </si>
  <si>
    <t>INT-00695</t>
  </si>
  <si>
    <t>INT-00696</t>
  </si>
  <si>
    <t>INT-00697</t>
  </si>
  <si>
    <t>INT-00698</t>
  </si>
  <si>
    <t>INT-00699</t>
  </si>
  <si>
    <t>INT-00700</t>
  </si>
  <si>
    <t>INT-00701</t>
  </si>
  <si>
    <t>INT-00702</t>
  </si>
  <si>
    <t>INT-00703</t>
  </si>
  <si>
    <t>INT-00704</t>
  </si>
  <si>
    <t>INT-00705</t>
  </si>
  <si>
    <t>Customer 234</t>
  </si>
  <si>
    <t>INT-00706</t>
  </si>
  <si>
    <t>Customer 646</t>
  </si>
  <si>
    <t>INT-00707</t>
  </si>
  <si>
    <t>INT-00708</t>
  </si>
  <si>
    <t>INT-00709</t>
  </si>
  <si>
    <t>Customer 241</t>
  </si>
  <si>
    <t>INT-00710</t>
  </si>
  <si>
    <t>INT-00711</t>
  </si>
  <si>
    <t>INT-00712</t>
  </si>
  <si>
    <t>INT-00713</t>
  </si>
  <si>
    <t>Customer 067</t>
  </si>
  <si>
    <t>INT-00714</t>
  </si>
  <si>
    <t>INT-00715</t>
  </si>
  <si>
    <t>INT-00716</t>
  </si>
  <si>
    <t>INT-00717</t>
  </si>
  <si>
    <t>INT-00718</t>
  </si>
  <si>
    <t>INT-00719</t>
  </si>
  <si>
    <t>Customer 115</t>
  </si>
  <si>
    <t>INT-00720</t>
  </si>
  <si>
    <t>INT-00721</t>
  </si>
  <si>
    <t>INT-00722</t>
  </si>
  <si>
    <t>INT-00723</t>
  </si>
  <si>
    <t>INT-00724</t>
  </si>
  <si>
    <t>Customer 675</t>
  </si>
  <si>
    <t>INT-00725</t>
  </si>
  <si>
    <t>INT-00726</t>
  </si>
  <si>
    <t>INT-00727</t>
  </si>
  <si>
    <t>INT-00728</t>
  </si>
  <si>
    <t>INT-00729</t>
  </si>
  <si>
    <t>INT-00730</t>
  </si>
  <si>
    <t>Customer 476</t>
  </si>
  <si>
    <t>INT-00731</t>
  </si>
  <si>
    <t>INT-00732</t>
  </si>
  <si>
    <t>INT-00733</t>
  </si>
  <si>
    <t>INT-00734</t>
  </si>
  <si>
    <t>INT-00735</t>
  </si>
  <si>
    <t>INT-00736</t>
  </si>
  <si>
    <t>INT-00737</t>
  </si>
  <si>
    <t>INT-00738</t>
  </si>
  <si>
    <t>Customer 061</t>
  </si>
  <si>
    <t>INT-00739</t>
  </si>
  <si>
    <t>INT-00740</t>
  </si>
  <si>
    <t>INT-00741</t>
  </si>
  <si>
    <t>INT-00742</t>
  </si>
  <si>
    <t>INT-00743</t>
  </si>
  <si>
    <t>INT-00744</t>
  </si>
  <si>
    <t>INT-00745</t>
  </si>
  <si>
    <t>INT-00746</t>
  </si>
  <si>
    <t>INT-00747</t>
  </si>
  <si>
    <t>Customer 034</t>
  </si>
  <si>
    <t>INT-00748</t>
  </si>
  <si>
    <t>INT-00749</t>
  </si>
  <si>
    <t>INT-00750</t>
  </si>
  <si>
    <t>INT-00751</t>
  </si>
  <si>
    <t>Customer 293</t>
  </si>
  <si>
    <t>INT-00752</t>
  </si>
  <si>
    <t>INT-00753</t>
  </si>
  <si>
    <t>Customer 634</t>
  </si>
  <si>
    <t>INT-00754</t>
  </si>
  <si>
    <t>INT-00755</t>
  </si>
  <si>
    <t>INT-00756</t>
  </si>
  <si>
    <t>INT-00757</t>
  </si>
  <si>
    <t>INT-00758</t>
  </si>
  <si>
    <t>INT-00759</t>
  </si>
  <si>
    <t>Customer 252</t>
  </si>
  <si>
    <t>INT-00760</t>
  </si>
  <si>
    <t>Customer 664</t>
  </si>
  <si>
    <t>INT-00761</t>
  </si>
  <si>
    <t>INT-00762</t>
  </si>
  <si>
    <t>Customer 417</t>
  </si>
  <si>
    <t>INT-00763</t>
  </si>
  <si>
    <t>INT-00764</t>
  </si>
  <si>
    <t>INT-00765</t>
  </si>
  <si>
    <t>Customer 583</t>
  </si>
  <si>
    <t>INT-00766</t>
  </si>
  <si>
    <t>INT-00767</t>
  </si>
  <si>
    <t>INT-00768</t>
  </si>
  <si>
    <t>INT-00769</t>
  </si>
  <si>
    <t>Customer 170</t>
  </si>
  <si>
    <t>INT-00770</t>
  </si>
  <si>
    <t>INT-00771</t>
  </si>
  <si>
    <t>Customer 654</t>
  </si>
  <si>
    <t>INT-00772</t>
  </si>
  <si>
    <t>INT-00773</t>
  </si>
  <si>
    <t>Customer 475</t>
  </si>
  <si>
    <t>INT-00774</t>
  </si>
  <si>
    <t>Customer 648</t>
  </si>
  <si>
    <t>INT-00775</t>
  </si>
  <si>
    <t>INT-00776</t>
  </si>
  <si>
    <t>INT-00777</t>
  </si>
  <si>
    <t>Customer 300</t>
  </si>
  <si>
    <t>INT-00778</t>
  </si>
  <si>
    <t>INT-00779</t>
  </si>
  <si>
    <t>INT-00780</t>
  </si>
  <si>
    <t>INT-00781</t>
  </si>
  <si>
    <t>Customer 373</t>
  </si>
  <si>
    <t>INT-00782</t>
  </si>
  <si>
    <t>Customer 236</t>
  </si>
  <si>
    <t>INT-00783</t>
  </si>
  <si>
    <t>INT-00784</t>
  </si>
  <si>
    <t>Customer 655</t>
  </si>
  <si>
    <t>INT-00785</t>
  </si>
  <si>
    <t>Customer 076</t>
  </si>
  <si>
    <t>INT-00786</t>
  </si>
  <si>
    <t>Customer 052</t>
  </si>
  <si>
    <t>INT-00787</t>
  </si>
  <si>
    <t>INT-00788</t>
  </si>
  <si>
    <t>Customer 043</t>
  </si>
  <si>
    <t>INT-00789</t>
  </si>
  <si>
    <t>Customer 299</t>
  </si>
  <si>
    <t>INT-00790</t>
  </si>
  <si>
    <t>Customer 612</t>
  </si>
  <si>
    <t>INT-00791</t>
  </si>
  <si>
    <t>INT-00792</t>
  </si>
  <si>
    <t>INT-00793</t>
  </si>
  <si>
    <t>INT-00794</t>
  </si>
  <si>
    <t>Customer 410</t>
  </si>
  <si>
    <t>INT-00795</t>
  </si>
  <si>
    <t>INT-00796</t>
  </si>
  <si>
    <t>INT-00797</t>
  </si>
  <si>
    <t>INT-00798</t>
  </si>
  <si>
    <t>Customer 395</t>
  </si>
  <si>
    <t>INT-00799</t>
  </si>
  <si>
    <t>Customer 035</t>
  </si>
  <si>
    <t>INT-00800</t>
  </si>
  <si>
    <t>INT-00801</t>
  </si>
  <si>
    <t>Customer 543</t>
  </si>
  <si>
    <t>INT-00802</t>
  </si>
  <si>
    <t>INT-00803</t>
  </si>
  <si>
    <t>INT-00804</t>
  </si>
  <si>
    <t>Customer 332</t>
  </si>
  <si>
    <t>INT-00805</t>
  </si>
  <si>
    <t>Customer 603</t>
  </si>
  <si>
    <t>INT-00806</t>
  </si>
  <si>
    <t>Customer 545</t>
  </si>
  <si>
    <t>INT-00807</t>
  </si>
  <si>
    <t>Customer 286</t>
  </si>
  <si>
    <t>INT-00808</t>
  </si>
  <si>
    <t>INT-00809</t>
  </si>
  <si>
    <t>INT-00810</t>
  </si>
  <si>
    <t>INT-00811</t>
  </si>
  <si>
    <t>INT-00812</t>
  </si>
  <si>
    <t>Customer 235</t>
  </si>
  <si>
    <t>INT-00813</t>
  </si>
  <si>
    <t>INT-00814</t>
  </si>
  <si>
    <t>INT-00815</t>
  </si>
  <si>
    <t>INT-00816</t>
  </si>
  <si>
    <t>INT-00817</t>
  </si>
  <si>
    <t>INT-00818</t>
  </si>
  <si>
    <t>Customer 078</t>
  </si>
  <si>
    <t>INT-00819</t>
  </si>
  <si>
    <t>Customer 423</t>
  </si>
  <si>
    <t>INT-00820</t>
  </si>
  <si>
    <t>INT-00821</t>
  </si>
  <si>
    <t>Customer 365</t>
  </si>
  <si>
    <t>INT-00822</t>
  </si>
  <si>
    <t>INT-00823</t>
  </si>
  <si>
    <t>INT-00824</t>
  </si>
  <si>
    <t>INT-00825</t>
  </si>
  <si>
    <t>Customer 003</t>
  </si>
  <si>
    <t>INT-00826</t>
  </si>
  <si>
    <t>INT-00827</t>
  </si>
  <si>
    <t>Customer 016</t>
  </si>
  <si>
    <t>INT-00828</t>
  </si>
  <si>
    <t>Customer 231</t>
  </si>
  <si>
    <t>INT-00829</t>
  </si>
  <si>
    <t>INT-00830</t>
  </si>
  <si>
    <t>INT-00831</t>
  </si>
  <si>
    <t>INT-00832</t>
  </si>
  <si>
    <t>INT-00833</t>
  </si>
  <si>
    <t>INT-00834</t>
  </si>
  <si>
    <t>Customer 430</t>
  </si>
  <si>
    <t>INT-00835</t>
  </si>
  <si>
    <t>Customer 263</t>
  </si>
  <si>
    <t>INT-00836</t>
  </si>
  <si>
    <t>INT-00837</t>
  </si>
  <si>
    <t>INT-00838</t>
  </si>
  <si>
    <t>INT-00839</t>
  </si>
  <si>
    <t>INT-00840</t>
  </si>
  <si>
    <t>INT-00841</t>
  </si>
  <si>
    <t>Customer 369</t>
  </si>
  <si>
    <t>INT-00842</t>
  </si>
  <si>
    <t>INT-00843</t>
  </si>
  <si>
    <t>INT-00844</t>
  </si>
  <si>
    <t>INT-00845</t>
  </si>
  <si>
    <t>Customer 317</t>
  </si>
  <si>
    <t>INT-00846</t>
  </si>
  <si>
    <t>INT-00847</t>
  </si>
  <si>
    <t>INT-00848</t>
  </si>
  <si>
    <t>INT-00849</t>
  </si>
  <si>
    <t>INT-00850</t>
  </si>
  <si>
    <t>INT-00851</t>
  </si>
  <si>
    <t>Customer 389</t>
  </si>
  <si>
    <t>INT-00852</t>
  </si>
  <si>
    <t>Customer 360</t>
  </si>
  <si>
    <t>INT-00853</t>
  </si>
  <si>
    <t>INT-00854</t>
  </si>
  <si>
    <t>INT-00855</t>
  </si>
  <si>
    <t>INT-00856</t>
  </si>
  <si>
    <t>Customer 368</t>
  </si>
  <si>
    <t>INT-00857</t>
  </si>
  <si>
    <t>INT-00858</t>
  </si>
  <si>
    <t>Customer 581</t>
  </si>
  <si>
    <t>INT-00859</t>
  </si>
  <si>
    <t>INT-00860</t>
  </si>
  <si>
    <t>Customer 124</t>
  </si>
  <si>
    <t>INT-00861</t>
  </si>
  <si>
    <t>Customer 107</t>
  </si>
  <si>
    <t>INT-00862</t>
  </si>
  <si>
    <t>INT-00863</t>
  </si>
  <si>
    <t>INT-00864</t>
  </si>
  <si>
    <t>INT-00865</t>
  </si>
  <si>
    <t>INT-00866</t>
  </si>
  <si>
    <t>INT-00867</t>
  </si>
  <si>
    <t>Customer 396</t>
  </si>
  <si>
    <t>INT-00868</t>
  </si>
  <si>
    <t>Customer 472</t>
  </si>
  <si>
    <t>INT-00869</t>
  </si>
  <si>
    <t>INT-00870</t>
  </si>
  <si>
    <t>INT-00871</t>
  </si>
  <si>
    <t>INT-00872</t>
  </si>
  <si>
    <t>INT-00873</t>
  </si>
  <si>
    <t>Customer 568</t>
  </si>
  <si>
    <t>INT-00874</t>
  </si>
  <si>
    <t>INT-00875</t>
  </si>
  <si>
    <t>Customer 397</t>
  </si>
  <si>
    <t>INT-00876</t>
  </si>
  <si>
    <t>Customer 484</t>
  </si>
  <si>
    <t>INT-00877</t>
  </si>
  <si>
    <t>Customer 384</t>
  </si>
  <si>
    <t>INT-00878</t>
  </si>
  <si>
    <t>INT-00879</t>
  </si>
  <si>
    <t>Customer 272</t>
  </si>
  <si>
    <t>INT-00880</t>
  </si>
  <si>
    <t>INT-00881</t>
  </si>
  <si>
    <t>INT-00882</t>
  </si>
  <si>
    <t>INT-00883</t>
  </si>
  <si>
    <t>INT-00884</t>
  </si>
  <si>
    <t>INT-00885</t>
  </si>
  <si>
    <t>INT-00886</t>
  </si>
  <si>
    <t>INT-00887</t>
  </si>
  <si>
    <t>Customer 493</t>
  </si>
  <si>
    <t>INT-00888</t>
  </si>
  <si>
    <t>INT-00889</t>
  </si>
  <si>
    <t>INT-00890</t>
  </si>
  <si>
    <t>INT-00891</t>
  </si>
  <si>
    <t>INT-00892</t>
  </si>
  <si>
    <t>INT-00893</t>
  </si>
  <si>
    <t>INT-00894</t>
  </si>
  <si>
    <t>INT-00895</t>
  </si>
  <si>
    <t>Customer 409</t>
  </si>
  <si>
    <t>INT-00896</t>
  </si>
  <si>
    <t>INT-00897</t>
  </si>
  <si>
    <t>Customer 503</t>
  </si>
  <si>
    <t>INT-00898</t>
  </si>
  <si>
    <t>INT-00899</t>
  </si>
  <si>
    <t>Customer 006</t>
  </si>
  <si>
    <t>INT-00900</t>
  </si>
  <si>
    <t>INT-00901</t>
  </si>
  <si>
    <t>INT-00902</t>
  </si>
  <si>
    <t>INT-00903</t>
  </si>
  <si>
    <t>Customer 002</t>
  </si>
  <si>
    <t>INT-00904</t>
  </si>
  <si>
    <t>INT-00905</t>
  </si>
  <si>
    <t>INT-00906</t>
  </si>
  <si>
    <t>INT-00907</t>
  </si>
  <si>
    <t>INT-00908</t>
  </si>
  <si>
    <t>INT-00909</t>
  </si>
  <si>
    <t>Customer 209</t>
  </si>
  <si>
    <t>INT-00910</t>
  </si>
  <si>
    <t>INT-00911</t>
  </si>
  <si>
    <t>INT-00912</t>
  </si>
  <si>
    <t>INT-00913</t>
  </si>
  <si>
    <t>Customer 008</t>
  </si>
  <si>
    <t>INT-00914</t>
  </si>
  <si>
    <t>INT-00915</t>
  </si>
  <si>
    <t>INT-00916</t>
  </si>
  <si>
    <t>INT-00917</t>
  </si>
  <si>
    <t>Customer 194</t>
  </si>
  <si>
    <t>INT-00918</t>
  </si>
  <si>
    <t>INT-00919</t>
  </si>
  <si>
    <t>Customer 233</t>
  </si>
  <si>
    <t>INT-00920</t>
  </si>
  <si>
    <t>INT-00921</t>
  </si>
  <si>
    <t>INT-00922</t>
  </si>
  <si>
    <t>INT-00923</t>
  </si>
  <si>
    <t>INT-00924</t>
  </si>
  <si>
    <t>INT-00925</t>
  </si>
  <si>
    <t>INT-00926</t>
  </si>
  <si>
    <t>INT-00927</t>
  </si>
  <si>
    <t>INT-00928</t>
  </si>
  <si>
    <t>INT-00929</t>
  </si>
  <si>
    <t>Customer 383</t>
  </si>
  <si>
    <t>INT-00930</t>
  </si>
  <si>
    <t>INT-00931</t>
  </si>
  <si>
    <t>INT-00932</t>
  </si>
  <si>
    <t>Customer 629</t>
  </si>
  <si>
    <t>INT-00933</t>
  </si>
  <si>
    <t>INT-00934</t>
  </si>
  <si>
    <t>INT-00935</t>
  </si>
  <si>
    <t>INT-00936</t>
  </si>
  <si>
    <t>INT-00937</t>
  </si>
  <si>
    <t>Customer 504</t>
  </si>
  <si>
    <t>INT-00938</t>
  </si>
  <si>
    <t>INT-00939</t>
  </si>
  <si>
    <t>INT-00940</t>
  </si>
  <si>
    <t>INT-00941</t>
  </si>
  <si>
    <t>INT-00942</t>
  </si>
  <si>
    <t>INT-00943</t>
  </si>
  <si>
    <t>INT-00944</t>
  </si>
  <si>
    <t>INT-00945</t>
  </si>
  <si>
    <t>Customer 461</t>
  </si>
  <si>
    <t>INT-00946</t>
  </si>
  <si>
    <t>INT-00947</t>
  </si>
  <si>
    <t>INT-00948</t>
  </si>
  <si>
    <t>INT-00949</t>
  </si>
  <si>
    <t>Customer 569</t>
  </si>
  <si>
    <t>INT-00950</t>
  </si>
  <si>
    <t>INT-00951</t>
  </si>
  <si>
    <t>INT-00952</t>
  </si>
  <si>
    <t>INT-00953</t>
  </si>
  <si>
    <t>Customer 111</t>
  </si>
  <si>
    <t>INT-00954</t>
  </si>
  <si>
    <t>INT-00955</t>
  </si>
  <si>
    <t>INT-00956</t>
  </si>
  <si>
    <t>INT-00957</t>
  </si>
  <si>
    <t>INT-00958</t>
  </si>
  <si>
    <t>INT-00959</t>
  </si>
  <si>
    <t>Customer 548</t>
  </si>
  <si>
    <t>INT-00960</t>
  </si>
  <si>
    <t>INT-00961</t>
  </si>
  <si>
    <t>Customer 120</t>
  </si>
  <si>
    <t>INT-00962</t>
  </si>
  <si>
    <t>INT-00963</t>
  </si>
  <si>
    <t>INT-00964</t>
  </si>
  <si>
    <t>INT-00965</t>
  </si>
  <si>
    <t>INT-00966</t>
  </si>
  <si>
    <t>INT-00967</t>
  </si>
  <si>
    <t>INT-00968</t>
  </si>
  <si>
    <t>Customer 518</t>
  </si>
  <si>
    <t>INT-00969</t>
  </si>
  <si>
    <t>Customer 225</t>
  </si>
  <si>
    <t>INT-00970</t>
  </si>
  <si>
    <t>Customer 081</t>
  </si>
  <si>
    <t>INT-00971</t>
  </si>
  <si>
    <t>INT-00972</t>
  </si>
  <si>
    <t>INT-00973</t>
  </si>
  <si>
    <t>INT-00974</t>
  </si>
  <si>
    <t>INT-00975</t>
  </si>
  <si>
    <t>Customer 525</t>
  </si>
  <si>
    <t>INT-00976</t>
  </si>
  <si>
    <t>INT-00977</t>
  </si>
  <si>
    <t>INT-00978</t>
  </si>
  <si>
    <t>INT-00979</t>
  </si>
  <si>
    <t>INT-00980</t>
  </si>
  <si>
    <t>Customer 576</t>
  </si>
  <si>
    <t>INT-00981</t>
  </si>
  <si>
    <t>INT-00982</t>
  </si>
  <si>
    <t>INT-00983</t>
  </si>
  <si>
    <t>INT-00984</t>
  </si>
  <si>
    <t>Customer 535</t>
  </si>
  <si>
    <t>INT-00985</t>
  </si>
  <si>
    <t>INT-00986</t>
  </si>
  <si>
    <t>INT-00987</t>
  </si>
  <si>
    <t>INT-00988</t>
  </si>
  <si>
    <t>INT-00989</t>
  </si>
  <si>
    <t>INT-00990</t>
  </si>
  <si>
    <t>INT-00991</t>
  </si>
  <si>
    <t>INT-00992</t>
  </si>
  <si>
    <t>INT-00993</t>
  </si>
  <si>
    <t>INT-00994</t>
  </si>
  <si>
    <t>INT-00995</t>
  </si>
  <si>
    <t>INT-00996</t>
  </si>
  <si>
    <t>Customer 651</t>
  </si>
  <si>
    <t>INT-00997</t>
  </si>
  <si>
    <t>Customer 440</t>
  </si>
  <si>
    <t>INT-00998</t>
  </si>
  <si>
    <t>INT-00999</t>
  </si>
  <si>
    <t>Customer 463</t>
  </si>
  <si>
    <t>INT-01000</t>
  </si>
  <si>
    <t>INT-01001</t>
  </si>
  <si>
    <t>INT-01002</t>
  </si>
  <si>
    <t>Customer 379</t>
  </si>
  <si>
    <t>INT-01003</t>
  </si>
  <si>
    <t>INT-01004</t>
  </si>
  <si>
    <t>INT-01005</t>
  </si>
  <si>
    <t>INT-01006</t>
  </si>
  <si>
    <t>Customer 638</t>
  </si>
  <si>
    <t>INT-01007</t>
  </si>
  <si>
    <t>INT-01008</t>
  </si>
  <si>
    <t>Customer 351</t>
  </si>
  <si>
    <t>INT-01009</t>
  </si>
  <si>
    <t>INT-01010</t>
  </si>
  <si>
    <t>INT-01011</t>
  </si>
  <si>
    <t>INT-01012</t>
  </si>
  <si>
    <t>INT-01013</t>
  </si>
  <si>
    <t>INT-01014</t>
  </si>
  <si>
    <t>INT-01015</t>
  </si>
  <si>
    <t>INT-01016</t>
  </si>
  <si>
    <t>Customer 531</t>
  </si>
  <si>
    <t>INT-01017</t>
  </si>
  <si>
    <t>INT-01018</t>
  </si>
  <si>
    <t>INT-01019</t>
  </si>
  <si>
    <t>INT-01020</t>
  </si>
  <si>
    <t>INT-01021</t>
  </si>
  <si>
    <t>INT-01022</t>
  </si>
  <si>
    <t>INT-01023</t>
  </si>
  <si>
    <t>INT-01024</t>
  </si>
  <si>
    <t>INT-01025</t>
  </si>
  <si>
    <t>Customer 625</t>
  </si>
  <si>
    <t>INT-01026</t>
  </si>
  <si>
    <t>INT-01027</t>
  </si>
  <si>
    <t>INT-01028</t>
  </si>
  <si>
    <t>INT-01029</t>
  </si>
  <si>
    <t>INT-01030</t>
  </si>
  <si>
    <t>Customer 465</t>
  </si>
  <si>
    <t>INT-01031</t>
  </si>
  <si>
    <t>Customer 013</t>
  </si>
  <si>
    <t>INT-01032</t>
  </si>
  <si>
    <t>Customer 032</t>
  </si>
  <si>
    <t>INT-01033</t>
  </si>
  <si>
    <t>INT-01034</t>
  </si>
  <si>
    <t>INT-01035</t>
  </si>
  <si>
    <t>INT-01036</t>
  </si>
  <si>
    <t>Customer 694</t>
  </si>
  <si>
    <t>INT-01037</t>
  </si>
  <si>
    <t>INT-01038</t>
  </si>
  <si>
    <t>INT-01039</t>
  </si>
  <si>
    <t>Customer 539</t>
  </si>
  <si>
    <t>INT-01040</t>
  </si>
  <si>
    <t>INT-01041</t>
  </si>
  <si>
    <t>Customer 342</t>
  </si>
  <si>
    <t>INT-01042</t>
  </si>
  <si>
    <t>Customer 347</t>
  </si>
  <si>
    <t>INT-01043</t>
  </si>
  <si>
    <t>INT-01044</t>
  </si>
  <si>
    <t>Customer 370</t>
  </si>
  <si>
    <t>INT-01045</t>
  </si>
  <si>
    <t>INT-01046</t>
  </si>
  <si>
    <t>Customer 289</t>
  </si>
  <si>
    <t>INT-01047</t>
  </si>
  <si>
    <t>INT-01048</t>
  </si>
  <si>
    <t>Customer 312</t>
  </si>
  <si>
    <t>INT-01049</t>
  </si>
  <si>
    <t>INT-01050</t>
  </si>
  <si>
    <t>INT-01051</t>
  </si>
  <si>
    <t>INT-01052</t>
  </si>
  <si>
    <t>INT-01053</t>
  </si>
  <si>
    <t>INT-01054</t>
  </si>
  <si>
    <t>INT-01055</t>
  </si>
  <si>
    <t>INT-01056</t>
  </si>
  <si>
    <t>INT-01057</t>
  </si>
  <si>
    <t>INT-01058</t>
  </si>
  <si>
    <t>INT-01059</t>
  </si>
  <si>
    <t>INT-01060</t>
  </si>
  <si>
    <t>Customer 627</t>
  </si>
  <si>
    <t>INT-01061</t>
  </si>
  <si>
    <t>INT-01062</t>
  </si>
  <si>
    <t>INT-01063</t>
  </si>
  <si>
    <t>INT-01064</t>
  </si>
  <si>
    <t>INT-01065</t>
  </si>
  <si>
    <t>INT-01066</t>
  </si>
  <si>
    <t>INT-01067</t>
  </si>
  <si>
    <t>INT-01068</t>
  </si>
  <si>
    <t>INT-01069</t>
  </si>
  <si>
    <t>INT-01070</t>
  </si>
  <si>
    <t>INT-01071</t>
  </si>
  <si>
    <t>INT-01072</t>
  </si>
  <si>
    <t>INT-01073</t>
  </si>
  <si>
    <t>INT-01074</t>
  </si>
  <si>
    <t>INT-01075</t>
  </si>
  <si>
    <t>INT-01076</t>
  </si>
  <si>
    <t>INT-01077</t>
  </si>
  <si>
    <t>Customer 326</t>
  </si>
  <si>
    <t>INT-01078</t>
  </si>
  <si>
    <t>Customer 667</t>
  </si>
  <si>
    <t>INT-01079</t>
  </si>
  <si>
    <t>INT-01080</t>
  </si>
  <si>
    <t>Customer 335</t>
  </si>
  <si>
    <t>INT-01081</t>
  </si>
  <si>
    <t>INT-01082</t>
  </si>
  <si>
    <t>INT-01083</t>
  </si>
  <si>
    <t>INT-01084</t>
  </si>
  <si>
    <t>Customer 512</t>
  </si>
  <si>
    <t>INT-01085</t>
  </si>
  <si>
    <t>INT-01086</t>
  </si>
  <si>
    <t>INT-01087</t>
  </si>
  <si>
    <t>INT-01088</t>
  </si>
  <si>
    <t>INT-01089</t>
  </si>
  <si>
    <t>Customer 670</t>
  </si>
  <si>
    <t>INT-01090</t>
  </si>
  <si>
    <t>Customer 488</t>
  </si>
  <si>
    <t>INT-01091</t>
  </si>
  <si>
    <t>INT-01092</t>
  </si>
  <si>
    <t>Customer 408</t>
  </si>
  <si>
    <t>INT-01093</t>
  </si>
  <si>
    <t>INT-01094</t>
  </si>
  <si>
    <t>INT-01095</t>
  </si>
  <si>
    <t>INT-01096</t>
  </si>
  <si>
    <t>INT-01097</t>
  </si>
  <si>
    <t>INT-01098</t>
  </si>
  <si>
    <t>Customer 287</t>
  </si>
  <si>
    <t>INT-01099</t>
  </si>
  <si>
    <t>INT-01100</t>
  </si>
  <si>
    <t>INT-01101</t>
  </si>
  <si>
    <t>INT-01102</t>
  </si>
  <si>
    <t>Customer 152</t>
  </si>
  <si>
    <t>INT-01103</t>
  </si>
  <si>
    <t>INT-01104</t>
  </si>
  <si>
    <t>Customer 340</t>
  </si>
  <si>
    <t>INT-01105</t>
  </si>
  <si>
    <t>INT-01106</t>
  </si>
  <si>
    <t>INT-01107</t>
  </si>
  <si>
    <t>Customer 156</t>
  </si>
  <si>
    <t>INT-01108</t>
  </si>
  <si>
    <t>INT-01109</t>
  </si>
  <si>
    <t>INT-01110</t>
  </si>
  <si>
    <t>INT-01111</t>
  </si>
  <si>
    <t>Customer 217</t>
  </si>
  <si>
    <t>INT-01112</t>
  </si>
  <si>
    <t>INT-01113</t>
  </si>
  <si>
    <t>Customer 291</t>
  </si>
  <si>
    <t>INT-01114</t>
  </si>
  <si>
    <t>Customer 294</t>
  </si>
  <si>
    <t>INT-01115</t>
  </si>
  <si>
    <t>INT-01116</t>
  </si>
  <si>
    <t>INT-01117</t>
  </si>
  <si>
    <t>INT-01118</t>
  </si>
  <si>
    <t>INT-01119</t>
  </si>
  <si>
    <t>INT-01120</t>
  </si>
  <si>
    <t>Customer 302</t>
  </si>
  <si>
    <t>INT-01121</t>
  </si>
  <si>
    <t>INT-01122</t>
  </si>
  <si>
    <t>Customer 212</t>
  </si>
  <si>
    <t>INT-01123</t>
  </si>
  <si>
    <t>INT-01124</t>
  </si>
  <si>
    <t>Customer 594</t>
  </si>
  <si>
    <t>INT-01125</t>
  </si>
  <si>
    <t>INT-01126</t>
  </si>
  <si>
    <t>INT-01127</t>
  </si>
  <si>
    <t>INT-01128</t>
  </si>
  <si>
    <t>INT-01129</t>
  </si>
  <si>
    <t>INT-01130</t>
  </si>
  <si>
    <t>Customer 230</t>
  </si>
  <si>
    <t>INT-01131</t>
  </si>
  <si>
    <t>INT-01132</t>
  </si>
  <si>
    <t>INT-01133</t>
  </si>
  <si>
    <t>Customer 319</t>
  </si>
  <si>
    <t>INT-01134</t>
  </si>
  <si>
    <t>INT-01135</t>
  </si>
  <si>
    <t>Customer 551</t>
  </si>
  <si>
    <t>INT-01136</t>
  </si>
  <si>
    <t>Customer 167</t>
  </si>
  <si>
    <t>INT-01137</t>
  </si>
  <si>
    <t>INT-01138</t>
  </si>
  <si>
    <t>INT-01139</t>
  </si>
  <si>
    <t>INT-01140</t>
  </si>
  <si>
    <t>Customer 157</t>
  </si>
  <si>
    <t>INT-01141</t>
  </si>
  <si>
    <t>INT-01142</t>
  </si>
  <si>
    <t>INT-01143</t>
  </si>
  <si>
    <t>INT-01144</t>
  </si>
  <si>
    <t>INT-01145</t>
  </si>
  <si>
    <t>INT-01146</t>
  </si>
  <si>
    <t>INT-01147</t>
  </si>
  <si>
    <t>INT-01148</t>
  </si>
  <si>
    <t>INT-01149</t>
  </si>
  <si>
    <t>INT-01150</t>
  </si>
  <si>
    <t>INT-01151</t>
  </si>
  <si>
    <t>INT-01152</t>
  </si>
  <si>
    <t>INT-01153</t>
  </si>
  <si>
    <t>INT-01154</t>
  </si>
  <si>
    <t>INT-01155</t>
  </si>
  <si>
    <t>INT-01156</t>
  </si>
  <si>
    <t>INT-01157</t>
  </si>
  <si>
    <t>INT-01158</t>
  </si>
  <si>
    <t>INT-01159</t>
  </si>
  <si>
    <t>INT-01160</t>
  </si>
  <si>
    <t>INT-01161</t>
  </si>
  <si>
    <t>INT-01162</t>
  </si>
  <si>
    <t>INT-01163</t>
  </si>
  <si>
    <t>Customer 025</t>
  </si>
  <si>
    <t>INT-01164</t>
  </si>
  <si>
    <t>INT-01165</t>
  </si>
  <si>
    <t>Customer 113</t>
  </si>
  <si>
    <t>INT-01166</t>
  </si>
  <si>
    <t>INT-01167</t>
  </si>
  <si>
    <t>INT-01168</t>
  </si>
  <si>
    <t>INT-01169</t>
  </si>
  <si>
    <t>INT-01170</t>
  </si>
  <si>
    <t>INT-01171</t>
  </si>
  <si>
    <t>INT-01172</t>
  </si>
  <si>
    <t>INT-01173</t>
  </si>
  <si>
    <t>INT-01174</t>
  </si>
  <si>
    <t>INT-01175</t>
  </si>
  <si>
    <t>INT-01176</t>
  </si>
  <si>
    <t>INT-01177</t>
  </si>
  <si>
    <t>INT-01178</t>
  </si>
  <si>
    <t>INT-01179</t>
  </si>
  <si>
    <t>INT-01180</t>
  </si>
  <si>
    <t>Customer 666</t>
  </si>
  <si>
    <t>INT-01181</t>
  </si>
  <si>
    <t>INT-01182</t>
  </si>
  <si>
    <t>INT-01183</t>
  </si>
  <si>
    <t>INT-01184</t>
  </si>
  <si>
    <t>INT-01185</t>
  </si>
  <si>
    <t>INT-01186</t>
  </si>
  <si>
    <t>INT-01187</t>
  </si>
  <si>
    <t>INT-01188</t>
  </si>
  <si>
    <t>INT-01189</t>
  </si>
  <si>
    <t>Customer 048</t>
  </si>
  <si>
    <t>INT-01190</t>
  </si>
  <si>
    <t>INT-01191</t>
  </si>
  <si>
    <t>INT-01192</t>
  </si>
  <si>
    <t>Customer 288</t>
  </si>
  <si>
    <t>INT-01193</t>
  </si>
  <si>
    <t>INT-01194</t>
  </si>
  <si>
    <t>INT-01195</t>
  </si>
  <si>
    <t>Customer 108</t>
  </si>
  <si>
    <t>INT-01196</t>
  </si>
  <si>
    <t>INT-01197</t>
  </si>
  <si>
    <t>INT-01198</t>
  </si>
  <si>
    <t>INT-01199</t>
  </si>
  <si>
    <t>INT-01200</t>
  </si>
  <si>
    <t>INT-01201</t>
  </si>
  <si>
    <t>INT-01202</t>
  </si>
  <si>
    <t>INT-01203</t>
  </si>
  <si>
    <t>Customer 290</t>
  </si>
  <si>
    <t>INT-01204</t>
  </si>
  <si>
    <t>INT-01205</t>
  </si>
  <si>
    <t>INT-01206</t>
  </si>
  <si>
    <t>INT-01207</t>
  </si>
  <si>
    <t>INT-01208</t>
  </si>
  <si>
    <t>INT-01209</t>
  </si>
  <si>
    <t>INT-01210</t>
  </si>
  <si>
    <t>Customer 197</t>
  </si>
  <si>
    <t>INT-01211</t>
  </si>
  <si>
    <t>INT-01212</t>
  </si>
  <si>
    <t>INT-01213</t>
  </si>
  <si>
    <t>INT-01214</t>
  </si>
  <si>
    <t>INT-01215</t>
  </si>
  <si>
    <t>Customer 645</t>
  </si>
  <si>
    <t>INT-01216</t>
  </si>
  <si>
    <t>INT-01217</t>
  </si>
  <si>
    <t>INT-01218</t>
  </si>
  <si>
    <t>Customer 270</t>
  </si>
  <si>
    <t>INT-01219</t>
  </si>
  <si>
    <t>INT-01220</t>
  </si>
  <si>
    <t>INT-01221</t>
  </si>
  <si>
    <t>Customer 029</t>
  </si>
  <si>
    <t>INT-01222</t>
  </si>
  <si>
    <t>INT-01223</t>
  </si>
  <si>
    <t>Customer 605</t>
  </si>
  <si>
    <t>INT-01224</t>
  </si>
  <si>
    <t>INT-01225</t>
  </si>
  <si>
    <t>INT-01226</t>
  </si>
  <si>
    <t>Customer 345</t>
  </si>
  <si>
    <t>INT-01227</t>
  </si>
  <si>
    <t>INT-01228</t>
  </si>
  <si>
    <t>INT-01229</t>
  </si>
  <si>
    <t>INT-01230</t>
  </si>
  <si>
    <t>Customer 321</t>
  </si>
  <si>
    <t>INT-01231</t>
  </si>
  <si>
    <t>INT-01232</t>
  </si>
  <si>
    <t>Customer 143</t>
  </si>
  <si>
    <t>INT-01233</t>
  </si>
  <si>
    <t>INT-01234</t>
  </si>
  <si>
    <t>INT-01235</t>
  </si>
  <si>
    <t>INT-01236</t>
  </si>
  <si>
    <t>Customer 005</t>
  </si>
  <si>
    <t>INT-01237</t>
  </si>
  <si>
    <t>INT-01238</t>
  </si>
  <si>
    <t>INT-01239</t>
  </si>
  <si>
    <t>INT-01240</t>
  </si>
  <si>
    <t>Customer 375</t>
  </si>
  <si>
    <t>INT-01241</t>
  </si>
  <si>
    <t>INT-01242</t>
  </si>
  <si>
    <t>Customer 015</t>
  </si>
  <si>
    <t>INT-01243</t>
  </si>
  <si>
    <t>INT-01244</t>
  </si>
  <si>
    <t>INT-01245</t>
  </si>
  <si>
    <t>Customer 460</t>
  </si>
  <si>
    <t>INT-01246</t>
  </si>
  <si>
    <t>INT-01247</t>
  </si>
  <si>
    <t>INT-01248</t>
  </si>
  <si>
    <t>INT-01249</t>
  </si>
  <si>
    <t>INT-01250</t>
  </si>
  <si>
    <t>Customer 242</t>
  </si>
  <si>
    <t>INT-01251</t>
  </si>
  <si>
    <t>INT-01252</t>
  </si>
  <si>
    <t>Customer 608</t>
  </si>
  <si>
    <t>INT-01253</t>
  </si>
  <si>
    <t>INT-01254</t>
  </si>
  <si>
    <t>Customer 665</t>
  </si>
  <si>
    <t>INT-01255</t>
  </si>
  <si>
    <t>INT-01256</t>
  </si>
  <si>
    <t>INT-01257</t>
  </si>
  <si>
    <t>INT-01258</t>
  </si>
  <si>
    <t>INT-01259</t>
  </si>
  <si>
    <t>INT-01260</t>
  </si>
  <si>
    <t>INT-01261</t>
  </si>
  <si>
    <t>INT-01262</t>
  </si>
  <si>
    <t>Customer 085</t>
  </si>
  <si>
    <t>INT-01263</t>
  </si>
  <si>
    <t>INT-01264</t>
  </si>
  <si>
    <t>INT-01265</t>
  </si>
  <si>
    <t>INT-01266</t>
  </si>
  <si>
    <t>INT-01267</t>
  </si>
  <si>
    <t>INT-01268</t>
  </si>
  <si>
    <t>INT-01269</t>
  </si>
  <si>
    <t>INT-01270</t>
  </si>
  <si>
    <t>INT-01271</t>
  </si>
  <si>
    <t>INT-01272</t>
  </si>
  <si>
    <t>INT-01273</t>
  </si>
  <si>
    <t>INT-01274</t>
  </si>
  <si>
    <t>INT-01275</t>
  </si>
  <si>
    <t>INT-01276</t>
  </si>
  <si>
    <t>INT-01277</t>
  </si>
  <si>
    <t>INT-01278</t>
  </si>
  <si>
    <t>INT-01279</t>
  </si>
  <si>
    <t>Customer 110</t>
  </si>
  <si>
    <t>INT-01280</t>
  </si>
  <si>
    <t>INT-01281</t>
  </si>
  <si>
    <t>INT-01282</t>
  </si>
  <si>
    <t>INT-01283</t>
  </si>
  <si>
    <t>INT-01284</t>
  </si>
  <si>
    <t>Customer 492</t>
  </si>
  <si>
    <t>INT-01285</t>
  </si>
  <si>
    <t>INT-01286</t>
  </si>
  <si>
    <t>INT-01287</t>
  </si>
  <si>
    <t>INT-01288</t>
  </si>
  <si>
    <t>INT-01289</t>
  </si>
  <si>
    <t>INT-01290</t>
  </si>
  <si>
    <t>INT-01291</t>
  </si>
  <si>
    <t>INT-01292</t>
  </si>
  <si>
    <t>INT-01293</t>
  </si>
  <si>
    <t>INT-01294</t>
  </si>
  <si>
    <t>INT-01295</t>
  </si>
  <si>
    <t>INT-01296</t>
  </si>
  <si>
    <t>INT-01297</t>
  </si>
  <si>
    <t>Customer 607</t>
  </si>
  <si>
    <t>INT-01298</t>
  </si>
  <si>
    <t>INT-01299</t>
  </si>
  <si>
    <t>INT-01300</t>
  </si>
  <si>
    <t>INT-01301</t>
  </si>
  <si>
    <t>INT-01302</t>
  </si>
  <si>
    <t>INT-01303</t>
  </si>
  <si>
    <t>INT-01304</t>
  </si>
  <si>
    <t>INT-01305</t>
  </si>
  <si>
    <t>Customer 515</t>
  </si>
  <si>
    <t>INT-01306</t>
  </si>
  <si>
    <t>INT-01307</t>
  </si>
  <si>
    <t>INT-01308</t>
  </si>
  <si>
    <t>INT-01309</t>
  </si>
  <si>
    <t>INT-01310</t>
  </si>
  <si>
    <t>INT-01311</t>
  </si>
  <si>
    <t>INT-01312</t>
  </si>
  <si>
    <t>INT-01313</t>
  </si>
  <si>
    <t>INT-01314</t>
  </si>
  <si>
    <t>INT-01315</t>
  </si>
  <si>
    <t>INT-01316</t>
  </si>
  <si>
    <t>INT-01317</t>
  </si>
  <si>
    <t>INT-01318</t>
  </si>
  <si>
    <t>INT-01319</t>
  </si>
  <si>
    <t>Customer 622</t>
  </si>
  <si>
    <t>INT-01320</t>
  </si>
  <si>
    <t>INT-01321</t>
  </si>
  <si>
    <t>INT-01322</t>
  </si>
  <si>
    <t>INT-01323</t>
  </si>
  <si>
    <t>Customer 364</t>
  </si>
  <si>
    <t>INT-01324</t>
  </si>
  <si>
    <t>INT-01325</t>
  </si>
  <si>
    <t>Customer 505</t>
  </si>
  <si>
    <t>INT-01326</t>
  </si>
  <si>
    <t>INT-01327</t>
  </si>
  <si>
    <t>INT-01328</t>
  </si>
  <si>
    <t>INT-01329</t>
  </si>
  <si>
    <t>Customer 682</t>
  </si>
  <si>
    <t>INT-01330</t>
  </si>
  <si>
    <t>INT-01331</t>
  </si>
  <si>
    <t>INT-01332</t>
  </si>
  <si>
    <t>INT-01333</t>
  </si>
  <si>
    <t>Customer 103</t>
  </si>
  <si>
    <t>INT-01334</t>
  </si>
  <si>
    <t>INT-01335</t>
  </si>
  <si>
    <t>INT-01336</t>
  </si>
  <si>
    <t>INT-01337</t>
  </si>
  <si>
    <t>INT-01338</t>
  </si>
  <si>
    <t>Customer 585</t>
  </si>
  <si>
    <t>INT-01339</t>
  </si>
  <si>
    <t>INT-01340</t>
  </si>
  <si>
    <t>INT-01341</t>
  </si>
  <si>
    <t>INT-01342</t>
  </si>
  <si>
    <t>INT-01343</t>
  </si>
  <si>
    <t>INT-01344</t>
  </si>
  <si>
    <t>INT-01345</t>
  </si>
  <si>
    <t>INT-01346</t>
  </si>
  <si>
    <t>INT-01347</t>
  </si>
  <si>
    <t>INT-01348</t>
  </si>
  <si>
    <t>INT-01349</t>
  </si>
  <si>
    <t>INT-01350</t>
  </si>
  <si>
    <t>Customer 660</t>
  </si>
  <si>
    <t>INT-01351</t>
  </si>
  <si>
    <t>INT-01352</t>
  </si>
  <si>
    <t>INT-01353</t>
  </si>
  <si>
    <t>Customer 213</t>
  </si>
  <si>
    <t>INT-01354</t>
  </si>
  <si>
    <t>INT-01355</t>
  </si>
  <si>
    <t>INT-01356</t>
  </si>
  <si>
    <t>INT-01357</t>
  </si>
  <si>
    <t>INT-01358</t>
  </si>
  <si>
    <t>INT-01359</t>
  </si>
  <si>
    <t>INT-01360</t>
  </si>
  <si>
    <t>INT-01361</t>
  </si>
  <si>
    <t>INT-01362</t>
  </si>
  <si>
    <t>Customer 330</t>
  </si>
  <si>
    <t>INT-01363</t>
  </si>
  <si>
    <t>INT-01364</t>
  </si>
  <si>
    <t>INT-01365</t>
  </si>
  <si>
    <t>INT-01366</t>
  </si>
  <si>
    <t>INT-01367</t>
  </si>
  <si>
    <t>Customer 059</t>
  </si>
  <si>
    <t>INT-01368</t>
  </si>
  <si>
    <t>INT-01369</t>
  </si>
  <si>
    <t>INT-01370</t>
  </si>
  <si>
    <t>INT-01371</t>
  </si>
  <si>
    <t>INT-01372</t>
  </si>
  <si>
    <t>Customer 652</t>
  </si>
  <si>
    <t>INT-01373</t>
  </si>
  <si>
    <t>INT-01374</t>
  </si>
  <si>
    <t>INT-01375</t>
  </si>
  <si>
    <t>INT-01376</t>
  </si>
  <si>
    <t>INT-01377</t>
  </si>
  <si>
    <t>Customer 036</t>
  </si>
  <si>
    <t>INT-01378</t>
  </si>
  <si>
    <t>INT-01379</t>
  </si>
  <si>
    <t>INT-01380</t>
  </si>
  <si>
    <t>INT-01381</t>
  </si>
  <si>
    <t>INT-01382</t>
  </si>
  <si>
    <t>INT-01383</t>
  </si>
  <si>
    <t>INT-01384</t>
  </si>
  <si>
    <t>INT-01385</t>
  </si>
  <si>
    <t>INT-01386</t>
  </si>
  <si>
    <t>INT-01387</t>
  </si>
  <si>
    <t>INT-01388</t>
  </si>
  <si>
    <t>INT-01389</t>
  </si>
  <si>
    <t>INT-01390</t>
  </si>
  <si>
    <t>INT-01391</t>
  </si>
  <si>
    <t>INT-01392</t>
  </si>
  <si>
    <t>INT-01393</t>
  </si>
  <si>
    <t>INT-01394</t>
  </si>
  <si>
    <t>Customer 324</t>
  </si>
  <si>
    <t>INT-01395</t>
  </si>
  <si>
    <t>INT-01396</t>
  </si>
  <si>
    <t>Customer 521</t>
  </si>
  <si>
    <t>INT-01397</t>
  </si>
  <si>
    <t>INT-01398</t>
  </si>
  <si>
    <t>INT-01399</t>
  </si>
  <si>
    <t>INT-01400</t>
  </si>
  <si>
    <t>Customer 616</t>
  </si>
  <si>
    <t>INT-01401</t>
  </si>
  <si>
    <t>INT-01402</t>
  </si>
  <si>
    <t>INT-01403</t>
  </si>
  <si>
    <t>INT-01404</t>
  </si>
  <si>
    <t>INT-01405</t>
  </si>
  <si>
    <t>INT-01406</t>
  </si>
  <si>
    <t>INT-01407</t>
  </si>
  <si>
    <t>Customer 135</t>
  </si>
  <si>
    <t>INT-01408</t>
  </si>
  <si>
    <t>INT-01409</t>
  </si>
  <si>
    <t>INT-01410</t>
  </si>
  <si>
    <t>INT-01411</t>
  </si>
  <si>
    <t>INT-01412</t>
  </si>
  <si>
    <t>Customer 284</t>
  </si>
  <si>
    <t>INT-01413</t>
  </si>
  <si>
    <t>INT-01414</t>
  </si>
  <si>
    <t>INT-01415</t>
  </si>
  <si>
    <t>INT-01416</t>
  </si>
  <si>
    <t>Customer 469</t>
  </si>
  <si>
    <t>INT-01417</t>
  </si>
  <si>
    <t>INT-01418</t>
  </si>
  <si>
    <t>INT-01419</t>
  </si>
  <si>
    <t>INT-01420</t>
  </si>
  <si>
    <t>INT-01421</t>
  </si>
  <si>
    <t>INT-01422</t>
  </si>
  <si>
    <t>INT-01423</t>
  </si>
  <si>
    <t>INT-01424</t>
  </si>
  <si>
    <t>Customer 190</t>
  </si>
  <si>
    <t>INT-01425</t>
  </si>
  <si>
    <t>INT-01426</t>
  </si>
  <si>
    <t>Customer 650</t>
  </si>
  <si>
    <t>INT-01427</t>
  </si>
  <si>
    <t>INT-01428</t>
  </si>
  <si>
    <t>INT-01429</t>
  </si>
  <si>
    <t>Customer 572</t>
  </si>
  <si>
    <t>INT-01430</t>
  </si>
  <si>
    <t>INT-01431</t>
  </si>
  <si>
    <t>INT-01432</t>
  </si>
  <si>
    <t>INT-01433</t>
  </si>
  <si>
    <t>INT-01434</t>
  </si>
  <si>
    <t>INT-01435</t>
  </si>
  <si>
    <t>INT-01436</t>
  </si>
  <si>
    <t>INT-01437</t>
  </si>
  <si>
    <t>Customer 671</t>
  </si>
  <si>
    <t>INT-01438</t>
  </si>
  <si>
    <t>INT-01439</t>
  </si>
  <si>
    <t>INT-01440</t>
  </si>
  <si>
    <t>INT-01441</t>
  </si>
  <si>
    <t>INT-01442</t>
  </si>
  <si>
    <t>INT-01443</t>
  </si>
  <si>
    <t>INT-01444</t>
  </si>
  <si>
    <t>INT-01445</t>
  </si>
  <si>
    <t>INT-01446</t>
  </si>
  <si>
    <t>INT-01447</t>
  </si>
  <si>
    <t>INT-01448</t>
  </si>
  <si>
    <t>INT-01449</t>
  </si>
  <si>
    <t>INT-01450</t>
  </si>
  <si>
    <t>INT-01451</t>
  </si>
  <si>
    <t>INT-01452</t>
  </si>
  <si>
    <t>Customer 038</t>
  </si>
  <si>
    <t>INT-01453</t>
  </si>
  <si>
    <t>INT-01454</t>
  </si>
  <si>
    <t>INT-01455</t>
  </si>
  <si>
    <t>INT-01456</t>
  </si>
  <si>
    <t>INT-01457</t>
  </si>
  <si>
    <t>INT-01458</t>
  </si>
  <si>
    <t>INT-01459</t>
  </si>
  <si>
    <t>INT-01460</t>
  </si>
  <si>
    <t>INT-01461</t>
  </si>
  <si>
    <t>Customer 659</t>
  </si>
  <si>
    <t>INT-01462</t>
  </si>
  <si>
    <t>Customer 497</t>
  </si>
  <si>
    <t>INT-01463</t>
  </si>
  <si>
    <t>INT-01464</t>
  </si>
  <si>
    <t>INT-01465</t>
  </si>
  <si>
    <t>INT-01466</t>
  </si>
  <si>
    <t>Customer 500</t>
  </si>
  <si>
    <t>INT-01467</t>
  </si>
  <si>
    <t>INT-01468</t>
  </si>
  <si>
    <t>INT-01469</t>
  </si>
  <si>
    <t>INT-01470</t>
  </si>
  <si>
    <t>INT-01471</t>
  </si>
  <si>
    <t>INT-01472</t>
  </si>
  <si>
    <t>INT-01473</t>
  </si>
  <si>
    <t>INT-01474</t>
  </si>
  <si>
    <t>INT-01475</t>
  </si>
  <si>
    <t>Customer 633</t>
  </si>
  <si>
    <t>INT-01476</t>
  </si>
  <si>
    <t>INT-01477</t>
  </si>
  <si>
    <t>INT-01478</t>
  </si>
  <si>
    <t>INT-01479</t>
  </si>
  <si>
    <t>INT-01480</t>
  </si>
  <si>
    <t>INT-01481</t>
  </si>
  <si>
    <t>INT-01482</t>
  </si>
  <si>
    <t>INT-01483</t>
  </si>
  <si>
    <t>INT-01484</t>
  </si>
  <si>
    <t>INT-01485</t>
  </si>
  <si>
    <t>INT-01486</t>
  </si>
  <si>
    <t>INT-01487</t>
  </si>
  <si>
    <t>INT-01488</t>
  </si>
  <si>
    <t>INT-01489</t>
  </si>
  <si>
    <t>INT-01490</t>
  </si>
  <si>
    <t>INT-01491</t>
  </si>
  <si>
    <t>INT-01492</t>
  </si>
  <si>
    <t>Customer 301</t>
  </si>
  <si>
    <t>INT-01493</t>
  </si>
  <si>
    <t>Customer 037</t>
  </si>
  <si>
    <t>INT-01494</t>
  </si>
  <si>
    <t>INT-01495</t>
  </si>
  <si>
    <t>Customer 018</t>
  </si>
  <si>
    <t>INT-01496</t>
  </si>
  <si>
    <t>INT-01497</t>
  </si>
  <si>
    <t>INT-01498</t>
  </si>
  <si>
    <t>INT-01499</t>
  </si>
  <si>
    <t>INT-01500</t>
  </si>
  <si>
    <t>INT-01501</t>
  </si>
  <si>
    <t>INT-01502</t>
  </si>
  <si>
    <t>INT-01503</t>
  </si>
  <si>
    <t>INT-01504</t>
  </si>
  <si>
    <t>INT-01505</t>
  </si>
  <si>
    <t>INT-01506</t>
  </si>
  <si>
    <t>INT-01507</t>
  </si>
  <si>
    <t>INT-01508</t>
  </si>
  <si>
    <t>INT-01509</t>
  </si>
  <si>
    <t>INT-01510</t>
  </si>
  <si>
    <t>INT-01511</t>
  </si>
  <si>
    <t>INT-01512</t>
  </si>
  <si>
    <t>INT-01513</t>
  </si>
  <si>
    <t>INT-01514</t>
  </si>
  <si>
    <t>INT-01515</t>
  </si>
  <si>
    <t>Customer 454</t>
  </si>
  <si>
    <t>INT-01516</t>
  </si>
  <si>
    <t>INT-01517</t>
  </si>
  <si>
    <t>INT-01518</t>
  </si>
  <si>
    <t>INT-01519</t>
  </si>
  <si>
    <t>INT-01520</t>
  </si>
  <si>
    <t>INT-01521</t>
  </si>
  <si>
    <t>INT-01522</t>
  </si>
  <si>
    <t>INT-01523</t>
  </si>
  <si>
    <t>INT-01524</t>
  </si>
  <si>
    <t>INT-01525</t>
  </si>
  <si>
    <t>INT-01526</t>
  </si>
  <si>
    <t>INT-01527</t>
  </si>
  <si>
    <t>INT-01528</t>
  </si>
  <si>
    <t>INT-01529</t>
  </si>
  <si>
    <t>INT-01530</t>
  </si>
  <si>
    <t>INT-01531</t>
  </si>
  <si>
    <t>INT-01532</t>
  </si>
  <si>
    <t>INT-01533</t>
  </si>
  <si>
    <t>INT-01534</t>
  </si>
  <si>
    <t>Customer 121</t>
  </si>
  <si>
    <t>INT-01535</t>
  </si>
  <si>
    <t>INT-01536</t>
  </si>
  <si>
    <t>Customer 195</t>
  </si>
  <si>
    <t>INT-01537</t>
  </si>
  <si>
    <t>INT-01538</t>
  </si>
  <si>
    <t>INT-01539</t>
  </si>
  <si>
    <t>INT-01540</t>
  </si>
  <si>
    <t>INT-01541</t>
  </si>
  <si>
    <t>INT-01542</t>
  </si>
  <si>
    <t>INT-01543</t>
  </si>
  <si>
    <t>INT-01544</t>
  </si>
  <si>
    <t>INT-01545</t>
  </si>
  <si>
    <t>INT-01546</t>
  </si>
  <si>
    <t>INT-01547</t>
  </si>
  <si>
    <t>INT-01548</t>
  </si>
  <si>
    <t>INT-01549</t>
  </si>
  <si>
    <t>INT-01550</t>
  </si>
  <si>
    <t>Customer 606</t>
  </si>
  <si>
    <t>INT-01551</t>
  </si>
  <si>
    <t>INT-01552</t>
  </si>
  <si>
    <t>INT-01553</t>
  </si>
  <si>
    <t>Customer 354</t>
  </si>
  <si>
    <t>INT-01554</t>
  </si>
  <si>
    <t>INT-01555</t>
  </si>
  <si>
    <t>INT-01556</t>
  </si>
  <si>
    <t>INT-01557</t>
  </si>
  <si>
    <t>INT-01558</t>
  </si>
  <si>
    <t>INT-01559</t>
  </si>
  <si>
    <t>Customer 436</t>
  </si>
  <si>
    <t>INT-01560</t>
  </si>
  <si>
    <t>INT-01561</t>
  </si>
  <si>
    <t>INT-01562</t>
  </si>
  <si>
    <t>INT-01563</t>
  </si>
  <si>
    <t>Customer 514</t>
  </si>
  <si>
    <t>INT-01564</t>
  </si>
  <si>
    <t>INT-01565</t>
  </si>
  <si>
    <t>INT-01566</t>
  </si>
  <si>
    <t>INT-01567</t>
  </si>
  <si>
    <t>INT-01568</t>
  </si>
  <si>
    <t>INT-01569</t>
  </si>
  <si>
    <t>INT-01570</t>
  </si>
  <si>
    <t>INT-01571</t>
  </si>
  <si>
    <t>INT-01572</t>
  </si>
  <si>
    <t>INT-01573</t>
  </si>
  <si>
    <t>Customer 014</t>
  </si>
  <si>
    <t>INT-01574</t>
  </si>
  <si>
    <t>INT-01575</t>
  </si>
  <si>
    <t>INT-01576</t>
  </si>
  <si>
    <t>INT-01577</t>
  </si>
  <si>
    <t>INT-01578</t>
  </si>
  <si>
    <t>INT-01579</t>
  </si>
  <si>
    <t>INT-01580</t>
  </si>
  <si>
    <t>INT-01581</t>
  </si>
  <si>
    <t>INT-01582</t>
  </si>
  <si>
    <t>INT-01583</t>
  </si>
  <si>
    <t>INT-01584</t>
  </si>
  <si>
    <t>INT-01585</t>
  </si>
  <si>
    <t>INT-01586</t>
  </si>
  <si>
    <t>Customer 181</t>
  </si>
  <si>
    <t>INT-01587</t>
  </si>
  <si>
    <t>INT-01588</t>
  </si>
  <si>
    <t>INT-01589</t>
  </si>
  <si>
    <t>INT-01590</t>
  </si>
  <si>
    <t>INT-01591</t>
  </si>
  <si>
    <t>INT-01592</t>
  </si>
  <si>
    <t>Customer 404</t>
  </si>
  <si>
    <t>INT-01593</t>
  </si>
  <si>
    <t>INT-01594</t>
  </si>
  <si>
    <t>INT-01595</t>
  </si>
  <si>
    <t>INT-01596</t>
  </si>
  <si>
    <t>INT-01597</t>
  </si>
  <si>
    <t>INT-01598</t>
  </si>
  <si>
    <t>INT-01599</t>
  </si>
  <si>
    <t>INT-01600</t>
  </si>
  <si>
    <t>INT-01601</t>
  </si>
  <si>
    <t>INT-01602</t>
  </si>
  <si>
    <t>INT-01603</t>
  </si>
  <si>
    <t>INT-01604</t>
  </si>
  <si>
    <t>INT-01605</t>
  </si>
  <si>
    <t>INT-01606</t>
  </si>
  <si>
    <t>INT-01607</t>
  </si>
  <si>
    <t>INT-01608</t>
  </si>
  <si>
    <t>INT-01609</t>
  </si>
  <si>
    <t>INT-01610</t>
  </si>
  <si>
    <t>INT-01611</t>
  </si>
  <si>
    <t>Customer 554</t>
  </si>
  <si>
    <t>INT-01612</t>
  </si>
  <si>
    <t>INT-01613</t>
  </si>
  <si>
    <t>INT-01614</t>
  </si>
  <si>
    <t>INT-01615</t>
  </si>
  <si>
    <t>INT-01616</t>
  </si>
  <si>
    <t>INT-01617</t>
  </si>
  <si>
    <t>INT-01618</t>
  </si>
  <si>
    <t>INT-01619</t>
  </si>
  <si>
    <t>INT-01620</t>
  </si>
  <si>
    <t>Customer 582</t>
  </si>
  <si>
    <t>INT-01621</t>
  </si>
  <si>
    <t>INT-01622</t>
  </si>
  <si>
    <t>INT-01623</t>
  </si>
  <si>
    <t>Customer 555</t>
  </si>
  <si>
    <t>INT-01624</t>
  </si>
  <si>
    <t>INT-01625</t>
  </si>
  <si>
    <t>INT-01626</t>
  </si>
  <si>
    <t>INT-01627</t>
  </si>
  <si>
    <t>INT-01628</t>
  </si>
  <si>
    <t>INT-01629</t>
  </si>
  <si>
    <t>INT-01630</t>
  </si>
  <si>
    <t>INT-01631</t>
  </si>
  <si>
    <t>INT-01632</t>
  </si>
  <si>
    <t>Customer 508</t>
  </si>
  <si>
    <t>INT-01633</t>
  </si>
  <si>
    <t>INT-01634</t>
  </si>
  <si>
    <t>INT-01635</t>
  </si>
  <si>
    <t>INT-01636</t>
  </si>
  <si>
    <t>INT-01637</t>
  </si>
  <si>
    <t>INT-01638</t>
  </si>
  <si>
    <t>INT-01639</t>
  </si>
  <si>
    <t>Customer 277</t>
  </si>
  <si>
    <t>INT-01640</t>
  </si>
  <si>
    <t>INT-01641</t>
  </si>
  <si>
    <t>INT-01642</t>
  </si>
  <si>
    <t>Customer 697</t>
  </si>
  <si>
    <t>INT-01643</t>
  </si>
  <si>
    <t>INT-01644</t>
  </si>
  <si>
    <t>Customer 392</t>
  </si>
  <si>
    <t>INT-01645</t>
  </si>
  <si>
    <t>Customer 280</t>
  </si>
  <si>
    <t>INT-01646</t>
  </si>
  <si>
    <t>INT-01647</t>
  </si>
  <si>
    <t>INT-01648</t>
  </si>
  <si>
    <t>INT-01649</t>
  </si>
  <si>
    <t>INT-01650</t>
  </si>
  <si>
    <t>INT-01651</t>
  </si>
  <si>
    <t>INT-01652</t>
  </si>
  <si>
    <t>INT-01653</t>
  </si>
  <si>
    <t>INT-01654</t>
  </si>
  <si>
    <t>INT-01655</t>
  </si>
  <si>
    <t>INT-01656</t>
  </si>
  <si>
    <t>INT-01657</t>
  </si>
  <si>
    <t>Customer 691</t>
  </si>
  <si>
    <t>INT-01658</t>
  </si>
  <si>
    <t>INT-01659</t>
  </si>
  <si>
    <t>INT-01660</t>
  </si>
  <si>
    <t>INT-01661</t>
  </si>
  <si>
    <t>INT-01662</t>
  </si>
  <si>
    <t>INT-01663</t>
  </si>
  <si>
    <t>INT-01664</t>
  </si>
  <si>
    <t>INT-01665</t>
  </si>
  <si>
    <t>INT-01666</t>
  </si>
  <si>
    <t>INT-01667</t>
  </si>
  <si>
    <t>INT-01668</t>
  </si>
  <si>
    <t>INT-01669</t>
  </si>
  <si>
    <t>INT-01670</t>
  </si>
  <si>
    <t>INT-01671</t>
  </si>
  <si>
    <t>INT-01672</t>
  </si>
  <si>
    <t>INT-01673</t>
  </si>
  <si>
    <t>INT-01674</t>
  </si>
  <si>
    <t>Customer 578</t>
  </si>
  <si>
    <t>INT-01675</t>
  </si>
  <si>
    <t>INT-01676</t>
  </si>
  <si>
    <t>INT-01677</t>
  </si>
  <si>
    <t>INT-01678</t>
  </si>
  <si>
    <t>INT-01679</t>
  </si>
  <si>
    <t>INT-01680</t>
  </si>
  <si>
    <t>INT-01681</t>
  </si>
  <si>
    <t>INT-01682</t>
  </si>
  <si>
    <t>INT-01683</t>
  </si>
  <si>
    <t>INT-01684</t>
  </si>
  <si>
    <t>INT-01685</t>
  </si>
  <si>
    <t>INT-01686</t>
  </si>
  <si>
    <t>INT-01687</t>
  </si>
  <si>
    <t>INT-01688</t>
  </si>
  <si>
    <t>INT-01689</t>
  </si>
  <si>
    <t>INT-01690</t>
  </si>
  <si>
    <t>INT-01691</t>
  </si>
  <si>
    <t>INT-01692</t>
  </si>
  <si>
    <t>INT-01693</t>
  </si>
  <si>
    <t>INT-01694</t>
  </si>
  <si>
    <t>Customer 598</t>
  </si>
  <si>
    <t>INT-01695</t>
  </si>
  <si>
    <t>INT-01696</t>
  </si>
  <si>
    <t>Customer 481</t>
  </si>
  <si>
    <t>INT-01697</t>
  </si>
  <si>
    <t>INT-01698</t>
  </si>
  <si>
    <t>INT-01699</t>
  </si>
  <si>
    <t>INT-01700</t>
  </si>
  <si>
    <t>INT-01701</t>
  </si>
  <si>
    <t>INT-01702</t>
  </si>
  <si>
    <t>INT-01703</t>
  </si>
  <si>
    <t>INT-01704</t>
  </si>
  <si>
    <t>Customer 680</t>
  </si>
  <si>
    <t>INT-01705</t>
  </si>
  <si>
    <t>INT-01706</t>
  </si>
  <si>
    <t>INT-01707</t>
  </si>
  <si>
    <t>INT-01708</t>
  </si>
  <si>
    <t>INT-01709</t>
  </si>
  <si>
    <t>INT-01710</t>
  </si>
  <si>
    <t>INT-01711</t>
  </si>
  <si>
    <t>INT-01712</t>
  </si>
  <si>
    <t>INT-01713</t>
  </si>
  <si>
    <t>INT-01714</t>
  </si>
  <si>
    <t>INT-01715</t>
  </si>
  <si>
    <t>INT-01716</t>
  </si>
  <si>
    <t>Customer 163</t>
  </si>
  <si>
    <t>INT-01717</t>
  </si>
  <si>
    <t>INT-01718</t>
  </si>
  <si>
    <t>Customer 564</t>
  </si>
  <si>
    <t>INT-01719</t>
  </si>
  <si>
    <t>INT-01720</t>
  </si>
  <si>
    <t>INT-01721</t>
  </si>
  <si>
    <t>INT-01722</t>
  </si>
  <si>
    <t>INT-01723</t>
  </si>
  <si>
    <t>INT-01724</t>
  </si>
  <si>
    <t>INT-01725</t>
  </si>
  <si>
    <t>INT-01726</t>
  </si>
  <si>
    <t>INT-01727</t>
  </si>
  <si>
    <t>INT-01728</t>
  </si>
  <si>
    <t>INT-01729</t>
  </si>
  <si>
    <t>Customer 229</t>
  </si>
  <si>
    <t>INT-01730</t>
  </si>
  <si>
    <t>INT-01731</t>
  </si>
  <si>
    <t>INT-01732</t>
  </si>
  <si>
    <t>INT-01733</t>
  </si>
  <si>
    <t>INT-01734</t>
  </si>
  <si>
    <t>INT-01735</t>
  </si>
  <si>
    <t>INT-01736</t>
  </si>
  <si>
    <t>INT-01737</t>
  </si>
  <si>
    <t>INT-01738</t>
  </si>
  <si>
    <t>INT-01739</t>
  </si>
  <si>
    <t>INT-01740</t>
  </si>
  <si>
    <t>INT-01741</t>
  </si>
  <si>
    <t>Customer 696</t>
  </si>
  <si>
    <t>INT-01742</t>
  </si>
  <si>
    <t>INT-01743</t>
  </si>
  <si>
    <t>INT-01744</t>
  </si>
  <si>
    <t>INT-01745</t>
  </si>
  <si>
    <t>INT-01746</t>
  </si>
  <si>
    <t>INT-01747</t>
  </si>
  <si>
    <t>INT-01748</t>
  </si>
  <si>
    <t>INT-01749</t>
  </si>
  <si>
    <t>INT-01750</t>
  </si>
  <si>
    <t>INT-01751</t>
  </si>
  <si>
    <t>INT-01752</t>
  </si>
  <si>
    <t>Customer 613</t>
  </si>
  <si>
    <t>INT-01753</t>
  </si>
  <si>
    <t>INT-01754</t>
  </si>
  <si>
    <t>INT-01755</t>
  </si>
  <si>
    <t>INT-01756</t>
  </si>
  <si>
    <t>INT-01757</t>
  </si>
  <si>
    <t>INT-01758</t>
  </si>
  <si>
    <t>Customer 520</t>
  </si>
  <si>
    <t>INT-01759</t>
  </si>
  <si>
    <t>INT-01760</t>
  </si>
  <si>
    <t>INT-01761</t>
  </si>
  <si>
    <t>INT-01762</t>
  </si>
  <si>
    <t>INT-01763</t>
  </si>
  <si>
    <t>INT-01764</t>
  </si>
  <si>
    <t>INT-01765</t>
  </si>
  <si>
    <t>INT-01766</t>
  </si>
  <si>
    <t>INT-01767</t>
  </si>
  <si>
    <t>INT-01768</t>
  </si>
  <si>
    <t>INT-01769</t>
  </si>
  <si>
    <t>INT-01770</t>
  </si>
  <si>
    <t>INT-01771</t>
  </si>
  <si>
    <t>INT-01772</t>
  </si>
  <si>
    <t>INT-01773</t>
  </si>
  <si>
    <t>INT-01774</t>
  </si>
  <si>
    <t>INT-01775</t>
  </si>
  <si>
    <t>INT-01776</t>
  </si>
  <si>
    <t>INT-01777</t>
  </si>
  <si>
    <t>INT-01778</t>
  </si>
  <si>
    <t>INT-01779</t>
  </si>
  <si>
    <t>INT-01780</t>
  </si>
  <si>
    <t>INT-01781</t>
  </si>
  <si>
    <t>INT-01782</t>
  </si>
  <si>
    <t>INT-01783</t>
  </si>
  <si>
    <t>INT-01784</t>
  </si>
  <si>
    <t>INT-01785</t>
  </si>
  <si>
    <t>INT-01786</t>
  </si>
  <si>
    <t>INT-01787</t>
  </si>
  <si>
    <t>INT-01788</t>
  </si>
  <si>
    <t>INT-01789</t>
  </si>
  <si>
    <t>INT-01790</t>
  </si>
  <si>
    <t>INT-01791</t>
  </si>
  <si>
    <t>INT-01792</t>
  </si>
  <si>
    <t>INT-01793</t>
  </si>
  <si>
    <t>INT-01794</t>
  </si>
  <si>
    <t>INT-01795</t>
  </si>
  <si>
    <t>INT-01796</t>
  </si>
  <si>
    <t>INT-01797</t>
  </si>
  <si>
    <t>INT-01798</t>
  </si>
  <si>
    <t>INT-01799</t>
  </si>
  <si>
    <t>Customer 140</t>
  </si>
  <si>
    <t>INT-01800</t>
  </si>
  <si>
    <t>INT-01801</t>
  </si>
  <si>
    <t>INT-01802</t>
  </si>
  <si>
    <t>INT-01803</t>
  </si>
  <si>
    <t>INT-01804</t>
  </si>
  <si>
    <t>INT-01805</t>
  </si>
  <si>
    <t>INT-01806</t>
  </si>
  <si>
    <t>INT-01807</t>
  </si>
  <si>
    <t>INT-01808</t>
  </si>
  <si>
    <t>INT-01809</t>
  </si>
  <si>
    <t>INT-01810</t>
  </si>
  <si>
    <t>INT-01811</t>
  </si>
  <si>
    <t>INT-01812</t>
  </si>
  <si>
    <t>Customer 358</t>
  </si>
  <si>
    <t>INT-01813</t>
  </si>
  <si>
    <t>INT-01814</t>
  </si>
  <si>
    <t>INT-01815</t>
  </si>
  <si>
    <t>INT-01816</t>
  </si>
  <si>
    <t>INT-01817</t>
  </si>
  <si>
    <t>INT-01818</t>
  </si>
  <si>
    <t>INT-01819</t>
  </si>
  <si>
    <t>INT-01820</t>
  </si>
  <si>
    <t>INT-01821</t>
  </si>
  <si>
    <t>INT-01822</t>
  </si>
  <si>
    <t>Customer 363</t>
  </si>
  <si>
    <t>INT-01823</t>
  </si>
  <si>
    <t>INT-01824</t>
  </si>
  <si>
    <t>INT-01825</t>
  </si>
  <si>
    <t>INT-01826</t>
  </si>
  <si>
    <t>INT-01827</t>
  </si>
  <si>
    <t>INT-01828</t>
  </si>
  <si>
    <t>INT-01829</t>
  </si>
  <si>
    <t>INT-01830</t>
  </si>
  <si>
    <t>INT-01831</t>
  </si>
  <si>
    <t>INT-01832</t>
  </si>
  <si>
    <t>INT-01833</t>
  </si>
  <si>
    <t>INT-01834</t>
  </si>
  <si>
    <t>INT-01835</t>
  </si>
  <si>
    <t>INT-01836</t>
  </si>
  <si>
    <t>INT-01837</t>
  </si>
  <si>
    <t>INT-01838</t>
  </si>
  <si>
    <t>INT-01839</t>
  </si>
  <si>
    <t>INT-01840</t>
  </si>
  <si>
    <t>INT-01841</t>
  </si>
  <si>
    <t>INT-01842</t>
  </si>
  <si>
    <t>INT-01843</t>
  </si>
  <si>
    <t>INT-01844</t>
  </si>
  <si>
    <t>INT-01845</t>
  </si>
  <si>
    <t>INT-01846</t>
  </si>
  <si>
    <t>INT-01847</t>
  </si>
  <si>
    <t>INT-01848</t>
  </si>
  <si>
    <t>INT-01849</t>
  </si>
  <si>
    <t>Customer 494</t>
  </si>
  <si>
    <t>INT-01850</t>
  </si>
  <si>
    <t>INT-01851</t>
  </si>
  <si>
    <t>INT-01852</t>
  </si>
  <si>
    <t>INT-01853</t>
  </si>
  <si>
    <t>INT-01854</t>
  </si>
  <si>
    <t>INT-01855</t>
  </si>
  <si>
    <t>INT-01856</t>
  </si>
  <si>
    <t>INT-01857</t>
  </si>
  <si>
    <t>INT-01858</t>
  </si>
  <si>
    <t>Customer 160</t>
  </si>
  <si>
    <t>INT-01859</t>
  </si>
  <si>
    <t>INT-01860</t>
  </si>
  <si>
    <t>INT-01861</t>
  </si>
  <si>
    <t>INT-01862</t>
  </si>
  <si>
    <t>INT-01863</t>
  </si>
  <si>
    <t>INT-01864</t>
  </si>
  <si>
    <t>INT-01865</t>
  </si>
  <si>
    <t>INT-01866</t>
  </si>
  <si>
    <t>INT-01867</t>
  </si>
  <si>
    <t>INT-01868</t>
  </si>
  <si>
    <t>INT-01869</t>
  </si>
  <si>
    <t>INT-01870</t>
  </si>
  <si>
    <t>INT-01871</t>
  </si>
  <si>
    <t>INT-01872</t>
  </si>
  <si>
    <t>INT-01873</t>
  </si>
  <si>
    <t>INT-01874</t>
  </si>
  <si>
    <t>INT-01875</t>
  </si>
  <si>
    <t>INT-01876</t>
  </si>
  <si>
    <t>INT-01877</t>
  </si>
  <si>
    <t>INT-01878</t>
  </si>
  <si>
    <t>INT-01879</t>
  </si>
  <si>
    <t>INT-01880</t>
  </si>
  <si>
    <t>INT-01881</t>
  </si>
  <si>
    <t>INT-01882</t>
  </si>
  <si>
    <t>INT-01883</t>
  </si>
  <si>
    <t>INT-01884</t>
  </si>
  <si>
    <t>INT-01885</t>
  </si>
  <si>
    <t>INT-01886</t>
  </si>
  <si>
    <t>INT-01887</t>
  </si>
  <si>
    <t>INT-01888</t>
  </si>
  <si>
    <t>INT-01889</t>
  </si>
  <si>
    <t>INT-01890</t>
  </si>
  <si>
    <t>INT-01891</t>
  </si>
  <si>
    <t>INT-01892</t>
  </si>
  <si>
    <t>INT-01893</t>
  </si>
  <si>
    <t>INT-01894</t>
  </si>
  <si>
    <t>Customer 164</t>
  </si>
  <si>
    <t>INT-01895</t>
  </si>
  <si>
    <t>INT-01896</t>
  </si>
  <si>
    <t>Customer 007</t>
  </si>
  <si>
    <t>INT-01897</t>
  </si>
  <si>
    <t>INT-01898</t>
  </si>
  <si>
    <t>INT-01899</t>
  </si>
  <si>
    <t>INT-01900</t>
  </si>
  <si>
    <t>INT-01901</t>
  </si>
  <si>
    <t>INT-01902</t>
  </si>
  <si>
    <t>INT-01903</t>
  </si>
  <si>
    <t>INT-01904</t>
  </si>
  <si>
    <t>INT-01905</t>
  </si>
  <si>
    <t>INT-01906</t>
  </si>
  <si>
    <t>INT-01907</t>
  </si>
  <si>
    <t>INT-01908</t>
  </si>
  <si>
    <t>Customer 602</t>
  </si>
  <si>
    <t>INT-01909</t>
  </si>
  <si>
    <t>INT-01910</t>
  </si>
  <si>
    <t>INT-01911</t>
  </si>
  <si>
    <t>INT-01912</t>
  </si>
  <si>
    <t>INT-01913</t>
  </si>
  <si>
    <t>INT-01914</t>
  </si>
  <si>
    <t>INT-01915</t>
  </si>
  <si>
    <t>INT-01916</t>
  </si>
  <si>
    <t>INT-01917</t>
  </si>
  <si>
    <t>INT-01918</t>
  </si>
  <si>
    <t>INT-01919</t>
  </si>
  <si>
    <t>INT-01920</t>
  </si>
  <si>
    <t>INT-01921</t>
  </si>
  <si>
    <t>INT-01922</t>
  </si>
  <si>
    <t>INT-01923</t>
  </si>
  <si>
    <t>INT-01924</t>
  </si>
  <si>
    <t>INT-01925</t>
  </si>
  <si>
    <t>INT-01926</t>
  </si>
  <si>
    <t>INT-01927</t>
  </si>
  <si>
    <t>INT-01928</t>
  </si>
  <si>
    <t>INT-01929</t>
  </si>
  <si>
    <t>INT-01930</t>
  </si>
  <si>
    <t>INT-01931</t>
  </si>
  <si>
    <t>INT-01932</t>
  </si>
  <si>
    <t>INT-01933</t>
  </si>
  <si>
    <t>INT-01934</t>
  </si>
  <si>
    <t>INT-01935</t>
  </si>
  <si>
    <t>INT-01936</t>
  </si>
  <si>
    <t>INT-01937</t>
  </si>
  <si>
    <t>INT-01938</t>
  </si>
  <si>
    <t>INT-01939</t>
  </si>
  <si>
    <t>INT-01940</t>
  </si>
  <si>
    <t>INT-01941</t>
  </si>
  <si>
    <t>INT-01942</t>
  </si>
  <si>
    <t>INT-01943</t>
  </si>
  <si>
    <t>INT-01944</t>
  </si>
  <si>
    <t>INT-01945</t>
  </si>
  <si>
    <t>Customer 339</t>
  </si>
  <si>
    <t>INT-01946</t>
  </si>
  <si>
    <t>INT-01947</t>
  </si>
  <si>
    <t>INT-01948</t>
  </si>
  <si>
    <t>INT-01949</t>
  </si>
  <si>
    <t>INT-01950</t>
  </si>
  <si>
    <t>INT-01951</t>
  </si>
  <si>
    <t>INT-01952</t>
  </si>
  <si>
    <t>INT-01953</t>
  </si>
  <si>
    <t>INT-01954</t>
  </si>
  <si>
    <t>INT-01955</t>
  </si>
  <si>
    <t>INT-01956</t>
  </si>
  <si>
    <t>INT-01957</t>
  </si>
  <si>
    <t>INT-01958</t>
  </si>
  <si>
    <t>INT-01959</t>
  </si>
  <si>
    <t>Customer 245</t>
  </si>
  <si>
    <t>INT-01960</t>
  </si>
  <si>
    <t>INT-01961</t>
  </si>
  <si>
    <t>INT-01962</t>
  </si>
  <si>
    <t>INT-01963</t>
  </si>
  <si>
    <t>INT-01964</t>
  </si>
  <si>
    <t>INT-01965</t>
  </si>
  <si>
    <t>INT-01966</t>
  </si>
  <si>
    <t>INT-01967</t>
  </si>
  <si>
    <t>INT-01968</t>
  </si>
  <si>
    <t>INT-01969</t>
  </si>
  <si>
    <t>INT-01970</t>
  </si>
  <si>
    <t>INT-01971</t>
  </si>
  <si>
    <t>Customer 045</t>
  </si>
  <si>
    <t>INT-01972</t>
  </si>
  <si>
    <t>INT-01973</t>
  </si>
  <si>
    <t>INT-01974</t>
  </si>
  <si>
    <t>INT-01975</t>
  </si>
  <si>
    <t>INT-01976</t>
  </si>
  <si>
    <t>INT-01977</t>
  </si>
  <si>
    <t>INT-01978</t>
  </si>
  <si>
    <t>INT-01979</t>
  </si>
  <si>
    <t>INT-01980</t>
  </si>
  <si>
    <t>INT-01981</t>
  </si>
  <si>
    <t>INT-01982</t>
  </si>
  <si>
    <t>INT-01983</t>
  </si>
  <si>
    <t>INT-01984</t>
  </si>
  <si>
    <t>INT-01985</t>
  </si>
  <si>
    <t>INT-01986</t>
  </si>
  <si>
    <t>INT-01987</t>
  </si>
  <si>
    <t>INT-01988</t>
  </si>
  <si>
    <t>INT-01989</t>
  </si>
  <si>
    <t>INT-01990</t>
  </si>
  <si>
    <t>INT-01991</t>
  </si>
  <si>
    <t>INT-01992</t>
  </si>
  <si>
    <t>Customer 679</t>
  </si>
  <si>
    <t>INT-01993</t>
  </si>
  <si>
    <t>INT-01994</t>
  </si>
  <si>
    <t>INT-01995</t>
  </si>
  <si>
    <t>INT-01996</t>
  </si>
  <si>
    <t>INT-01997</t>
  </si>
  <si>
    <t>INT-01998</t>
  </si>
  <si>
    <t>INT-01999</t>
  </si>
  <si>
    <t>INT-02000</t>
  </si>
  <si>
    <t>Month</t>
  </si>
  <si>
    <t>YEAR</t>
  </si>
  <si>
    <t>Total Deals</t>
  </si>
  <si>
    <t>Sales KPI</t>
  </si>
  <si>
    <t>Won Deals</t>
  </si>
  <si>
    <t>Total Deal Value</t>
  </si>
  <si>
    <t>Total Revenue</t>
  </si>
  <si>
    <t>Win Rate</t>
  </si>
  <si>
    <t>Support KPI</t>
  </si>
  <si>
    <t>Total Tickets</t>
  </si>
  <si>
    <t>Average First Response (Hours)</t>
  </si>
  <si>
    <t>Average Resolution (Hours)</t>
  </si>
  <si>
    <t>Average CSAT</t>
  </si>
  <si>
    <t>Closed Tickets</t>
  </si>
  <si>
    <t>Resolved Tickets</t>
  </si>
  <si>
    <t>Sales Revenue</t>
  </si>
  <si>
    <t xml:space="preserve">Sales Stage </t>
  </si>
  <si>
    <t>Record Count</t>
  </si>
  <si>
    <t>Support Status</t>
  </si>
  <si>
    <t>Support Owner</t>
  </si>
  <si>
    <t>Avg Response Hours</t>
  </si>
  <si>
    <t>Avg Resolution Hours</t>
  </si>
  <si>
    <t>Avg CSAT</t>
  </si>
  <si>
    <t>SALES &amp; CUSTOMER SUPPORT INSIGHTS</t>
  </si>
  <si>
    <t>TOTAL REVENUE</t>
  </si>
  <si>
    <t>WIN RATE</t>
  </si>
  <si>
    <t>WON DEALS</t>
  </si>
  <si>
    <t>AVG RESPONSE TIME</t>
  </si>
  <si>
    <t>BUSINESS INSIGHTS &amp; RECOMMENDATIONS</t>
  </si>
  <si>
    <t>Column Name</t>
  </si>
  <si>
    <t>Total Blank Cells</t>
  </si>
  <si>
    <t>Checking Blank Cells</t>
  </si>
  <si>
    <t>AVG CSAT</t>
  </si>
  <si>
    <r>
      <rPr>
        <b/>
        <sz val="12"/>
        <color theme="0"/>
        <rFont val="Calibri"/>
        <family val="2"/>
        <scheme val="minor"/>
      </rPr>
      <t>Sales Conversion:</t>
    </r>
    <r>
      <rPr>
        <sz val="12"/>
        <color theme="0"/>
        <rFont val="Calibri"/>
        <family val="2"/>
        <scheme val="minor"/>
      </rPr>
      <t xml:space="preserve"> The current win rate is 21.76%. Analyzing lost deals and improving follow-ups can help convert more leads into successful sales.</t>
    </r>
  </si>
  <si>
    <r>
      <rPr>
        <b/>
        <sz val="12"/>
        <color theme="0"/>
        <rFont val="Calibri"/>
        <family val="2"/>
        <scheme val="minor"/>
      </rPr>
      <t xml:space="preserve">Revenue Performance: </t>
    </r>
    <r>
      <rPr>
        <sz val="12"/>
        <color theme="0"/>
        <rFont val="Calibri"/>
        <family val="2"/>
        <scheme val="minor"/>
      </rPr>
      <t>Total revenue is ₹68,35,500, with 237 won deals. Monitoring monthly revenue trends can help identify high-performing periods and improve sales planning.</t>
    </r>
  </si>
  <si>
    <r>
      <rPr>
        <b/>
        <sz val="12"/>
        <color theme="0"/>
        <rFont val="Calibri"/>
        <family val="2"/>
        <scheme val="minor"/>
      </rPr>
      <t>Customer Support:</t>
    </r>
    <r>
      <rPr>
        <sz val="12"/>
        <color theme="0"/>
        <rFont val="Calibri"/>
        <family val="2"/>
        <scheme val="minor"/>
      </rPr>
      <t xml:space="preserve"> The average first response time is 6 hours, while the average resolution time is 8.77 hours. Reducing response and resolution delays can improve customer support efficiency.</t>
    </r>
  </si>
  <si>
    <r>
      <rPr>
        <b/>
        <sz val="12"/>
        <color theme="0"/>
        <rFont val="Calibri"/>
        <family val="2"/>
        <scheme val="minor"/>
      </rPr>
      <t>Customer Satisfaction:</t>
    </r>
    <r>
      <rPr>
        <sz val="12"/>
        <color theme="0"/>
        <rFont val="Calibri"/>
        <family val="2"/>
        <scheme val="minor"/>
      </rPr>
      <t xml:space="preserve"> The average CSAT score is 4.04 out of 5. Maintaining service quality and addressing customer concerns can help improve satisfaction.</t>
    </r>
  </si>
  <si>
    <r>
      <rPr>
        <b/>
        <sz val="12"/>
        <color theme="0"/>
        <rFont val="Calibri"/>
        <family val="2"/>
        <scheme val="minor"/>
      </rPr>
      <t>Sales Pipeline:</t>
    </r>
    <r>
      <rPr>
        <sz val="12"/>
        <color theme="2"/>
        <rFont val="Calibri"/>
        <family val="2"/>
        <scheme val="minor"/>
      </rPr>
      <t xml:space="preserve"> The Proposal stage has 245 records, compared with 237 won deals. Strengthening follow-ups and tracking deal progress can help improve conversions.</t>
    </r>
  </si>
  <si>
    <t>Row Labels</t>
  </si>
  <si>
    <t>Grand Total</t>
  </si>
  <si>
    <t>Sum of Revenue_INR</t>
  </si>
  <si>
    <t>Sum of Deals</t>
  </si>
  <si>
    <t>Apr 2026</t>
  </si>
  <si>
    <t>Aug 2026</t>
  </si>
  <si>
    <t>Dec 2025</t>
  </si>
  <si>
    <t>Feb 2026</t>
  </si>
  <si>
    <t>Jan 2026</t>
  </si>
  <si>
    <t>Jul 2026</t>
  </si>
  <si>
    <t>Jun 2026</t>
  </si>
  <si>
    <t>Mar 2026</t>
  </si>
  <si>
    <t>May 2026</t>
  </si>
  <si>
    <t>Nov 2025</t>
  </si>
  <si>
    <t>Oct 2025</t>
  </si>
  <si>
    <t>Sep 2025</t>
  </si>
  <si>
    <t>(blank)</t>
  </si>
  <si>
    <t>Sum of Deal_Value_INR</t>
  </si>
  <si>
    <t>Sum of Tickets</t>
  </si>
  <si>
    <t>Average of CSAT</t>
  </si>
  <si>
    <t>Average of First_Response_Hours</t>
  </si>
  <si>
    <t>Deals Won</t>
  </si>
  <si>
    <t>Lost Deals</t>
  </si>
  <si>
    <t>Lost Deals By Lead Source</t>
  </si>
  <si>
    <t>SALES &amp; CUSTOMER SUPPORT</t>
  </si>
  <si>
    <t>RECORD LOOKUP SYSTEM</t>
  </si>
  <si>
    <t>Search for a record using VLOOKUP</t>
  </si>
  <si>
    <t>RECORD DETAILS</t>
  </si>
  <si>
    <t>Sales Stage</t>
  </si>
  <si>
    <t>Deal Value</t>
  </si>
  <si>
    <t>Revenue</t>
  </si>
  <si>
    <t>First Response (Hours)</t>
  </si>
  <si>
    <t>Resolution (Hours)</t>
  </si>
  <si>
    <t>Customer Satisfaction</t>
  </si>
  <si>
    <t>Enter Record_ID</t>
  </si>
  <si>
    <t>SALES SCENARIO ANALYSIS</t>
  </si>
  <si>
    <t>Revenue Planning &amp; Target Analysis</t>
  </si>
  <si>
    <t>Current Revenue</t>
  </si>
  <si>
    <t>Expected Growth %</t>
  </si>
  <si>
    <t>Projected Revenue</t>
  </si>
  <si>
    <t>Revenue Target</t>
  </si>
  <si>
    <t>Target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</si>
</sst>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yyyy\-mm\-dd\ hh:mm:ss"/>
    <numFmt numFmtId="165" formatCode="_ [$₹-4009]\ * #,##0.00_ ;_ [$₹-4009]\ * \-#,##0.00_ ;_ [$₹-4009]\ * &quot;-&quot;??_ ;_ @_ "/>
    <numFmt numFmtId="166" formatCode="0.00\ &quot;hrs&quot;"/>
    <numFmt numFmtId="167" formatCode="&quot;₹&quot;\ #,##0.00"/>
  </numFmts>
  <fonts count="22" x14ac:knownFonts="1">
    <font>
      <sz val="11"/>
      <color theme="1"/>
      <name val="Calibri"/>
      <family val="2"/>
      <scheme val="minor"/>
    </font>
    <font>
      <b/>
      <sz val="11"/>
      <name val="Calibri"/>
      <family val="2"/>
    </font>
    <font>
      <sz val="11"/>
      <color theme="1"/>
      <name val="Calibri"/>
      <family val="2"/>
      <scheme val="minor"/>
    </font>
    <font>
      <b/>
      <sz val="18"/>
      <color theme="0"/>
      <name val="Calibri"/>
      <family val="2"/>
      <scheme val="minor"/>
    </font>
    <font>
      <b/>
      <sz val="16"/>
      <color theme="3"/>
      <name val="Calibri"/>
      <family val="2"/>
      <scheme val="minor"/>
    </font>
    <font>
      <b/>
      <sz val="12"/>
      <color theme="0"/>
      <name val="Calibri"/>
      <family val="2"/>
      <scheme val="minor"/>
    </font>
    <font>
      <b/>
      <sz val="15"/>
      <color theme="2"/>
      <name val="Calibri"/>
      <family val="2"/>
      <scheme val="minor"/>
    </font>
    <font>
      <b/>
      <sz val="12"/>
      <color theme="3"/>
      <name val="Calibri"/>
      <family val="2"/>
      <scheme val="minor"/>
    </font>
    <font>
      <sz val="12"/>
      <color theme="0"/>
      <name val="Calibri"/>
      <family val="2"/>
      <scheme val="minor"/>
    </font>
    <font>
      <sz val="12"/>
      <color theme="2"/>
      <name val="Calibri"/>
      <family val="2"/>
      <scheme val="minor"/>
    </font>
    <font>
      <b/>
      <sz val="16"/>
      <color theme="1"/>
      <name val="Calibri"/>
      <family val="2"/>
      <scheme val="minor"/>
    </font>
    <font>
      <b/>
      <sz val="14"/>
      <color theme="1"/>
      <name val="Calibri"/>
      <family val="2"/>
      <scheme val="minor"/>
    </font>
    <font>
      <b/>
      <sz val="14"/>
      <color theme="0"/>
      <name val="Calibri"/>
      <family val="2"/>
      <scheme val="minor"/>
    </font>
    <font>
      <b/>
      <sz val="11"/>
      <color theme="0"/>
      <name val="Calibri"/>
      <family val="2"/>
      <scheme val="minor"/>
    </font>
    <font>
      <sz val="11"/>
      <color theme="0"/>
      <name val="Calibri"/>
      <family val="2"/>
      <scheme val="minor"/>
    </font>
    <font>
      <b/>
      <sz val="16"/>
      <color theme="0"/>
      <name val="Calibri"/>
      <family val="2"/>
      <scheme val="minor"/>
    </font>
    <font>
      <b/>
      <sz val="20"/>
      <color theme="0"/>
      <name val="Calibri"/>
      <family val="2"/>
      <scheme val="minor"/>
    </font>
    <font>
      <i/>
      <sz val="11"/>
      <color theme="0"/>
      <name val="Calibri"/>
      <family val="2"/>
      <scheme val="minor"/>
    </font>
    <font>
      <b/>
      <sz val="12"/>
      <color rgb="FF17365D"/>
      <name val="Calibri"/>
      <family val="2"/>
      <scheme val="minor"/>
    </font>
    <font>
      <sz val="10"/>
      <color rgb="FF17365D"/>
      <name val="Calibri"/>
      <family val="2"/>
      <scheme val="minor"/>
    </font>
    <font>
      <b/>
      <sz val="10"/>
      <color rgb="FF17365D"/>
      <name val="Calibri"/>
      <family val="2"/>
      <scheme val="minor"/>
    </font>
    <font>
      <sz val="14"/>
      <color rgb="FF243247"/>
      <name val="Calibri"/>
      <family val="2"/>
      <scheme val="minor"/>
    </font>
  </fonts>
  <fills count="15">
    <fill>
      <patternFill patternType="none"/>
    </fill>
    <fill>
      <patternFill patternType="gray125"/>
    </fill>
    <fill>
      <patternFill patternType="solid">
        <fgColor theme="4"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3"/>
        <bgColor indexed="64"/>
      </patternFill>
    </fill>
    <fill>
      <patternFill patternType="solid">
        <fgColor theme="4" tint="-0.249977111117893"/>
        <bgColor indexed="64"/>
      </patternFill>
    </fill>
    <fill>
      <patternFill patternType="solid">
        <fgColor theme="0"/>
        <bgColor indexed="64"/>
      </patternFill>
    </fill>
    <fill>
      <patternFill patternType="solid">
        <fgColor rgb="FF17365D"/>
        <bgColor indexed="64"/>
      </patternFill>
    </fill>
    <fill>
      <patternFill patternType="solid">
        <fgColor rgb="FF1F4E78"/>
        <bgColor indexed="64"/>
      </patternFill>
    </fill>
    <fill>
      <patternFill patternType="solid">
        <fgColor rgb="FFDDEBF7"/>
        <bgColor indexed="64"/>
      </patternFill>
    </fill>
    <fill>
      <patternFill patternType="solid">
        <fgColor rgb="FFF3F6F9"/>
        <bgColor indexed="64"/>
      </patternFill>
    </fill>
    <fill>
      <patternFill patternType="solid">
        <fgColor rgb="FFDDEFEA"/>
        <bgColor indexed="64"/>
      </patternFill>
    </fill>
    <fill>
      <patternFill patternType="solid">
        <fgColor theme="3" tint="0.59999389629810485"/>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D6DEE8"/>
      </right>
      <top/>
      <bottom/>
      <diagonal/>
    </border>
    <border>
      <left style="thin">
        <color rgb="FFD6DEE8"/>
      </left>
      <right/>
      <top/>
      <bottom/>
      <diagonal/>
    </border>
    <border>
      <left style="thin">
        <color rgb="FFD6DEE8"/>
      </left>
      <right/>
      <top style="thin">
        <color rgb="FFD6DEE8"/>
      </top>
      <bottom/>
      <diagonal/>
    </border>
    <border>
      <left/>
      <right style="thin">
        <color rgb="FFD6DEE8"/>
      </right>
      <top style="thin">
        <color rgb="FFD6DEE8"/>
      </top>
      <bottom/>
      <diagonal/>
    </border>
    <border>
      <left style="thin">
        <color rgb="FFD6DEE8"/>
      </left>
      <right/>
      <top/>
      <bottom style="thin">
        <color rgb="FFD6DEE8"/>
      </bottom>
      <diagonal/>
    </border>
    <border>
      <left/>
      <right style="thin">
        <color rgb="FFD6DEE8"/>
      </right>
      <top/>
      <bottom style="thin">
        <color rgb="FFD6DEE8"/>
      </bottom>
      <diagonal/>
    </border>
    <border>
      <left style="thin">
        <color rgb="FFD6DEE8"/>
      </left>
      <right/>
      <top style="medium">
        <color rgb="FF0F9D9A"/>
      </top>
      <bottom style="medium">
        <color rgb="FF0F9D9A"/>
      </bottom>
      <diagonal/>
    </border>
    <border>
      <left/>
      <right style="thin">
        <color rgb="FFD6DEE8"/>
      </right>
      <top style="medium">
        <color rgb="FF0F9D9A"/>
      </top>
      <bottom style="medium">
        <color rgb="FF0F9D9A"/>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90">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3" xfId="0" applyBorder="1"/>
    <xf numFmtId="14" fontId="1" fillId="0" borderId="2" xfId="0" applyNumberFormat="1" applyFont="1" applyBorder="1" applyAlignment="1">
      <alignment horizontal="center" vertical="top"/>
    </xf>
    <xf numFmtId="14" fontId="0" fillId="0" borderId="0" xfId="0" applyNumberFormat="1"/>
    <xf numFmtId="2" fontId="0" fillId="0" borderId="0" xfId="0" applyNumberFormat="1"/>
    <xf numFmtId="1" fontId="1" fillId="0" borderId="2" xfId="0" applyNumberFormat="1" applyFont="1" applyBorder="1" applyAlignment="1">
      <alignment horizontal="center" vertical="top"/>
    </xf>
    <xf numFmtId="1" fontId="0" fillId="0" borderId="0" xfId="0" applyNumberFormat="1"/>
    <xf numFmtId="0" fontId="1" fillId="0" borderId="0" xfId="0" applyFont="1" applyAlignment="1">
      <alignment horizontal="center" vertical="top"/>
    </xf>
    <xf numFmtId="0" fontId="0" fillId="3" borderId="0" xfId="0" applyFill="1"/>
    <xf numFmtId="0" fontId="0" fillId="4" borderId="0" xfId="0" applyFill="1"/>
    <xf numFmtId="9" fontId="0" fillId="4" borderId="0" xfId="1" applyFont="1" applyFill="1"/>
    <xf numFmtId="2" fontId="0" fillId="4" borderId="0" xfId="0" applyNumberFormat="1" applyFill="1"/>
    <xf numFmtId="165" fontId="0" fillId="4" borderId="0" xfId="0" applyNumberFormat="1" applyFill="1"/>
    <xf numFmtId="17" fontId="0" fillId="0" borderId="0" xfId="0" applyNumberFormat="1"/>
    <xf numFmtId="0" fontId="0" fillId="0" borderId="4" xfId="0" applyBorder="1"/>
    <xf numFmtId="0" fontId="0" fillId="0" borderId="5" xfId="0" applyBorder="1"/>
    <xf numFmtId="0" fontId="0" fillId="8" borderId="0" xfId="0" applyFill="1"/>
    <xf numFmtId="0" fontId="0" fillId="0" borderId="7" xfId="0" applyBorder="1"/>
    <xf numFmtId="0" fontId="0" fillId="0" borderId="8" xfId="0" applyBorder="1"/>
    <xf numFmtId="0" fontId="0" fillId="0" borderId="9" xfId="0" applyBorder="1"/>
    <xf numFmtId="0" fontId="0" fillId="0" borderId="10" xfId="0" applyBorder="1"/>
    <xf numFmtId="2" fontId="1" fillId="0" borderId="0" xfId="0" applyNumberFormat="1" applyFont="1" applyAlignment="1">
      <alignment horizontal="center" vertical="top"/>
    </xf>
    <xf numFmtId="165" fontId="4" fillId="2" borderId="11" xfId="0" applyNumberFormat="1" applyFont="1" applyFill="1" applyBorder="1" applyAlignment="1">
      <alignment vertical="center"/>
    </xf>
    <xf numFmtId="165" fontId="4" fillId="2" borderId="12" xfId="0" applyNumberFormat="1" applyFont="1" applyFill="1" applyBorder="1" applyAlignment="1">
      <alignment vertical="center"/>
    </xf>
    <xf numFmtId="0" fontId="7" fillId="2" borderId="12" xfId="0" applyFont="1" applyFill="1" applyBorder="1" applyAlignment="1">
      <alignment horizontal="center"/>
    </xf>
    <xf numFmtId="0" fontId="0" fillId="0" borderId="0" xfId="0" pivotButton="1"/>
    <xf numFmtId="0" fontId="0" fillId="0" borderId="0" xfId="0" applyAlignment="1">
      <alignment horizontal="left"/>
    </xf>
    <xf numFmtId="0" fontId="0" fillId="0" borderId="22" xfId="0" applyBorder="1"/>
    <xf numFmtId="0" fontId="0" fillId="0" borderId="23" xfId="0" applyBorder="1"/>
    <xf numFmtId="0" fontId="20" fillId="12" borderId="24" xfId="0" applyFont="1" applyFill="1" applyBorder="1"/>
    <xf numFmtId="0" fontId="20" fillId="12" borderId="23" xfId="0" applyFont="1" applyFill="1" applyBorder="1"/>
    <xf numFmtId="0" fontId="20" fillId="12" borderId="23" xfId="0" applyFont="1" applyFill="1" applyBorder="1" applyAlignment="1">
      <alignment wrapText="1"/>
    </xf>
    <xf numFmtId="0" fontId="20" fillId="12" borderId="26" xfId="0" applyFont="1" applyFill="1" applyBorder="1"/>
    <xf numFmtId="0" fontId="19" fillId="13" borderId="25" xfId="0" applyFont="1" applyFill="1" applyBorder="1" applyAlignment="1">
      <alignment horizontal="left" vertical="top"/>
    </xf>
    <xf numFmtId="0" fontId="19" fillId="13" borderId="22" xfId="0" applyFont="1" applyFill="1" applyBorder="1" applyAlignment="1">
      <alignment horizontal="left" vertical="top"/>
    </xf>
    <xf numFmtId="0" fontId="19" fillId="13" borderId="27" xfId="0" applyFont="1" applyFill="1" applyBorder="1" applyAlignment="1">
      <alignment horizontal="left" vertical="top"/>
    </xf>
    <xf numFmtId="1" fontId="19" fillId="13" borderId="22" xfId="0" applyNumberFormat="1" applyFont="1" applyFill="1" applyBorder="1" applyAlignment="1">
      <alignment horizontal="left" vertical="top"/>
    </xf>
    <xf numFmtId="1" fontId="19" fillId="13" borderId="22" xfId="1" applyNumberFormat="1" applyFont="1" applyFill="1" applyBorder="1" applyAlignment="1">
      <alignment horizontal="left" vertical="top"/>
    </xf>
    <xf numFmtId="167" fontId="19" fillId="13" borderId="22" xfId="2" applyNumberFormat="1" applyFont="1" applyFill="1" applyBorder="1" applyAlignment="1">
      <alignment horizontal="left" vertical="top"/>
    </xf>
    <xf numFmtId="167" fontId="19" fillId="13" borderId="22" xfId="0" applyNumberFormat="1" applyFont="1" applyFill="1" applyBorder="1" applyAlignment="1">
      <alignment horizontal="left" vertical="top"/>
    </xf>
    <xf numFmtId="0" fontId="5" fillId="10" borderId="28" xfId="0" applyFont="1" applyFill="1" applyBorder="1" applyAlignment="1">
      <alignment horizontal="left" vertical="center"/>
    </xf>
    <xf numFmtId="0" fontId="18" fillId="11" borderId="29" xfId="0" applyFont="1" applyFill="1" applyBorder="1" applyAlignment="1">
      <alignment horizontal="center" vertical="center"/>
    </xf>
    <xf numFmtId="0" fontId="0" fillId="11" borderId="0" xfId="0" applyFill="1"/>
    <xf numFmtId="9" fontId="0" fillId="11" borderId="0" xfId="0" applyNumberFormat="1" applyFill="1"/>
    <xf numFmtId="0" fontId="14" fillId="10" borderId="0" xfId="0" applyFont="1" applyFill="1"/>
    <xf numFmtId="0" fontId="0" fillId="8" borderId="6" xfId="0" applyFill="1" applyBorder="1" applyAlignment="1">
      <alignment horizontal="center"/>
    </xf>
    <xf numFmtId="0" fontId="0" fillId="8" borderId="0" xfId="0" applyFill="1" applyAlignment="1">
      <alignment horizontal="center"/>
    </xf>
    <xf numFmtId="0" fontId="12" fillId="5" borderId="0" xfId="0" applyFont="1" applyFill="1" applyAlignment="1">
      <alignment horizontal="center" vertical="center"/>
    </xf>
    <xf numFmtId="0" fontId="6" fillId="5" borderId="0" xfId="0" applyFont="1" applyFill="1" applyAlignment="1">
      <alignment horizontal="center" vertical="center"/>
    </xf>
    <xf numFmtId="0" fontId="3" fillId="6" borderId="14" xfId="0" applyFont="1" applyFill="1" applyBorder="1" applyAlignment="1">
      <alignment horizontal="center" vertical="center"/>
    </xf>
    <xf numFmtId="0" fontId="3" fillId="6" borderId="15" xfId="0" applyFont="1" applyFill="1" applyBorder="1" applyAlignment="1">
      <alignment horizontal="center" vertical="center"/>
    </xf>
    <xf numFmtId="0" fontId="3" fillId="6" borderId="16" xfId="0" applyFont="1" applyFill="1" applyBorder="1" applyAlignment="1">
      <alignment horizontal="center" vertical="center"/>
    </xf>
    <xf numFmtId="0" fontId="3" fillId="6" borderId="17"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19" xfId="0" applyFont="1" applyFill="1" applyBorder="1" applyAlignment="1">
      <alignment horizontal="center" vertical="center"/>
    </xf>
    <xf numFmtId="9" fontId="4" fillId="2" borderId="11" xfId="0" applyNumberFormat="1" applyFont="1" applyFill="1" applyBorder="1" applyAlignment="1">
      <alignment horizontal="center" vertical="center"/>
    </xf>
    <xf numFmtId="9" fontId="4" fillId="2" borderId="12" xfId="0" applyNumberFormat="1"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166" fontId="4" fillId="2" borderId="11" xfId="0" applyNumberFormat="1" applyFont="1" applyFill="1" applyBorder="1" applyAlignment="1">
      <alignment horizontal="center" vertical="center"/>
    </xf>
    <xf numFmtId="166" fontId="4" fillId="2" borderId="12" xfId="0" applyNumberFormat="1" applyFont="1" applyFill="1" applyBorder="1" applyAlignment="1">
      <alignment horizontal="center" vertical="center"/>
    </xf>
    <xf numFmtId="2" fontId="4" fillId="2" borderId="13" xfId="0" applyNumberFormat="1" applyFont="1" applyFill="1" applyBorder="1" applyAlignment="1">
      <alignment horizontal="center" vertical="center"/>
    </xf>
    <xf numFmtId="2" fontId="4" fillId="2" borderId="12" xfId="0" applyNumberFormat="1" applyFont="1" applyFill="1" applyBorder="1" applyAlignment="1">
      <alignment horizontal="center" vertical="center"/>
    </xf>
    <xf numFmtId="0" fontId="8" fillId="7" borderId="0" xfId="0" applyFont="1" applyFill="1" applyAlignment="1">
      <alignment horizontal="left" wrapText="1"/>
    </xf>
    <xf numFmtId="0" fontId="5" fillId="7" borderId="6" xfId="0" applyFont="1" applyFill="1" applyBorder="1" applyAlignment="1">
      <alignment horizontal="center"/>
    </xf>
    <xf numFmtId="0" fontId="5" fillId="7" borderId="0" xfId="0" applyFont="1" applyFill="1" applyAlignment="1">
      <alignment horizontal="center"/>
    </xf>
    <xf numFmtId="0" fontId="10" fillId="0" borderId="17" xfId="0" applyFont="1" applyBorder="1" applyAlignment="1">
      <alignment horizontal="center"/>
    </xf>
    <xf numFmtId="0" fontId="10" fillId="0" borderId="19" xfId="0" applyFont="1" applyBorder="1" applyAlignment="1">
      <alignment horizontal="center"/>
    </xf>
    <xf numFmtId="9" fontId="10" fillId="0" borderId="20" xfId="1" applyFont="1" applyBorder="1" applyAlignment="1">
      <alignment horizontal="center"/>
    </xf>
    <xf numFmtId="9" fontId="10" fillId="0" borderId="21" xfId="1" applyFont="1" applyBorder="1" applyAlignment="1">
      <alignment horizontal="center"/>
    </xf>
    <xf numFmtId="165" fontId="10" fillId="0" borderId="17" xfId="0" applyNumberFormat="1" applyFont="1" applyBorder="1" applyAlignment="1">
      <alignment horizontal="center"/>
    </xf>
    <xf numFmtId="165" fontId="10" fillId="0" borderId="19" xfId="0" applyNumberFormat="1" applyFont="1" applyBorder="1" applyAlignment="1">
      <alignment horizontal="center"/>
    </xf>
    <xf numFmtId="2" fontId="10" fillId="0" borderId="20" xfId="0" applyNumberFormat="1" applyFont="1" applyBorder="1" applyAlignment="1">
      <alignment horizontal="center"/>
    </xf>
    <xf numFmtId="2" fontId="10" fillId="0" borderId="21" xfId="0" applyNumberFormat="1" applyFont="1" applyBorder="1" applyAlignment="1">
      <alignment horizontal="center"/>
    </xf>
    <xf numFmtId="0" fontId="11" fillId="0" borderId="20" xfId="0" applyFont="1" applyBorder="1" applyAlignment="1">
      <alignment horizontal="center"/>
    </xf>
    <xf numFmtId="0" fontId="11" fillId="0" borderId="21" xfId="0" applyFont="1" applyBorder="1" applyAlignment="1">
      <alignment horizontal="center"/>
    </xf>
    <xf numFmtId="0" fontId="11" fillId="0" borderId="14" xfId="0" applyFont="1" applyBorder="1" applyAlignment="1">
      <alignment horizontal="center"/>
    </xf>
    <xf numFmtId="0" fontId="11" fillId="0" borderId="16" xfId="0" applyFont="1" applyBorder="1" applyAlignment="1">
      <alignment horizontal="center"/>
    </xf>
    <xf numFmtId="0" fontId="15" fillId="9" borderId="24" xfId="0" applyFont="1" applyFill="1" applyBorder="1" applyAlignment="1">
      <alignment horizontal="center" vertical="center"/>
    </xf>
    <xf numFmtId="0" fontId="15" fillId="9" borderId="25" xfId="0" applyFont="1" applyFill="1" applyBorder="1" applyAlignment="1">
      <alignment horizontal="center" vertical="center"/>
    </xf>
    <xf numFmtId="0" fontId="16" fillId="9" borderId="23" xfId="0" applyFont="1" applyFill="1" applyBorder="1" applyAlignment="1">
      <alignment horizontal="center" vertical="center"/>
    </xf>
    <xf numFmtId="0" fontId="13" fillId="9" borderId="22" xfId="0" applyFont="1" applyFill="1" applyBorder="1" applyAlignment="1">
      <alignment horizontal="center" vertical="center"/>
    </xf>
    <xf numFmtId="0" fontId="17" fillId="10" borderId="23" xfId="0" applyFont="1" applyFill="1" applyBorder="1" applyAlignment="1">
      <alignment horizontal="center" vertical="center"/>
    </xf>
    <xf numFmtId="0" fontId="14" fillId="10" borderId="22" xfId="0" applyFont="1" applyFill="1" applyBorder="1" applyAlignment="1">
      <alignment horizontal="center" vertical="center"/>
    </xf>
    <xf numFmtId="0" fontId="13" fillId="9" borderId="23" xfId="0" applyFont="1" applyFill="1" applyBorder="1" applyAlignment="1">
      <alignment horizontal="center" vertical="center"/>
    </xf>
    <xf numFmtId="0" fontId="21" fillId="14" borderId="0" xfId="0" applyFont="1" applyFill="1" applyAlignment="1">
      <alignment horizontal="center" vertical="center"/>
    </xf>
    <xf numFmtId="0" fontId="8" fillId="9" borderId="0" xfId="0" applyFont="1" applyFill="1" applyAlignment="1">
      <alignment horizontal="center" vertical="center"/>
    </xf>
  </cellXfs>
  <cellStyles count="3">
    <cellStyle name="Currency" xfId="2" builtinId="4"/>
    <cellStyle name="Normal" xfId="0" builtinId="0"/>
    <cellStyle name="Percent" xfId="1" builtinId="5"/>
  </cellStyles>
  <dxfs count="23">
    <dxf>
      <font>
        <color rgb="FF9C0006"/>
      </font>
      <fill>
        <patternFill>
          <bgColor rgb="FFFFC7CE"/>
        </patternFill>
      </fill>
    </dxf>
    <dxf>
      <font>
        <color rgb="FF9C0006"/>
      </font>
      <fill>
        <patternFill>
          <bgColor rgb="FFFFC7CE"/>
        </patternFill>
      </fill>
    </dxf>
    <dxf>
      <numFmt numFmtId="22" formatCode="mmm/yy"/>
    </dxf>
    <dxf>
      <numFmt numFmtId="0" formatCode="General"/>
    </dxf>
    <dxf>
      <numFmt numFmtId="0" formatCode="General"/>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1F4E78"/>
      <color rgb="FFDDEBF7"/>
      <color rgb="FFD6DEE8"/>
      <color rgb="FFF3F6F9"/>
      <color rgb="FFDDEFEA"/>
      <color rgb="FF243247"/>
      <color rgb="FF17365D"/>
      <color rgb="FF0F9D9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Monthy Sales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213221532978652"/>
          <c:y val="0.32019606762572"/>
          <c:w val="0.70660884698686099"/>
          <c:h val="0.41546126088998359"/>
        </c:manualLayout>
      </c:layout>
      <c:lineChart>
        <c:grouping val="standard"/>
        <c:varyColors val="0"/>
        <c:ser>
          <c:idx val="0"/>
          <c:order val="0"/>
          <c:tx>
            <c:strRef>
              <c:f>summary!$F$15</c:f>
              <c:strCache>
                <c:ptCount val="1"/>
                <c:pt idx="0">
                  <c:v>Sales Revenue</c:v>
                </c:pt>
              </c:strCache>
            </c:strRef>
          </c:tx>
          <c:spPr>
            <a:ln w="28575" cap="rnd">
              <a:solidFill>
                <a:schemeClr val="accent1"/>
              </a:solidFill>
              <a:round/>
            </a:ln>
            <a:effectLst/>
          </c:spPr>
          <c:marker>
            <c:symbol val="none"/>
          </c:marker>
          <c:cat>
            <c:numRef>
              <c:f>summary!$E$16:$E$27</c:f>
              <c:numCache>
                <c:formatCode>mmm\-yy</c:formatCode>
                <c:ptCount val="12"/>
                <c:pt idx="0">
                  <c:v>45901</c:v>
                </c:pt>
                <c:pt idx="1">
                  <c:v>45931</c:v>
                </c:pt>
                <c:pt idx="2">
                  <c:v>45962</c:v>
                </c:pt>
                <c:pt idx="3">
                  <c:v>45992</c:v>
                </c:pt>
                <c:pt idx="4">
                  <c:v>46023</c:v>
                </c:pt>
                <c:pt idx="5">
                  <c:v>46054</c:v>
                </c:pt>
                <c:pt idx="6">
                  <c:v>46082</c:v>
                </c:pt>
                <c:pt idx="7">
                  <c:v>46113</c:v>
                </c:pt>
                <c:pt idx="8">
                  <c:v>46143</c:v>
                </c:pt>
                <c:pt idx="9">
                  <c:v>46174</c:v>
                </c:pt>
                <c:pt idx="10">
                  <c:v>46204</c:v>
                </c:pt>
                <c:pt idx="11">
                  <c:v>46235</c:v>
                </c:pt>
              </c:numCache>
            </c:numRef>
          </c:cat>
          <c:val>
            <c:numRef>
              <c:f>summary!$F$16:$F$27</c:f>
              <c:numCache>
                <c:formatCode>General</c:formatCode>
                <c:ptCount val="12"/>
                <c:pt idx="0">
                  <c:v>196300</c:v>
                </c:pt>
                <c:pt idx="1">
                  <c:v>544000</c:v>
                </c:pt>
                <c:pt idx="2">
                  <c:v>709100</c:v>
                </c:pt>
                <c:pt idx="3">
                  <c:v>565700</c:v>
                </c:pt>
                <c:pt idx="4">
                  <c:v>382000</c:v>
                </c:pt>
                <c:pt idx="5">
                  <c:v>448100</c:v>
                </c:pt>
                <c:pt idx="6">
                  <c:v>713700</c:v>
                </c:pt>
                <c:pt idx="7">
                  <c:v>857200</c:v>
                </c:pt>
                <c:pt idx="8">
                  <c:v>379300</c:v>
                </c:pt>
                <c:pt idx="9">
                  <c:v>383100</c:v>
                </c:pt>
                <c:pt idx="10">
                  <c:v>1100700</c:v>
                </c:pt>
                <c:pt idx="11">
                  <c:v>556300</c:v>
                </c:pt>
              </c:numCache>
            </c:numRef>
          </c:val>
          <c:smooth val="0"/>
          <c:extLst>
            <c:ext xmlns:c16="http://schemas.microsoft.com/office/drawing/2014/chart" uri="{C3380CC4-5D6E-409C-BE32-E72D297353CC}">
              <c16:uniqueId val="{00000000-FCA0-40F5-9BA0-2BE2D89B8CE3}"/>
            </c:ext>
          </c:extLst>
        </c:ser>
        <c:dLbls>
          <c:showLegendKey val="0"/>
          <c:showVal val="0"/>
          <c:showCatName val="0"/>
          <c:showSerName val="0"/>
          <c:showPercent val="0"/>
          <c:showBubbleSize val="0"/>
        </c:dLbls>
        <c:smooth val="0"/>
        <c:axId val="1942651855"/>
        <c:axId val="1942651375"/>
      </c:lineChart>
      <c:dateAx>
        <c:axId val="194265185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651375"/>
        <c:crosses val="autoZero"/>
        <c:auto val="1"/>
        <c:lblOffset val="100"/>
        <c:baseTimeUnit val="months"/>
      </c:dateAx>
      <c:valAx>
        <c:axId val="194265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65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Pipeline by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054072976519344E-2"/>
          <c:y val="0.19486111111111112"/>
          <c:w val="0.86046849034310879"/>
          <c:h val="0.53324219889180524"/>
        </c:manualLayout>
      </c:layout>
      <c:barChart>
        <c:barDir val="col"/>
        <c:grouping val="clustered"/>
        <c:varyColors val="0"/>
        <c:ser>
          <c:idx val="0"/>
          <c:order val="0"/>
          <c:tx>
            <c:strRef>
              <c:f>summary!$M$16</c:f>
              <c:strCache>
                <c:ptCount val="1"/>
                <c:pt idx="0">
                  <c:v>Record Count</c:v>
                </c:pt>
              </c:strCache>
            </c:strRef>
          </c:tx>
          <c:spPr>
            <a:solidFill>
              <a:schemeClr val="accent1"/>
            </a:solidFill>
            <a:ln>
              <a:noFill/>
            </a:ln>
            <a:effectLst/>
          </c:spPr>
          <c:invertIfNegative val="0"/>
          <c:cat>
            <c:strRef>
              <c:f>summary!$L$17:$L$22</c:f>
              <c:strCache>
                <c:ptCount val="6"/>
                <c:pt idx="0">
                  <c:v>Won</c:v>
                </c:pt>
                <c:pt idx="1">
                  <c:v>Proposal</c:v>
                </c:pt>
                <c:pt idx="2">
                  <c:v>Qualified</c:v>
                </c:pt>
                <c:pt idx="3">
                  <c:v>Negotiation</c:v>
                </c:pt>
                <c:pt idx="4">
                  <c:v>Lost</c:v>
                </c:pt>
                <c:pt idx="5">
                  <c:v>Demo Scheduled</c:v>
                </c:pt>
              </c:strCache>
            </c:strRef>
          </c:cat>
          <c:val>
            <c:numRef>
              <c:f>summary!$M$17:$M$22</c:f>
              <c:numCache>
                <c:formatCode>General</c:formatCode>
                <c:ptCount val="6"/>
                <c:pt idx="0">
                  <c:v>237</c:v>
                </c:pt>
                <c:pt idx="1">
                  <c:v>245</c:v>
                </c:pt>
                <c:pt idx="2">
                  <c:v>160</c:v>
                </c:pt>
                <c:pt idx="3">
                  <c:v>152</c:v>
                </c:pt>
                <c:pt idx="4">
                  <c:v>146</c:v>
                </c:pt>
                <c:pt idx="5">
                  <c:v>149</c:v>
                </c:pt>
              </c:numCache>
            </c:numRef>
          </c:val>
          <c:extLst>
            <c:ext xmlns:c16="http://schemas.microsoft.com/office/drawing/2014/chart" uri="{C3380CC4-5D6E-409C-BE32-E72D297353CC}">
              <c16:uniqueId val="{00000000-7704-4E6F-A0E1-EC523E325DE8}"/>
            </c:ext>
          </c:extLst>
        </c:ser>
        <c:dLbls>
          <c:showLegendKey val="0"/>
          <c:showVal val="0"/>
          <c:showCatName val="0"/>
          <c:showSerName val="0"/>
          <c:showPercent val="0"/>
          <c:showBubbleSize val="0"/>
        </c:dLbls>
        <c:gapWidth val="219"/>
        <c:overlap val="-27"/>
        <c:axId val="2029648623"/>
        <c:axId val="1540090847"/>
      </c:barChart>
      <c:catAx>
        <c:axId val="202964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090847"/>
        <c:crosses val="autoZero"/>
        <c:auto val="1"/>
        <c:lblAlgn val="ctr"/>
        <c:lblOffset val="100"/>
        <c:noMultiLvlLbl val="0"/>
      </c:catAx>
      <c:valAx>
        <c:axId val="154009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64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Resolution Time by Support Owner</a:t>
            </a:r>
          </a:p>
        </c:rich>
      </c:tx>
      <c:layout>
        <c:manualLayout>
          <c:xMode val="edge"/>
          <c:yMode val="edge"/>
          <c:x val="0.12833686655817808"/>
          <c:y val="2.29854565941163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summary!$K$30</c:f>
              <c:strCache>
                <c:ptCount val="1"/>
                <c:pt idx="0">
                  <c:v>Avg Resolution Hours</c:v>
                </c:pt>
              </c:strCache>
            </c:strRef>
          </c:tx>
          <c:spPr>
            <a:solidFill>
              <a:schemeClr val="accent1"/>
            </a:solidFill>
            <a:ln>
              <a:noFill/>
            </a:ln>
            <a:effectLst/>
          </c:spPr>
          <c:invertIfNegative val="0"/>
          <c:cat>
            <c:strRef>
              <c:f>summary!$H$31:$H$38</c:f>
              <c:strCache>
                <c:ptCount val="8"/>
                <c:pt idx="0">
                  <c:v>Sneha</c:v>
                </c:pt>
                <c:pt idx="1">
                  <c:v>Pooja</c:v>
                </c:pt>
                <c:pt idx="2">
                  <c:v>Karan</c:v>
                </c:pt>
                <c:pt idx="3">
                  <c:v>Rahul</c:v>
                </c:pt>
                <c:pt idx="4">
                  <c:v>Vivek</c:v>
                </c:pt>
                <c:pt idx="5">
                  <c:v>Aditya</c:v>
                </c:pt>
                <c:pt idx="6">
                  <c:v>Ananya</c:v>
                </c:pt>
                <c:pt idx="7">
                  <c:v>Priya</c:v>
                </c:pt>
              </c:strCache>
            </c:strRef>
          </c:cat>
          <c:val>
            <c:numRef>
              <c:f>summary!$K$31:$K$38</c:f>
              <c:numCache>
                <c:formatCode>0.00</c:formatCode>
                <c:ptCount val="8"/>
                <c:pt idx="0">
                  <c:v>8.7897959183673464</c:v>
                </c:pt>
                <c:pt idx="1">
                  <c:v>7.8036036036036007</c:v>
                </c:pt>
                <c:pt idx="2">
                  <c:v>8.950943396226414</c:v>
                </c:pt>
                <c:pt idx="3">
                  <c:v>8.8373913043478272</c:v>
                </c:pt>
                <c:pt idx="4">
                  <c:v>9.1247706422018364</c:v>
                </c:pt>
                <c:pt idx="5">
                  <c:v>8.2144000000000066</c:v>
                </c:pt>
                <c:pt idx="6">
                  <c:v>9.0228070175438617</c:v>
                </c:pt>
                <c:pt idx="7">
                  <c:v>9.3646616541353342</c:v>
                </c:pt>
              </c:numCache>
            </c:numRef>
          </c:val>
          <c:extLst>
            <c:ext xmlns:c16="http://schemas.microsoft.com/office/drawing/2014/chart" uri="{C3380CC4-5D6E-409C-BE32-E72D297353CC}">
              <c16:uniqueId val="{00000000-ACF8-4885-BEEE-668DB50380D1}"/>
            </c:ext>
          </c:extLst>
        </c:ser>
        <c:dLbls>
          <c:showLegendKey val="0"/>
          <c:showVal val="0"/>
          <c:showCatName val="0"/>
          <c:showSerName val="0"/>
          <c:showPercent val="0"/>
          <c:showBubbleSize val="0"/>
        </c:dLbls>
        <c:gapWidth val="219"/>
        <c:overlap val="-27"/>
        <c:axId val="2018103023"/>
        <c:axId val="2018103503"/>
      </c:barChart>
      <c:catAx>
        <c:axId val="201810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103503"/>
        <c:crosses val="autoZero"/>
        <c:auto val="1"/>
        <c:lblAlgn val="ctr"/>
        <c:lblOffset val="100"/>
        <c:noMultiLvlLbl val="0"/>
      </c:catAx>
      <c:valAx>
        <c:axId val="2018103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10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CSAT by Support Owner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summary!$L$30</c:f>
              <c:strCache>
                <c:ptCount val="1"/>
                <c:pt idx="0">
                  <c:v>Avg CSAT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summary!$H$31:$H$38</c:f>
              <c:strCache>
                <c:ptCount val="8"/>
                <c:pt idx="0">
                  <c:v>Sneha</c:v>
                </c:pt>
                <c:pt idx="1">
                  <c:v>Pooja</c:v>
                </c:pt>
                <c:pt idx="2">
                  <c:v>Karan</c:v>
                </c:pt>
                <c:pt idx="3">
                  <c:v>Rahul</c:v>
                </c:pt>
                <c:pt idx="4">
                  <c:v>Vivek</c:v>
                </c:pt>
                <c:pt idx="5">
                  <c:v>Aditya</c:v>
                </c:pt>
                <c:pt idx="6">
                  <c:v>Ananya</c:v>
                </c:pt>
                <c:pt idx="7">
                  <c:v>Priya</c:v>
                </c:pt>
              </c:strCache>
            </c:strRef>
          </c:cat>
          <c:val>
            <c:numRef>
              <c:f>summary!$L$31:$L$38</c:f>
              <c:numCache>
                <c:formatCode>0.00</c:formatCode>
                <c:ptCount val="8"/>
                <c:pt idx="0">
                  <c:v>4.0867346938775508</c:v>
                </c:pt>
                <c:pt idx="1">
                  <c:v>4.0558558558558566</c:v>
                </c:pt>
                <c:pt idx="2">
                  <c:v>4.0283018867924554</c:v>
                </c:pt>
                <c:pt idx="3">
                  <c:v>4.1573913043478266</c:v>
                </c:pt>
                <c:pt idx="4">
                  <c:v>4.1110091743119259</c:v>
                </c:pt>
                <c:pt idx="5">
                  <c:v>3.970400000000001</c:v>
                </c:pt>
                <c:pt idx="6">
                  <c:v>4.0543859649122798</c:v>
                </c:pt>
                <c:pt idx="7">
                  <c:v>3.9037593984962382</c:v>
                </c:pt>
              </c:numCache>
            </c:numRef>
          </c:val>
          <c:extLst>
            <c:ext xmlns:c16="http://schemas.microsoft.com/office/drawing/2014/chart" uri="{C3380CC4-5D6E-409C-BE32-E72D297353CC}">
              <c16:uniqueId val="{00000000-3468-40E0-A626-8134A4F5A0A9}"/>
            </c:ext>
          </c:extLst>
        </c:ser>
        <c:dLbls>
          <c:showLegendKey val="0"/>
          <c:showVal val="0"/>
          <c:showCatName val="0"/>
          <c:showSerName val="0"/>
          <c:showPercent val="0"/>
          <c:showBubbleSize val="0"/>
        </c:dLbls>
        <c:gapWidth val="182"/>
        <c:axId val="38325695"/>
        <c:axId val="38322335"/>
      </c:barChart>
      <c:valAx>
        <c:axId val="383223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5695"/>
        <c:crosses val="autoZero"/>
        <c:crossBetween val="between"/>
      </c:valAx>
      <c:catAx>
        <c:axId val="3832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2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summary!$B$32</c:f>
              <c:strCache>
                <c:ptCount val="1"/>
                <c:pt idx="0">
                  <c:v>Sales Revenue</c:v>
                </c:pt>
              </c:strCache>
            </c:strRef>
          </c:tx>
          <c:spPr>
            <a:solidFill>
              <a:schemeClr val="accent1"/>
            </a:solidFill>
            <a:ln>
              <a:noFill/>
            </a:ln>
            <a:effectLst/>
          </c:spPr>
          <c:invertIfNegative val="0"/>
          <c:cat>
            <c:strRef>
              <c:f>summary!$A$33:$A$40</c:f>
              <c:strCache>
                <c:ptCount val="8"/>
                <c:pt idx="0">
                  <c:v>Ishita</c:v>
                </c:pt>
                <c:pt idx="1">
                  <c:v>Aarav</c:v>
                </c:pt>
                <c:pt idx="2">
                  <c:v>Nisha</c:v>
                </c:pt>
                <c:pt idx="3">
                  <c:v>Diya</c:v>
                </c:pt>
                <c:pt idx="4">
                  <c:v>Kabir</c:v>
                </c:pt>
                <c:pt idx="5">
                  <c:v>Meera</c:v>
                </c:pt>
                <c:pt idx="6">
                  <c:v>Arjun</c:v>
                </c:pt>
                <c:pt idx="7">
                  <c:v>Rohan</c:v>
                </c:pt>
              </c:strCache>
            </c:strRef>
          </c:cat>
          <c:val>
            <c:numRef>
              <c:f>summary!$B$33:$B$40</c:f>
              <c:numCache>
                <c:formatCode>General</c:formatCode>
                <c:ptCount val="8"/>
                <c:pt idx="0">
                  <c:v>1049400</c:v>
                </c:pt>
                <c:pt idx="1">
                  <c:v>746200</c:v>
                </c:pt>
                <c:pt idx="2">
                  <c:v>894100</c:v>
                </c:pt>
                <c:pt idx="3">
                  <c:v>1069600</c:v>
                </c:pt>
                <c:pt idx="4">
                  <c:v>1308200</c:v>
                </c:pt>
                <c:pt idx="5">
                  <c:v>617000</c:v>
                </c:pt>
                <c:pt idx="6">
                  <c:v>587800</c:v>
                </c:pt>
                <c:pt idx="7">
                  <c:v>563200</c:v>
                </c:pt>
              </c:numCache>
            </c:numRef>
          </c:val>
          <c:extLst>
            <c:ext xmlns:c16="http://schemas.microsoft.com/office/drawing/2014/chart" uri="{C3380CC4-5D6E-409C-BE32-E72D297353CC}">
              <c16:uniqueId val="{00000000-B6BA-4BC5-AD03-8F1107697A48}"/>
            </c:ext>
          </c:extLst>
        </c:ser>
        <c:dLbls>
          <c:showLegendKey val="0"/>
          <c:showVal val="0"/>
          <c:showCatName val="0"/>
          <c:showSerName val="0"/>
          <c:showPercent val="0"/>
          <c:showBubbleSize val="0"/>
        </c:dLbls>
        <c:gapWidth val="219"/>
        <c:overlap val="-27"/>
        <c:axId val="794790912"/>
        <c:axId val="794805312"/>
      </c:barChart>
      <c:catAx>
        <c:axId val="79479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805312"/>
        <c:crosses val="autoZero"/>
        <c:auto val="1"/>
        <c:lblAlgn val="ctr"/>
        <c:lblOffset val="100"/>
        <c:noMultiLvlLbl val="0"/>
      </c:catAx>
      <c:valAx>
        <c:axId val="79480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79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Support Status by Record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summary!$L$8</c:f>
              <c:strCache>
                <c:ptCount val="1"/>
                <c:pt idx="0">
                  <c:v>Record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DF-42BC-B976-9CA6E7160D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DF-42BC-B976-9CA6E7160D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DF-42BC-B976-9CA6E7160D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DF-42BC-B976-9CA6E7160D6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summary!$K$9:$K$12</c:f>
              <c:strCache>
                <c:ptCount val="4"/>
                <c:pt idx="0">
                  <c:v>Closed</c:v>
                </c:pt>
                <c:pt idx="1">
                  <c:v>Resolved</c:v>
                </c:pt>
                <c:pt idx="2">
                  <c:v>Pending</c:v>
                </c:pt>
                <c:pt idx="3">
                  <c:v>Escalated</c:v>
                </c:pt>
              </c:strCache>
            </c:strRef>
          </c:cat>
          <c:val>
            <c:numRef>
              <c:f>summary!$L$9:$L$12</c:f>
              <c:numCache>
                <c:formatCode>General</c:formatCode>
                <c:ptCount val="4"/>
                <c:pt idx="0">
                  <c:v>218</c:v>
                </c:pt>
                <c:pt idx="1">
                  <c:v>445</c:v>
                </c:pt>
                <c:pt idx="2">
                  <c:v>156</c:v>
                </c:pt>
                <c:pt idx="3">
                  <c:v>92</c:v>
                </c:pt>
              </c:numCache>
            </c:numRef>
          </c:val>
          <c:extLst>
            <c:ext xmlns:c16="http://schemas.microsoft.com/office/drawing/2014/chart" uri="{C3380CC4-5D6E-409C-BE32-E72D297353CC}">
              <c16:uniqueId val="{00000008-F8DF-42BC-B976-9CA6E7160D6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[Sales_Customer_Support_Performance_Analytics.xlsx]pivot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015326428867845E-2"/>
          <c:y val="7.3202618146395865E-2"/>
          <c:w val="0.49338409528747174"/>
          <c:h val="0.6107292270459177"/>
        </c:manualLayout>
      </c:layout>
      <c:barChart>
        <c:barDir val="col"/>
        <c:grouping val="clustered"/>
        <c:varyColors val="0"/>
        <c:ser>
          <c:idx val="0"/>
          <c:order val="0"/>
          <c:tx>
            <c:strRef>
              <c:f>'pivot table'!$B$30</c:f>
              <c:strCache>
                <c:ptCount val="1"/>
                <c:pt idx="0">
                  <c:v>Sum of Tickets</c:v>
                </c:pt>
              </c:strCache>
            </c:strRef>
          </c:tx>
          <c:spPr>
            <a:solidFill>
              <a:schemeClr val="accent1"/>
            </a:solidFill>
            <a:ln>
              <a:noFill/>
            </a:ln>
            <a:effectLst/>
          </c:spPr>
          <c:invertIfNegative val="0"/>
          <c:cat>
            <c:strRef>
              <c:f>'pivot table'!$A$31:$A$41</c:f>
              <c:strCache>
                <c:ptCount val="10"/>
                <c:pt idx="0">
                  <c:v>Closed</c:v>
                </c:pt>
                <c:pt idx="1">
                  <c:v>Demo Scheduled</c:v>
                </c:pt>
                <c:pt idx="2">
                  <c:v>Escalated</c:v>
                </c:pt>
                <c:pt idx="3">
                  <c:v>Lost</c:v>
                </c:pt>
                <c:pt idx="4">
                  <c:v>Negotiation</c:v>
                </c:pt>
                <c:pt idx="5">
                  <c:v>Pending</c:v>
                </c:pt>
                <c:pt idx="6">
                  <c:v>Proposal</c:v>
                </c:pt>
                <c:pt idx="7">
                  <c:v>Qualified</c:v>
                </c:pt>
                <c:pt idx="8">
                  <c:v>Resolved</c:v>
                </c:pt>
                <c:pt idx="9">
                  <c:v>Won</c:v>
                </c:pt>
              </c:strCache>
            </c:strRef>
          </c:cat>
          <c:val>
            <c:numRef>
              <c:f>'pivot table'!$B$31:$B$41</c:f>
              <c:numCache>
                <c:formatCode>General</c:formatCode>
                <c:ptCount val="10"/>
                <c:pt idx="0">
                  <c:v>218</c:v>
                </c:pt>
                <c:pt idx="2">
                  <c:v>92</c:v>
                </c:pt>
                <c:pt idx="5">
                  <c:v>156</c:v>
                </c:pt>
                <c:pt idx="8">
                  <c:v>445</c:v>
                </c:pt>
              </c:numCache>
            </c:numRef>
          </c:val>
          <c:extLst>
            <c:ext xmlns:c16="http://schemas.microsoft.com/office/drawing/2014/chart" uri="{C3380CC4-5D6E-409C-BE32-E72D297353CC}">
              <c16:uniqueId val="{00000000-08BE-4F94-9C3B-FBF2A74B9C38}"/>
            </c:ext>
          </c:extLst>
        </c:ser>
        <c:ser>
          <c:idx val="1"/>
          <c:order val="1"/>
          <c:tx>
            <c:strRef>
              <c:f>'pivot table'!$C$30</c:f>
              <c:strCache>
                <c:ptCount val="1"/>
                <c:pt idx="0">
                  <c:v>Average of First_Response_Hours</c:v>
                </c:pt>
              </c:strCache>
            </c:strRef>
          </c:tx>
          <c:spPr>
            <a:solidFill>
              <a:schemeClr val="accent2"/>
            </a:solidFill>
            <a:ln>
              <a:noFill/>
            </a:ln>
            <a:effectLst/>
          </c:spPr>
          <c:invertIfNegative val="0"/>
          <c:cat>
            <c:strRef>
              <c:f>'pivot table'!$A$31:$A$41</c:f>
              <c:strCache>
                <c:ptCount val="10"/>
                <c:pt idx="0">
                  <c:v>Closed</c:v>
                </c:pt>
                <c:pt idx="1">
                  <c:v>Demo Scheduled</c:v>
                </c:pt>
                <c:pt idx="2">
                  <c:v>Escalated</c:v>
                </c:pt>
                <c:pt idx="3">
                  <c:v>Lost</c:v>
                </c:pt>
                <c:pt idx="4">
                  <c:v>Negotiation</c:v>
                </c:pt>
                <c:pt idx="5">
                  <c:v>Pending</c:v>
                </c:pt>
                <c:pt idx="6">
                  <c:v>Proposal</c:v>
                </c:pt>
                <c:pt idx="7">
                  <c:v>Qualified</c:v>
                </c:pt>
                <c:pt idx="8">
                  <c:v>Resolved</c:v>
                </c:pt>
                <c:pt idx="9">
                  <c:v>Won</c:v>
                </c:pt>
              </c:strCache>
            </c:strRef>
          </c:cat>
          <c:val>
            <c:numRef>
              <c:f>'pivot table'!$C$31:$C$41</c:f>
              <c:numCache>
                <c:formatCode>0.00</c:formatCode>
                <c:ptCount val="10"/>
                <c:pt idx="0">
                  <c:v>5.8146788990825691</c:v>
                </c:pt>
                <c:pt idx="1">
                  <c:v>11.850335570469799</c:v>
                </c:pt>
                <c:pt idx="2">
                  <c:v>5.2945652173913036</c:v>
                </c:pt>
                <c:pt idx="3">
                  <c:v>12.088356164383558</c:v>
                </c:pt>
                <c:pt idx="4">
                  <c:v>12.692763157894738</c:v>
                </c:pt>
                <c:pt idx="5">
                  <c:v>5.9692307692307676</c:v>
                </c:pt>
                <c:pt idx="6">
                  <c:v>12.313061224489786</c:v>
                </c:pt>
                <c:pt idx="7">
                  <c:v>12.164374999999991</c:v>
                </c:pt>
                <c:pt idx="8">
                  <c:v>6.248314606741574</c:v>
                </c:pt>
                <c:pt idx="9">
                  <c:v>11.827848101265824</c:v>
                </c:pt>
              </c:numCache>
            </c:numRef>
          </c:val>
          <c:extLst>
            <c:ext xmlns:c16="http://schemas.microsoft.com/office/drawing/2014/chart" uri="{C3380CC4-5D6E-409C-BE32-E72D297353CC}">
              <c16:uniqueId val="{00000001-08BE-4F94-9C3B-FBF2A74B9C38}"/>
            </c:ext>
          </c:extLst>
        </c:ser>
        <c:ser>
          <c:idx val="2"/>
          <c:order val="2"/>
          <c:tx>
            <c:strRef>
              <c:f>'pivot table'!$D$30</c:f>
              <c:strCache>
                <c:ptCount val="1"/>
                <c:pt idx="0">
                  <c:v>Average of CSAT</c:v>
                </c:pt>
              </c:strCache>
            </c:strRef>
          </c:tx>
          <c:spPr>
            <a:solidFill>
              <a:schemeClr val="accent3"/>
            </a:solidFill>
            <a:ln>
              <a:noFill/>
            </a:ln>
            <a:effectLst/>
          </c:spPr>
          <c:invertIfNegative val="0"/>
          <c:cat>
            <c:strRef>
              <c:f>'pivot table'!$A$31:$A$41</c:f>
              <c:strCache>
                <c:ptCount val="10"/>
                <c:pt idx="0">
                  <c:v>Closed</c:v>
                </c:pt>
                <c:pt idx="1">
                  <c:v>Demo Scheduled</c:v>
                </c:pt>
                <c:pt idx="2">
                  <c:v>Escalated</c:v>
                </c:pt>
                <c:pt idx="3">
                  <c:v>Lost</c:v>
                </c:pt>
                <c:pt idx="4">
                  <c:v>Negotiation</c:v>
                </c:pt>
                <c:pt idx="5">
                  <c:v>Pending</c:v>
                </c:pt>
                <c:pt idx="6">
                  <c:v>Proposal</c:v>
                </c:pt>
                <c:pt idx="7">
                  <c:v>Qualified</c:v>
                </c:pt>
                <c:pt idx="8">
                  <c:v>Resolved</c:v>
                </c:pt>
                <c:pt idx="9">
                  <c:v>Won</c:v>
                </c:pt>
              </c:strCache>
            </c:strRef>
          </c:cat>
          <c:val>
            <c:numRef>
              <c:f>'pivot table'!$D$31:$D$41</c:f>
              <c:numCache>
                <c:formatCode>General</c:formatCode>
                <c:ptCount val="10"/>
                <c:pt idx="0">
                  <c:v>4.0444954128440367</c:v>
                </c:pt>
                <c:pt idx="2">
                  <c:v>4.011956521739128</c:v>
                </c:pt>
                <c:pt idx="5">
                  <c:v>4.0371794871794879</c:v>
                </c:pt>
                <c:pt idx="8">
                  <c:v>4.047191011235955</c:v>
                </c:pt>
              </c:numCache>
            </c:numRef>
          </c:val>
          <c:extLst>
            <c:ext xmlns:c16="http://schemas.microsoft.com/office/drawing/2014/chart" uri="{C3380CC4-5D6E-409C-BE32-E72D297353CC}">
              <c16:uniqueId val="{00000002-08BE-4F94-9C3B-FBF2A74B9C38}"/>
            </c:ext>
          </c:extLst>
        </c:ser>
        <c:dLbls>
          <c:showLegendKey val="0"/>
          <c:showVal val="0"/>
          <c:showCatName val="0"/>
          <c:showSerName val="0"/>
          <c:showPercent val="0"/>
          <c:showBubbleSize val="0"/>
        </c:dLbls>
        <c:gapWidth val="219"/>
        <c:overlap val="-27"/>
        <c:axId val="2043808751"/>
        <c:axId val="2043813071"/>
      </c:barChart>
      <c:catAx>
        <c:axId val="204380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13071"/>
        <c:crosses val="autoZero"/>
        <c:auto val="1"/>
        <c:lblAlgn val="ctr"/>
        <c:lblOffset val="100"/>
        <c:noMultiLvlLbl val="0"/>
      </c:catAx>
      <c:valAx>
        <c:axId val="204381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80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[Sales_Customer_Support_Performance_Analytics.xlsx]pivot table!PivotTable3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table'!$G$5</c:f>
              <c:strCache>
                <c:ptCount val="1"/>
                <c:pt idx="0">
                  <c:v>Total</c:v>
                </c:pt>
              </c:strCache>
            </c:strRef>
          </c:tx>
          <c:spPr>
            <a:ln w="28575" cap="rnd">
              <a:solidFill>
                <a:schemeClr val="accent1"/>
              </a:solidFill>
              <a:round/>
            </a:ln>
            <a:effectLst/>
          </c:spPr>
          <c:marker>
            <c:symbol val="none"/>
          </c:marker>
          <c:cat>
            <c:strRef>
              <c:f>'pivot table'!$F$6:$F$18</c:f>
              <c:strCache>
                <c:ptCount val="12"/>
                <c:pt idx="0">
                  <c:v>Apr 2026</c:v>
                </c:pt>
                <c:pt idx="1">
                  <c:v>Aug 2026</c:v>
                </c:pt>
                <c:pt idx="2">
                  <c:v>Dec 2025</c:v>
                </c:pt>
                <c:pt idx="3">
                  <c:v>Feb 2026</c:v>
                </c:pt>
                <c:pt idx="4">
                  <c:v>Jan 2026</c:v>
                </c:pt>
                <c:pt idx="5">
                  <c:v>Jul 2026</c:v>
                </c:pt>
                <c:pt idx="6">
                  <c:v>Jun 2026</c:v>
                </c:pt>
                <c:pt idx="7">
                  <c:v>Mar 2026</c:v>
                </c:pt>
                <c:pt idx="8">
                  <c:v>May 2026</c:v>
                </c:pt>
                <c:pt idx="9">
                  <c:v>Nov 2025</c:v>
                </c:pt>
                <c:pt idx="10">
                  <c:v>Oct 2025</c:v>
                </c:pt>
                <c:pt idx="11">
                  <c:v>Sep 2025</c:v>
                </c:pt>
              </c:strCache>
            </c:strRef>
          </c:cat>
          <c:val>
            <c:numRef>
              <c:f>'pivot table'!$G$6:$G$18</c:f>
              <c:numCache>
                <c:formatCode>0.00</c:formatCode>
                <c:ptCount val="12"/>
                <c:pt idx="0">
                  <c:v>857200</c:v>
                </c:pt>
                <c:pt idx="1">
                  <c:v>556300</c:v>
                </c:pt>
                <c:pt idx="2">
                  <c:v>565700</c:v>
                </c:pt>
                <c:pt idx="3">
                  <c:v>448100</c:v>
                </c:pt>
                <c:pt idx="4">
                  <c:v>382000</c:v>
                </c:pt>
                <c:pt idx="5">
                  <c:v>1100700</c:v>
                </c:pt>
                <c:pt idx="6">
                  <c:v>383100</c:v>
                </c:pt>
                <c:pt idx="7">
                  <c:v>713700</c:v>
                </c:pt>
                <c:pt idx="8">
                  <c:v>379300</c:v>
                </c:pt>
                <c:pt idx="9">
                  <c:v>709100</c:v>
                </c:pt>
                <c:pt idx="10">
                  <c:v>544000</c:v>
                </c:pt>
                <c:pt idx="11">
                  <c:v>196300</c:v>
                </c:pt>
              </c:numCache>
            </c:numRef>
          </c:val>
          <c:smooth val="0"/>
          <c:extLst>
            <c:ext xmlns:c16="http://schemas.microsoft.com/office/drawing/2014/chart" uri="{C3380CC4-5D6E-409C-BE32-E72D297353CC}">
              <c16:uniqueId val="{00000000-0017-46BF-8809-B71D2B2A91E4}"/>
            </c:ext>
          </c:extLst>
        </c:ser>
        <c:dLbls>
          <c:showLegendKey val="0"/>
          <c:showVal val="0"/>
          <c:showCatName val="0"/>
          <c:showSerName val="0"/>
          <c:showPercent val="0"/>
          <c:showBubbleSize val="0"/>
        </c:dLbls>
        <c:smooth val="0"/>
        <c:axId val="885621551"/>
        <c:axId val="873238575"/>
      </c:lineChart>
      <c:catAx>
        <c:axId val="88562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238575"/>
        <c:crosses val="autoZero"/>
        <c:auto val="1"/>
        <c:lblAlgn val="ctr"/>
        <c:lblOffset val="100"/>
        <c:noMultiLvlLbl val="0"/>
      </c:catAx>
      <c:valAx>
        <c:axId val="873238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2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[Sales_Customer_Support_Performance_Analytics.xlsx]pivot table!PivotTable4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25461720420999"/>
          <c:y val="0.15422528755466638"/>
          <c:w val="0.28452619680393804"/>
          <c:h val="0.75355661847575806"/>
        </c:manualLayout>
      </c:layout>
      <c:barChart>
        <c:barDir val="bar"/>
        <c:grouping val="clustered"/>
        <c:varyColors val="0"/>
        <c:ser>
          <c:idx val="0"/>
          <c:order val="0"/>
          <c:tx>
            <c:strRef>
              <c:f>'pivot table'!$K$5</c:f>
              <c:strCache>
                <c:ptCount val="1"/>
                <c:pt idx="0">
                  <c:v>Sum of Deals</c:v>
                </c:pt>
              </c:strCache>
            </c:strRef>
          </c:tx>
          <c:spPr>
            <a:solidFill>
              <a:schemeClr val="accent1"/>
            </a:solidFill>
            <a:ln>
              <a:noFill/>
            </a:ln>
            <a:effectLst/>
          </c:spPr>
          <c:invertIfNegative val="0"/>
          <c:cat>
            <c:strRef>
              <c:f>'pivot table'!$J$6:$J$13</c:f>
              <c:strCache>
                <c:ptCount val="7"/>
                <c:pt idx="0">
                  <c:v>Demo Scheduled</c:v>
                </c:pt>
                <c:pt idx="1">
                  <c:v>Lost</c:v>
                </c:pt>
                <c:pt idx="2">
                  <c:v>Negotiation</c:v>
                </c:pt>
                <c:pt idx="3">
                  <c:v>Proposal</c:v>
                </c:pt>
                <c:pt idx="4">
                  <c:v>Qualified</c:v>
                </c:pt>
                <c:pt idx="5">
                  <c:v>Won</c:v>
                </c:pt>
                <c:pt idx="6">
                  <c:v>(blank)</c:v>
                </c:pt>
              </c:strCache>
            </c:strRef>
          </c:cat>
          <c:val>
            <c:numRef>
              <c:f>'pivot table'!$K$6:$K$13</c:f>
              <c:numCache>
                <c:formatCode>0</c:formatCode>
                <c:ptCount val="7"/>
                <c:pt idx="0">
                  <c:v>149</c:v>
                </c:pt>
                <c:pt idx="1">
                  <c:v>146</c:v>
                </c:pt>
                <c:pt idx="2">
                  <c:v>152</c:v>
                </c:pt>
                <c:pt idx="3">
                  <c:v>245</c:v>
                </c:pt>
                <c:pt idx="4">
                  <c:v>160</c:v>
                </c:pt>
                <c:pt idx="5">
                  <c:v>237</c:v>
                </c:pt>
                <c:pt idx="6">
                  <c:v>0</c:v>
                </c:pt>
              </c:numCache>
            </c:numRef>
          </c:val>
          <c:extLst>
            <c:ext xmlns:c16="http://schemas.microsoft.com/office/drawing/2014/chart" uri="{C3380CC4-5D6E-409C-BE32-E72D297353CC}">
              <c16:uniqueId val="{00000000-E802-4AEA-920D-27C3D1280988}"/>
            </c:ext>
          </c:extLst>
        </c:ser>
        <c:ser>
          <c:idx val="1"/>
          <c:order val="1"/>
          <c:tx>
            <c:strRef>
              <c:f>'pivot table'!$L$5</c:f>
              <c:strCache>
                <c:ptCount val="1"/>
                <c:pt idx="0">
                  <c:v>Sum of Deal_Value_INR</c:v>
                </c:pt>
              </c:strCache>
            </c:strRef>
          </c:tx>
          <c:spPr>
            <a:solidFill>
              <a:schemeClr val="accent2"/>
            </a:solidFill>
            <a:ln>
              <a:noFill/>
            </a:ln>
            <a:effectLst/>
          </c:spPr>
          <c:invertIfNegative val="0"/>
          <c:cat>
            <c:strRef>
              <c:f>'pivot table'!$J$6:$J$13</c:f>
              <c:strCache>
                <c:ptCount val="7"/>
                <c:pt idx="0">
                  <c:v>Demo Scheduled</c:v>
                </c:pt>
                <c:pt idx="1">
                  <c:v>Lost</c:v>
                </c:pt>
                <c:pt idx="2">
                  <c:v>Negotiation</c:v>
                </c:pt>
                <c:pt idx="3">
                  <c:v>Proposal</c:v>
                </c:pt>
                <c:pt idx="4">
                  <c:v>Qualified</c:v>
                </c:pt>
                <c:pt idx="5">
                  <c:v>Won</c:v>
                </c:pt>
                <c:pt idx="6">
                  <c:v>(blank)</c:v>
                </c:pt>
              </c:strCache>
            </c:strRef>
          </c:cat>
          <c:val>
            <c:numRef>
              <c:f>'pivot table'!$L$6:$L$13</c:f>
              <c:numCache>
                <c:formatCode>0.00</c:formatCode>
                <c:ptCount val="7"/>
                <c:pt idx="0">
                  <c:v>3788700</c:v>
                </c:pt>
                <c:pt idx="1">
                  <c:v>4716000</c:v>
                </c:pt>
                <c:pt idx="2">
                  <c:v>4375800</c:v>
                </c:pt>
                <c:pt idx="3">
                  <c:v>7294400</c:v>
                </c:pt>
                <c:pt idx="4">
                  <c:v>4598800</c:v>
                </c:pt>
                <c:pt idx="5">
                  <c:v>6835500</c:v>
                </c:pt>
                <c:pt idx="6">
                  <c:v>0</c:v>
                </c:pt>
              </c:numCache>
            </c:numRef>
          </c:val>
          <c:extLst>
            <c:ext xmlns:c16="http://schemas.microsoft.com/office/drawing/2014/chart" uri="{C3380CC4-5D6E-409C-BE32-E72D297353CC}">
              <c16:uniqueId val="{00000001-E802-4AEA-920D-27C3D1280988}"/>
            </c:ext>
          </c:extLst>
        </c:ser>
        <c:dLbls>
          <c:showLegendKey val="0"/>
          <c:showVal val="0"/>
          <c:showCatName val="0"/>
          <c:showSerName val="0"/>
          <c:showPercent val="0"/>
          <c:showBubbleSize val="0"/>
        </c:dLbls>
        <c:gapWidth val="182"/>
        <c:axId val="2053324927"/>
        <c:axId val="2053325407"/>
      </c:barChart>
      <c:catAx>
        <c:axId val="2053324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25407"/>
        <c:crosses val="autoZero"/>
        <c:auto val="1"/>
        <c:lblAlgn val="ctr"/>
        <c:lblOffset val="100"/>
        <c:noMultiLvlLbl val="0"/>
      </c:catAx>
      <c:valAx>
        <c:axId val="205332540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2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[Sales_Customer_Support_Performance_Analytics.xlsx]pivot table!PivotTable6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1C-4518-8525-63695AB3D6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1C-4518-8525-63695AB3D6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1C-4518-8525-63695AB3D6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1C-4518-8525-63695AB3D6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1C-4518-8525-63695AB3D65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table'!$A$49:$A$54</c:f>
              <c:strCache>
                <c:ptCount val="5"/>
                <c:pt idx="0">
                  <c:v>India</c:v>
                </c:pt>
                <c:pt idx="1">
                  <c:v>SEA</c:v>
                </c:pt>
                <c:pt idx="2">
                  <c:v>UAE</c:v>
                </c:pt>
                <c:pt idx="3">
                  <c:v>UK</c:v>
                </c:pt>
                <c:pt idx="4">
                  <c:v>USA</c:v>
                </c:pt>
              </c:strCache>
            </c:strRef>
          </c:cat>
          <c:val>
            <c:numRef>
              <c:f>'pivot table'!$B$49:$B$54</c:f>
              <c:numCache>
                <c:formatCode>0.00</c:formatCode>
                <c:ptCount val="5"/>
                <c:pt idx="0">
                  <c:v>3220200</c:v>
                </c:pt>
                <c:pt idx="1">
                  <c:v>703600</c:v>
                </c:pt>
                <c:pt idx="2">
                  <c:v>1721100</c:v>
                </c:pt>
                <c:pt idx="3">
                  <c:v>358800</c:v>
                </c:pt>
                <c:pt idx="4">
                  <c:v>831800</c:v>
                </c:pt>
              </c:numCache>
            </c:numRef>
          </c:val>
          <c:extLst>
            <c:ext xmlns:c16="http://schemas.microsoft.com/office/drawing/2014/chart" uri="{C3380CC4-5D6E-409C-BE32-E72D297353CC}">
              <c16:uniqueId val="{0000000A-7D1C-4518-8525-63695AB3D65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[Sales_Customer_Support_Performance_Analytics.xlsx]pivot table!PivotTable1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53474785572352"/>
          <c:y val="0.12397929425488481"/>
          <c:w val="0.46333413771632687"/>
          <c:h val="0.58269757946923306"/>
        </c:manualLayout>
      </c:layout>
      <c:barChart>
        <c:barDir val="col"/>
        <c:grouping val="clustered"/>
        <c:varyColors val="0"/>
        <c:ser>
          <c:idx val="0"/>
          <c:order val="0"/>
          <c:tx>
            <c:strRef>
              <c:f>'pivot table'!$B$5</c:f>
              <c:strCache>
                <c:ptCount val="1"/>
                <c:pt idx="0">
                  <c:v>Sum of Revenue_INR</c:v>
                </c:pt>
              </c:strCache>
            </c:strRef>
          </c:tx>
          <c:spPr>
            <a:solidFill>
              <a:schemeClr val="accent1"/>
            </a:solidFill>
            <a:ln>
              <a:noFill/>
            </a:ln>
            <a:effectLst/>
          </c:spPr>
          <c:invertIfNegative val="0"/>
          <c:cat>
            <c:strRef>
              <c:f>'pivot table'!$A$6:$A$22</c:f>
              <c:strCache>
                <c:ptCount val="16"/>
                <c:pt idx="0">
                  <c:v>Aarav</c:v>
                </c:pt>
                <c:pt idx="1">
                  <c:v>Aditya</c:v>
                </c:pt>
                <c:pt idx="2">
                  <c:v>Ananya</c:v>
                </c:pt>
                <c:pt idx="3">
                  <c:v>Arjun</c:v>
                </c:pt>
                <c:pt idx="4">
                  <c:v>Diya</c:v>
                </c:pt>
                <c:pt idx="5">
                  <c:v>Ishita</c:v>
                </c:pt>
                <c:pt idx="6">
                  <c:v>Kabir</c:v>
                </c:pt>
                <c:pt idx="7">
                  <c:v>Karan</c:v>
                </c:pt>
                <c:pt idx="8">
                  <c:v>Meera</c:v>
                </c:pt>
                <c:pt idx="9">
                  <c:v>Nisha</c:v>
                </c:pt>
                <c:pt idx="10">
                  <c:v>Pooja</c:v>
                </c:pt>
                <c:pt idx="11">
                  <c:v>Priya</c:v>
                </c:pt>
                <c:pt idx="12">
                  <c:v>Rahul</c:v>
                </c:pt>
                <c:pt idx="13">
                  <c:v>Rohan</c:v>
                </c:pt>
                <c:pt idx="14">
                  <c:v>Sneha</c:v>
                </c:pt>
                <c:pt idx="15">
                  <c:v>Vivek</c:v>
                </c:pt>
              </c:strCache>
            </c:strRef>
          </c:cat>
          <c:val>
            <c:numRef>
              <c:f>'pivot table'!$B$6:$B$22</c:f>
              <c:numCache>
                <c:formatCode>0.00</c:formatCode>
                <c:ptCount val="16"/>
                <c:pt idx="0">
                  <c:v>746200</c:v>
                </c:pt>
                <c:pt idx="1">
                  <c:v>0</c:v>
                </c:pt>
                <c:pt idx="2">
                  <c:v>0</c:v>
                </c:pt>
                <c:pt idx="3">
                  <c:v>587800</c:v>
                </c:pt>
                <c:pt idx="4">
                  <c:v>1069600</c:v>
                </c:pt>
                <c:pt idx="5">
                  <c:v>1049400</c:v>
                </c:pt>
                <c:pt idx="6">
                  <c:v>1308200</c:v>
                </c:pt>
                <c:pt idx="7">
                  <c:v>0</c:v>
                </c:pt>
                <c:pt idx="8">
                  <c:v>617000</c:v>
                </c:pt>
                <c:pt idx="9">
                  <c:v>894100</c:v>
                </c:pt>
                <c:pt idx="10">
                  <c:v>0</c:v>
                </c:pt>
                <c:pt idx="11">
                  <c:v>0</c:v>
                </c:pt>
                <c:pt idx="12">
                  <c:v>0</c:v>
                </c:pt>
                <c:pt idx="13">
                  <c:v>563200</c:v>
                </c:pt>
                <c:pt idx="14">
                  <c:v>0</c:v>
                </c:pt>
                <c:pt idx="15">
                  <c:v>0</c:v>
                </c:pt>
              </c:numCache>
            </c:numRef>
          </c:val>
          <c:extLst>
            <c:ext xmlns:c16="http://schemas.microsoft.com/office/drawing/2014/chart" uri="{C3380CC4-5D6E-409C-BE32-E72D297353CC}">
              <c16:uniqueId val="{00000000-1573-4F72-A318-0347A39CAE0C}"/>
            </c:ext>
          </c:extLst>
        </c:ser>
        <c:ser>
          <c:idx val="1"/>
          <c:order val="1"/>
          <c:tx>
            <c:strRef>
              <c:f>'pivot table'!$C$5</c:f>
              <c:strCache>
                <c:ptCount val="1"/>
                <c:pt idx="0">
                  <c:v>Sum of Deals</c:v>
                </c:pt>
              </c:strCache>
            </c:strRef>
          </c:tx>
          <c:spPr>
            <a:solidFill>
              <a:schemeClr val="accent2"/>
            </a:solidFill>
            <a:ln>
              <a:noFill/>
            </a:ln>
            <a:effectLst/>
          </c:spPr>
          <c:invertIfNegative val="0"/>
          <c:cat>
            <c:strRef>
              <c:f>'pivot table'!$A$6:$A$22</c:f>
              <c:strCache>
                <c:ptCount val="16"/>
                <c:pt idx="0">
                  <c:v>Aarav</c:v>
                </c:pt>
                <c:pt idx="1">
                  <c:v>Aditya</c:v>
                </c:pt>
                <c:pt idx="2">
                  <c:v>Ananya</c:v>
                </c:pt>
                <c:pt idx="3">
                  <c:v>Arjun</c:v>
                </c:pt>
                <c:pt idx="4">
                  <c:v>Diya</c:v>
                </c:pt>
                <c:pt idx="5">
                  <c:v>Ishita</c:v>
                </c:pt>
                <c:pt idx="6">
                  <c:v>Kabir</c:v>
                </c:pt>
                <c:pt idx="7">
                  <c:v>Karan</c:v>
                </c:pt>
                <c:pt idx="8">
                  <c:v>Meera</c:v>
                </c:pt>
                <c:pt idx="9">
                  <c:v>Nisha</c:v>
                </c:pt>
                <c:pt idx="10">
                  <c:v>Pooja</c:v>
                </c:pt>
                <c:pt idx="11">
                  <c:v>Priya</c:v>
                </c:pt>
                <c:pt idx="12">
                  <c:v>Rahul</c:v>
                </c:pt>
                <c:pt idx="13">
                  <c:v>Rohan</c:v>
                </c:pt>
                <c:pt idx="14">
                  <c:v>Sneha</c:v>
                </c:pt>
                <c:pt idx="15">
                  <c:v>Vivek</c:v>
                </c:pt>
              </c:strCache>
            </c:strRef>
          </c:cat>
          <c:val>
            <c:numRef>
              <c:f>'pivot table'!$C$6:$C$22</c:f>
              <c:numCache>
                <c:formatCode>0</c:formatCode>
                <c:ptCount val="16"/>
                <c:pt idx="0">
                  <c:v>139</c:v>
                </c:pt>
                <c:pt idx="1">
                  <c:v>0</c:v>
                </c:pt>
                <c:pt idx="2">
                  <c:v>0</c:v>
                </c:pt>
                <c:pt idx="3">
                  <c:v>122</c:v>
                </c:pt>
                <c:pt idx="4">
                  <c:v>145</c:v>
                </c:pt>
                <c:pt idx="5">
                  <c:v>166</c:v>
                </c:pt>
                <c:pt idx="6">
                  <c:v>123</c:v>
                </c:pt>
                <c:pt idx="7">
                  <c:v>0</c:v>
                </c:pt>
                <c:pt idx="8">
                  <c:v>131</c:v>
                </c:pt>
                <c:pt idx="9">
                  <c:v>141</c:v>
                </c:pt>
                <c:pt idx="10">
                  <c:v>0</c:v>
                </c:pt>
                <c:pt idx="11">
                  <c:v>0</c:v>
                </c:pt>
                <c:pt idx="12">
                  <c:v>0</c:v>
                </c:pt>
                <c:pt idx="13">
                  <c:v>122</c:v>
                </c:pt>
                <c:pt idx="14">
                  <c:v>0</c:v>
                </c:pt>
                <c:pt idx="15">
                  <c:v>0</c:v>
                </c:pt>
              </c:numCache>
            </c:numRef>
          </c:val>
          <c:extLst>
            <c:ext xmlns:c16="http://schemas.microsoft.com/office/drawing/2014/chart" uri="{C3380CC4-5D6E-409C-BE32-E72D297353CC}">
              <c16:uniqueId val="{00000001-1573-4F72-A318-0347A39CAE0C}"/>
            </c:ext>
          </c:extLst>
        </c:ser>
        <c:dLbls>
          <c:showLegendKey val="0"/>
          <c:showVal val="0"/>
          <c:showCatName val="0"/>
          <c:showSerName val="0"/>
          <c:showPercent val="0"/>
          <c:showBubbleSize val="0"/>
        </c:dLbls>
        <c:gapWidth val="219"/>
        <c:overlap val="-27"/>
        <c:axId val="885618671"/>
        <c:axId val="885618191"/>
      </c:barChart>
      <c:catAx>
        <c:axId val="88561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18191"/>
        <c:crosses val="autoZero"/>
        <c:auto val="1"/>
        <c:lblAlgn val="ctr"/>
        <c:lblOffset val="100"/>
        <c:noMultiLvlLbl val="0"/>
      </c:catAx>
      <c:valAx>
        <c:axId val="885618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1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65852</xdr:colOff>
      <xdr:row>6</xdr:row>
      <xdr:rowOff>28215</xdr:rowOff>
    </xdr:from>
    <xdr:to>
      <xdr:col>4</xdr:col>
      <xdr:colOff>292243</xdr:colOff>
      <xdr:row>16</xdr:row>
      <xdr:rowOff>170654</xdr:rowOff>
    </xdr:to>
    <xdr:graphicFrame macro="">
      <xdr:nvGraphicFramePr>
        <xdr:cNvPr id="6" name="Chart 5">
          <a:extLst>
            <a:ext uri="{FF2B5EF4-FFF2-40B4-BE49-F238E27FC236}">
              <a16:creationId xmlns:a16="http://schemas.microsoft.com/office/drawing/2014/main" id="{D2D6A33D-1791-4275-8F00-CFE4C3EE6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410307</xdr:colOff>
      <xdr:row>17</xdr:row>
      <xdr:rowOff>37622</xdr:rowOff>
    </xdr:from>
    <xdr:to>
      <xdr:col>9</xdr:col>
      <xdr:colOff>1453</xdr:colOff>
      <xdr:row>31</xdr:row>
      <xdr:rowOff>69730</xdr:rowOff>
    </xdr:to>
    <xdr:graphicFrame macro="">
      <xdr:nvGraphicFramePr>
        <xdr:cNvPr id="8" name="Chart 7">
          <a:extLst>
            <a:ext uri="{FF2B5EF4-FFF2-40B4-BE49-F238E27FC236}">
              <a16:creationId xmlns:a16="http://schemas.microsoft.com/office/drawing/2014/main" id="{F57AAA18-A0EF-49BF-8599-7BFAE167E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9408</xdr:colOff>
      <xdr:row>2</xdr:row>
      <xdr:rowOff>24191</xdr:rowOff>
    </xdr:from>
    <xdr:to>
      <xdr:col>17</xdr:col>
      <xdr:colOff>0</xdr:colOff>
      <xdr:row>17</xdr:row>
      <xdr:rowOff>46893</xdr:rowOff>
    </xdr:to>
    <xdr:graphicFrame macro="">
      <xdr:nvGraphicFramePr>
        <xdr:cNvPr id="10" name="Chart 9">
          <a:extLst>
            <a:ext uri="{FF2B5EF4-FFF2-40B4-BE49-F238E27FC236}">
              <a16:creationId xmlns:a16="http://schemas.microsoft.com/office/drawing/2014/main" id="{51B429E0-06CD-4DBB-97FC-E1A2503B2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28222</xdr:colOff>
      <xdr:row>17</xdr:row>
      <xdr:rowOff>94066</xdr:rowOff>
    </xdr:from>
    <xdr:to>
      <xdr:col>17</xdr:col>
      <xdr:colOff>0</xdr:colOff>
      <xdr:row>31</xdr:row>
      <xdr:rowOff>58615</xdr:rowOff>
    </xdr:to>
    <xdr:graphicFrame macro="">
      <xdr:nvGraphicFramePr>
        <xdr:cNvPr id="11" name="Chart 10">
          <a:extLst>
            <a:ext uri="{FF2B5EF4-FFF2-40B4-BE49-F238E27FC236}">
              <a16:creationId xmlns:a16="http://schemas.microsoft.com/office/drawing/2014/main" id="{CBBC5136-A4B5-4B21-B39D-C9B75BA52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395112</xdr:colOff>
      <xdr:row>6</xdr:row>
      <xdr:rowOff>28215</xdr:rowOff>
    </xdr:from>
    <xdr:to>
      <xdr:col>9</xdr:col>
      <xdr:colOff>2658</xdr:colOff>
      <xdr:row>16</xdr:row>
      <xdr:rowOff>150511</xdr:rowOff>
    </xdr:to>
    <xdr:graphicFrame macro="">
      <xdr:nvGraphicFramePr>
        <xdr:cNvPr id="2" name="Chart 1">
          <a:extLst>
            <a:ext uri="{FF2B5EF4-FFF2-40B4-BE49-F238E27FC236}">
              <a16:creationId xmlns:a16="http://schemas.microsoft.com/office/drawing/2014/main" id="{C31E9ACB-CF27-4D89-9188-F4301E01D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122296</xdr:colOff>
      <xdr:row>17</xdr:row>
      <xdr:rowOff>29711</xdr:rowOff>
    </xdr:from>
    <xdr:to>
      <xdr:col>4</xdr:col>
      <xdr:colOff>279918</xdr:colOff>
      <xdr:row>31</xdr:row>
      <xdr:rowOff>63579</xdr:rowOff>
    </xdr:to>
    <xdr:graphicFrame macro="">
      <xdr:nvGraphicFramePr>
        <xdr:cNvPr id="3" name="Chart 2">
          <a:extLst>
            <a:ext uri="{FF2B5EF4-FFF2-40B4-BE49-F238E27FC236}">
              <a16:creationId xmlns:a16="http://schemas.microsoft.com/office/drawing/2014/main" id="{3DE25416-48E2-42C6-A245-BE7525383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564766</xdr:colOff>
      <xdr:row>28</xdr:row>
      <xdr:rowOff>162437</xdr:rowOff>
    </xdr:from>
    <xdr:to>
      <xdr:col>9</xdr:col>
      <xdr:colOff>605412</xdr:colOff>
      <xdr:row>43</xdr:row>
      <xdr:rowOff>162437</xdr:rowOff>
    </xdr:to>
    <xdr:graphicFrame macro="">
      <xdr:nvGraphicFramePr>
        <xdr:cNvPr id="6" name="Chart 5">
          <a:extLst>
            <a:ext uri="{FF2B5EF4-FFF2-40B4-BE49-F238E27FC236}">
              <a16:creationId xmlns:a16="http://schemas.microsoft.com/office/drawing/2014/main" id="{A9E9CC4E-F428-9781-26B4-990D6A2FD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26911</xdr:rowOff>
    </xdr:from>
    <xdr:to>
      <xdr:col>2</xdr:col>
      <xdr:colOff>434051</xdr:colOff>
      <xdr:row>6</xdr:row>
      <xdr:rowOff>163974</xdr:rowOff>
    </xdr:to>
    <mc:AlternateContent xmlns:mc="http://schemas.openxmlformats.org/markup-compatibility/2006" xmlns:a14="http://schemas.microsoft.com/office/drawing/2010/main">
      <mc:Choice Requires="a14">
        <xdr:graphicFrame macro="">
          <xdr:nvGraphicFramePr>
            <xdr:cNvPr id="2" name="Team">
              <a:extLst>
                <a:ext uri="{FF2B5EF4-FFF2-40B4-BE49-F238E27FC236}">
                  <a16:creationId xmlns:a16="http://schemas.microsoft.com/office/drawing/2014/main" id="{688CBB53-B7C8-4D06-B0C1-B354BF8BAAC5}"/>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0" y="403724"/>
              <a:ext cx="1874315" cy="873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135037</xdr:colOff>
      <xdr:row>2</xdr:row>
      <xdr:rowOff>1</xdr:rowOff>
    </xdr:from>
    <xdr:to>
      <xdr:col>8</xdr:col>
      <xdr:colOff>279</xdr:colOff>
      <xdr:row>6</xdr:row>
      <xdr:rowOff>162278</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024A5A6-9464-4EBA-870A-9F8AECB3BB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86575" y="376814"/>
              <a:ext cx="3172825" cy="899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67519</xdr:colOff>
      <xdr:row>2</xdr:row>
      <xdr:rowOff>28939</xdr:rowOff>
    </xdr:from>
    <xdr:to>
      <xdr:col>17</xdr:col>
      <xdr:colOff>67519</xdr:colOff>
      <xdr:row>17</xdr:row>
      <xdr:rowOff>48228</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832B902F-0842-444C-8A0E-0D3E40BB092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801211" y="405752"/>
              <a:ext cx="1833824" cy="2908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19292</xdr:colOff>
      <xdr:row>9</xdr:row>
      <xdr:rowOff>48228</xdr:rowOff>
    </xdr:from>
    <xdr:to>
      <xdr:col>7</xdr:col>
      <xdr:colOff>588380</xdr:colOff>
      <xdr:row>23</xdr:row>
      <xdr:rowOff>0</xdr:rowOff>
    </xdr:to>
    <xdr:graphicFrame macro="">
      <xdr:nvGraphicFramePr>
        <xdr:cNvPr id="5" name="Chart 4">
          <a:extLst>
            <a:ext uri="{FF2B5EF4-FFF2-40B4-BE49-F238E27FC236}">
              <a16:creationId xmlns:a16="http://schemas.microsoft.com/office/drawing/2014/main" id="{5D7B3681-45C2-4011-A9AA-847D0144F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19291</xdr:rowOff>
    </xdr:from>
    <xdr:to>
      <xdr:col>8</xdr:col>
      <xdr:colOff>9646</xdr:colOff>
      <xdr:row>37</xdr:row>
      <xdr:rowOff>28937</xdr:rowOff>
    </xdr:to>
    <xdr:graphicFrame macro="">
      <xdr:nvGraphicFramePr>
        <xdr:cNvPr id="6" name="Chart 5">
          <a:extLst>
            <a:ext uri="{FF2B5EF4-FFF2-40B4-BE49-F238E27FC236}">
              <a16:creationId xmlns:a16="http://schemas.microsoft.com/office/drawing/2014/main" id="{953F7D18-B8E0-448C-A026-F6859B174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67519</xdr:colOff>
      <xdr:row>2</xdr:row>
      <xdr:rowOff>1</xdr:rowOff>
    </xdr:from>
    <xdr:to>
      <xdr:col>14</xdr:col>
      <xdr:colOff>48228</xdr:colOff>
      <xdr:row>17</xdr:row>
      <xdr:rowOff>48229</xdr:rowOff>
    </xdr:to>
    <xdr:graphicFrame macro="">
      <xdr:nvGraphicFramePr>
        <xdr:cNvPr id="7" name="Chart 6">
          <a:extLst>
            <a:ext uri="{FF2B5EF4-FFF2-40B4-BE49-F238E27FC236}">
              <a16:creationId xmlns:a16="http://schemas.microsoft.com/office/drawing/2014/main" id="{4EA99B8D-AF07-43FF-9E08-58C8298E4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59609</xdr:colOff>
      <xdr:row>17</xdr:row>
      <xdr:rowOff>115749</xdr:rowOff>
    </xdr:from>
    <xdr:to>
      <xdr:col>17</xdr:col>
      <xdr:colOff>77165</xdr:colOff>
      <xdr:row>37</xdr:row>
      <xdr:rowOff>19293</xdr:rowOff>
    </xdr:to>
    <xdr:graphicFrame macro="">
      <xdr:nvGraphicFramePr>
        <xdr:cNvPr id="8" name="Chart 7">
          <a:extLst>
            <a:ext uri="{FF2B5EF4-FFF2-40B4-BE49-F238E27FC236}">
              <a16:creationId xmlns:a16="http://schemas.microsoft.com/office/drawing/2014/main" id="{BC3EC2E8-DB8F-4EE7-9E5E-143ED47C1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usain/AppData/Roaming/Microsoft/Excel/Intern_Interview_Project%20(1)%20(version%202).xlsb" TargetMode="External"/><Relationship Id="rId2" Type="http://schemas.openxmlformats.org/officeDocument/2006/relationships/externalLinkPath" Target="file:///C:\Users\husain\AppData\Roaming\Microsoft\Excel\Intern_Interview_Project%20(1)%20(version%202).xlsb" TargetMode="External"/><Relationship Id="rId1" Type="http://schemas.openxmlformats.org/officeDocument/2006/relationships/externalLinkPath" Target="/Users/husain/AppData/Roaming/Microsoft/Excel/Intern_Interview_Project%20(1)%20(version%20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aw_Data"/>
      <sheetName val="cleaning"/>
      <sheetName val="summary"/>
      <sheetName val="DASHBOARD"/>
      <sheetName val="Intern_Interview_Project (1) (v"/>
    </sheetNames>
    <sheetDataSet>
      <sheetData sheetId="0"/>
      <sheetData sheetId="1"/>
      <sheetData sheetId="2">
        <row r="10">
          <cell r="J10" t="str">
            <v>Ishita</v>
          </cell>
        </row>
        <row r="11">
          <cell r="J11" t="str">
            <v>Aarav</v>
          </cell>
        </row>
        <row r="12">
          <cell r="J12" t="str">
            <v>Nisha</v>
          </cell>
        </row>
        <row r="13">
          <cell r="J13" t="str">
            <v>Diya</v>
          </cell>
        </row>
        <row r="14">
          <cell r="J14" t="str">
            <v>Kabir</v>
          </cell>
        </row>
        <row r="15">
          <cell r="J15" t="str">
            <v>Meera</v>
          </cell>
        </row>
        <row r="16">
          <cell r="J16" t="str">
            <v>Arjun</v>
          </cell>
        </row>
        <row r="17">
          <cell r="J17" t="str">
            <v>Rohan</v>
          </cell>
        </row>
      </sheetData>
      <sheetData sheetId="3"/>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 refreshedDate="46318.52164467593" createdVersion="8" refreshedVersion="8" minRefreshableVersion="3" recordCount="2000" xr:uid="{0A9D3F34-1CB8-4242-9D41-ECEBE9FB1873}">
  <cacheSource type="worksheet">
    <worksheetSource name="Table1"/>
  </cacheSource>
  <cacheFields count="19">
    <cacheField name="Record_ID" numFmtId="0">
      <sharedItems/>
    </cacheField>
    <cacheField name="Date" numFmtId="14">
      <sharedItems containsSemiMixedTypes="0" containsNonDate="0" containsDate="1" containsString="0" minDate="2025-09-01T00:00:00" maxDate="2026-09-01T00:00:00" count="363">
        <d v="2026-04-08T00:00:00"/>
        <d v="2026-06-28T00:00:00"/>
        <d v="2025-11-09T00:00:00"/>
        <d v="2026-01-20T00:00:00"/>
        <d v="2026-08-11T00:00:00"/>
        <d v="2025-11-25T00:00:00"/>
        <d v="2026-03-17T00:00:00"/>
        <d v="2026-01-03T00:00:00"/>
        <d v="2025-10-19T00:00:00"/>
        <d v="2026-04-01T00:00:00"/>
        <d v="2025-11-05T00:00:00"/>
        <d v="2026-02-25T00:00:00"/>
        <d v="2025-11-24T00:00:00"/>
        <d v="2026-05-21T00:00:00"/>
        <d v="2025-09-08T00:00:00"/>
        <d v="2025-12-18T00:00:00"/>
        <d v="2026-05-05T00:00:00"/>
        <d v="2026-05-23T00:00:00"/>
        <d v="2026-08-30T00:00:00"/>
        <d v="2026-02-10T00:00:00"/>
        <d v="2026-01-28T00:00:00"/>
        <d v="2025-10-17T00:00:00"/>
        <d v="2026-06-21T00:00:00"/>
        <d v="2025-10-09T00:00:00"/>
        <d v="2026-08-10T00:00:00"/>
        <d v="2026-03-25T00:00:00"/>
        <d v="2026-06-13T00:00:00"/>
        <d v="2026-07-31T00:00:00"/>
        <d v="2026-03-02T00:00:00"/>
        <d v="2026-07-01T00:00:00"/>
        <d v="2026-07-05T00:00:00"/>
        <d v="2026-08-14T00:00:00"/>
        <d v="2025-11-26T00:00:00"/>
        <d v="2026-08-28T00:00:00"/>
        <d v="2026-01-19T00:00:00"/>
        <d v="2026-05-03T00:00:00"/>
        <d v="2025-10-11T00:00:00"/>
        <d v="2025-10-15T00:00:00"/>
        <d v="2026-04-03T00:00:00"/>
        <d v="2025-12-22T00:00:00"/>
        <d v="2026-07-04T00:00:00"/>
        <d v="2025-09-02T00:00:00"/>
        <d v="2026-07-08T00:00:00"/>
        <d v="2026-03-07T00:00:00"/>
        <d v="2026-07-10T00:00:00"/>
        <d v="2025-10-26T00:00:00"/>
        <d v="2025-11-03T00:00:00"/>
        <d v="2026-07-22T00:00:00"/>
        <d v="2026-04-22T00:00:00"/>
        <d v="2026-01-02T00:00:00"/>
        <d v="2026-06-05T00:00:00"/>
        <d v="2025-10-12T00:00:00"/>
        <d v="2026-07-21T00:00:00"/>
        <d v="2026-05-31T00:00:00"/>
        <d v="2026-02-11T00:00:00"/>
        <d v="2026-01-27T00:00:00"/>
        <d v="2026-03-22T00:00:00"/>
        <d v="2026-08-31T00:00:00"/>
        <d v="2026-07-25T00:00:00"/>
        <d v="2025-09-22T00:00:00"/>
        <d v="2026-03-03T00:00:00"/>
        <d v="2026-01-13T00:00:00"/>
        <d v="2026-03-10T00:00:00"/>
        <d v="2026-08-21T00:00:00"/>
        <d v="2026-01-23T00:00:00"/>
        <d v="2026-05-27T00:00:00"/>
        <d v="2025-09-10T00:00:00"/>
        <d v="2025-10-23T00:00:00"/>
        <d v="2026-08-04T00:00:00"/>
        <d v="2026-03-28T00:00:00"/>
        <d v="2025-12-09T00:00:00"/>
        <d v="2026-04-05T00:00:00"/>
        <d v="2026-06-08T00:00:00"/>
        <d v="2026-03-29T00:00:00"/>
        <d v="2026-01-16T00:00:00"/>
        <d v="2025-09-17T00:00:00"/>
        <d v="2026-08-06T00:00:00"/>
        <d v="2026-04-12T00:00:00"/>
        <d v="2025-10-13T00:00:00"/>
        <d v="2026-04-06T00:00:00"/>
        <d v="2026-02-28T00:00:00"/>
        <d v="2025-12-11T00:00:00"/>
        <d v="2026-04-14T00:00:00"/>
        <d v="2026-03-21T00:00:00"/>
        <d v="2025-09-19T00:00:00"/>
        <d v="2025-11-23T00:00:00"/>
        <d v="2026-04-04T00:00:00"/>
        <d v="2025-12-26T00:00:00"/>
        <d v="2026-08-15T00:00:00"/>
        <d v="2025-12-14T00:00:00"/>
        <d v="2025-10-10T00:00:00"/>
        <d v="2026-01-25T00:00:00"/>
        <d v="2026-06-10T00:00:00"/>
        <d v="2026-02-16T00:00:00"/>
        <d v="2026-05-30T00:00:00"/>
        <d v="2025-10-21T00:00:00"/>
        <d v="2026-02-14T00:00:00"/>
        <d v="2026-05-29T00:00:00"/>
        <d v="2026-08-05T00:00:00"/>
        <d v="2025-12-04T00:00:00"/>
        <d v="2025-12-23T00:00:00"/>
        <d v="2026-01-04T00:00:00"/>
        <d v="2025-10-29T00:00:00"/>
        <d v="2025-11-18T00:00:00"/>
        <d v="2025-11-21T00:00:00"/>
        <d v="2025-09-20T00:00:00"/>
        <d v="2026-01-12T00:00:00"/>
        <d v="2025-11-04T00:00:00"/>
        <d v="2025-09-25T00:00:00"/>
        <d v="2026-01-05T00:00:00"/>
        <d v="2026-07-15T00:00:00"/>
        <d v="2026-07-16T00:00:00"/>
        <d v="2025-11-12T00:00:00"/>
        <d v="2025-10-07T00:00:00"/>
        <d v="2026-08-29T00:00:00"/>
        <d v="2026-01-11T00:00:00"/>
        <d v="2026-03-15T00:00:00"/>
        <d v="2025-12-06T00:00:00"/>
        <d v="2025-10-16T00:00:00"/>
        <d v="2025-12-17T00:00:00"/>
        <d v="2026-02-09T00:00:00"/>
        <d v="2025-11-11T00:00:00"/>
        <d v="2026-08-20T00:00:00"/>
        <d v="2026-01-22T00:00:00"/>
        <d v="2026-04-21T00:00:00"/>
        <d v="2025-09-30T00:00:00"/>
        <d v="2026-08-26T00:00:00"/>
        <d v="2026-04-23T00:00:00"/>
        <d v="2026-07-11T00:00:00"/>
        <d v="2026-03-11T00:00:00"/>
        <d v="2026-06-04T00:00:00"/>
        <d v="2025-12-13T00:00:00"/>
        <d v="2025-11-20T00:00:00"/>
        <d v="2026-04-27T00:00:00"/>
        <d v="2026-05-15T00:00:00"/>
        <d v="2026-02-23T00:00:00"/>
        <d v="2026-04-18T00:00:00"/>
        <d v="2026-06-18T00:00:00"/>
        <d v="2025-10-31T00:00:00"/>
        <d v="2026-06-15T00:00:00"/>
        <d v="2026-04-02T00:00:00"/>
        <d v="2026-07-19T00:00:00"/>
        <d v="2026-02-02T00:00:00"/>
        <d v="2025-09-11T00:00:00"/>
        <d v="2025-10-22T00:00:00"/>
        <d v="2025-12-02T00:00:00"/>
        <d v="2025-09-18T00:00:00"/>
        <d v="2025-10-18T00:00:00"/>
        <d v="2026-08-12T00:00:00"/>
        <d v="2026-03-19T00:00:00"/>
        <d v="2026-06-14T00:00:00"/>
        <d v="2025-09-13T00:00:00"/>
        <d v="2025-10-28T00:00:00"/>
        <d v="2026-04-17T00:00:00"/>
        <d v="2025-12-05T00:00:00"/>
        <d v="2026-02-27T00:00:00"/>
        <d v="2025-09-01T00:00:00"/>
        <d v="2026-04-09T00:00:00"/>
        <d v="2026-04-15T00:00:00"/>
        <d v="2025-09-06T00:00:00"/>
        <d v="2026-06-11T00:00:00"/>
        <d v="2026-01-15T00:00:00"/>
        <d v="2025-11-06T00:00:00"/>
        <d v="2025-09-05T00:00:00"/>
        <d v="2026-06-29T00:00:00"/>
        <d v="2026-04-25T00:00:00"/>
        <d v="2025-12-20T00:00:00"/>
        <d v="2026-03-27T00:00:00"/>
        <d v="2026-05-20T00:00:00"/>
        <d v="2026-07-14T00:00:00"/>
        <d v="2026-02-20T00:00:00"/>
        <d v="2025-12-15T00:00:00"/>
        <d v="2026-01-17T00:00:00"/>
        <d v="2026-05-09T00:00:00"/>
        <d v="2026-07-29T00:00:00"/>
        <d v="2026-07-12T00:00:00"/>
        <d v="2026-01-29T00:00:00"/>
        <d v="2026-06-02T00:00:00"/>
        <d v="2025-10-08T00:00:00"/>
        <d v="2025-11-07T00:00:00"/>
        <d v="2026-06-23T00:00:00"/>
        <d v="2026-07-02T00:00:00"/>
        <d v="2025-10-27T00:00:00"/>
        <d v="2025-12-19T00:00:00"/>
        <d v="2026-01-01T00:00:00"/>
        <d v="2026-08-03T00:00:00"/>
        <d v="2026-08-09T00:00:00"/>
        <d v="2026-03-09T00:00:00"/>
        <d v="2026-03-30T00:00:00"/>
        <d v="2025-12-27T00:00:00"/>
        <d v="2025-09-28T00:00:00"/>
        <d v="2025-10-05T00:00:00"/>
        <d v="2026-07-27T00:00:00"/>
        <d v="2025-09-04T00:00:00"/>
        <d v="2026-05-11T00:00:00"/>
        <d v="2025-09-16T00:00:00"/>
        <d v="2026-08-23T00:00:00"/>
        <d v="2026-02-19T00:00:00"/>
        <d v="2026-02-26T00:00:00"/>
        <d v="2026-07-24T00:00:00"/>
        <d v="2025-09-12T00:00:00"/>
        <d v="2026-02-22T00:00:00"/>
        <d v="2026-03-06T00:00:00"/>
        <d v="2026-08-13T00:00:00"/>
        <d v="2025-12-01T00:00:00"/>
        <d v="2025-11-14T00:00:00"/>
        <d v="2026-02-15T00:00:00"/>
        <d v="2026-05-16T00:00:00"/>
        <d v="2026-04-20T00:00:00"/>
        <d v="2025-09-26T00:00:00"/>
        <d v="2025-11-02T00:00:00"/>
        <d v="2026-04-29T00:00:00"/>
        <d v="2026-01-08T00:00:00"/>
        <d v="2026-05-18T00:00:00"/>
        <d v="2026-03-04T00:00:00"/>
        <d v="2025-12-07T00:00:00"/>
        <d v="2026-03-26T00:00:00"/>
        <d v="2025-09-23T00:00:00"/>
        <d v="2026-03-18T00:00:00"/>
        <d v="2025-12-03T00:00:00"/>
        <d v="2025-11-15T00:00:00"/>
        <d v="2026-03-08T00:00:00"/>
        <d v="2025-10-14T00:00:00"/>
        <d v="2026-04-26T00:00:00"/>
        <d v="2025-11-10T00:00:00"/>
        <d v="2026-01-21T00:00:00"/>
        <d v="2026-04-30T00:00:00"/>
        <d v="2026-08-18T00:00:00"/>
        <d v="2025-11-27T00:00:00"/>
        <d v="2026-01-18T00:00:00"/>
        <d v="2026-05-17T00:00:00"/>
        <d v="2025-11-29T00:00:00"/>
        <d v="2025-12-08T00:00:00"/>
        <d v="2025-09-09T00:00:00"/>
        <d v="2026-05-13T00:00:00"/>
        <d v="2026-03-14T00:00:00"/>
        <d v="2026-05-04T00:00:00"/>
        <d v="2025-10-04T00:00:00"/>
        <d v="2026-07-03T00:00:00"/>
        <d v="2026-02-03T00:00:00"/>
        <d v="2026-07-26T00:00:00"/>
        <d v="2026-03-16T00:00:00"/>
        <d v="2026-05-10T00:00:00"/>
        <d v="2026-03-20T00:00:00"/>
        <d v="2026-03-23T00:00:00"/>
        <d v="2025-12-28T00:00:00"/>
        <d v="2025-09-03T00:00:00"/>
        <d v="2026-01-30T00:00:00"/>
        <d v="2025-11-16T00:00:00"/>
        <d v="2026-08-02T00:00:00"/>
        <d v="2026-01-06T00:00:00"/>
        <d v="2026-07-17T00:00:00"/>
        <d v="2026-04-13T00:00:00"/>
        <d v="2026-01-07T00:00:00"/>
        <d v="2026-05-01T00:00:00"/>
        <d v="2025-09-07T00:00:00"/>
        <d v="2026-08-22T00:00:00"/>
        <d v="2026-06-27T00:00:00"/>
        <d v="2025-11-01T00:00:00"/>
        <d v="2026-06-20T00:00:00"/>
        <d v="2026-06-16T00:00:00"/>
        <d v="2026-06-24T00:00:00"/>
        <d v="2026-07-09T00:00:00"/>
        <d v="2026-08-25T00:00:00"/>
        <d v="2026-07-28T00:00:00"/>
        <d v="2026-02-17T00:00:00"/>
        <d v="2026-08-19T00:00:00"/>
        <d v="2026-03-05T00:00:00"/>
        <d v="2026-07-18T00:00:00"/>
        <d v="2025-11-08T00:00:00"/>
        <d v="2026-02-12T00:00:00"/>
        <d v="2026-06-07T00:00:00"/>
        <d v="2025-10-25T00:00:00"/>
        <d v="2025-12-31T00:00:00"/>
        <d v="2025-09-24T00:00:00"/>
        <d v="2025-12-16T00:00:00"/>
        <d v="2026-08-24T00:00:00"/>
        <d v="2026-04-11T00:00:00"/>
        <d v="2026-06-17T00:00:00"/>
        <d v="2025-11-17T00:00:00"/>
        <d v="2025-12-30T00:00:00"/>
        <d v="2026-02-24T00:00:00"/>
        <d v="2026-06-03T00:00:00"/>
        <d v="2025-12-12T00:00:00"/>
        <d v="2026-03-31T00:00:00"/>
        <d v="2026-04-16T00:00:00"/>
        <d v="2026-08-08T00:00:00"/>
        <d v="2026-02-08T00:00:00"/>
        <d v="2026-01-31T00:00:00"/>
        <d v="2025-10-06T00:00:00"/>
        <d v="2026-06-25T00:00:00"/>
        <d v="2026-08-17T00:00:00"/>
        <d v="2025-09-29T00:00:00"/>
        <d v="2026-04-19T00:00:00"/>
        <d v="2026-03-01T00:00:00"/>
        <d v="2026-01-10T00:00:00"/>
        <d v="2026-01-14T00:00:00"/>
        <d v="2025-09-15T00:00:00"/>
        <d v="2026-07-07T00:00:00"/>
        <d v="2025-11-28T00:00:00"/>
        <d v="2026-05-28T00:00:00"/>
        <d v="2025-12-10T00:00:00"/>
        <d v="2025-11-22T00:00:00"/>
        <d v="2026-05-02T00:00:00"/>
        <d v="2025-11-19T00:00:00"/>
        <d v="2026-02-01T00:00:00"/>
        <d v="2026-02-13T00:00:00"/>
        <d v="2025-10-24T00:00:00"/>
        <d v="2026-05-12T00:00:00"/>
        <d v="2026-06-01T00:00:00"/>
        <d v="2026-08-07T00:00:00"/>
        <d v="2026-08-16T00:00:00"/>
        <d v="2025-10-01T00:00:00"/>
        <d v="2026-07-30T00:00:00"/>
        <d v="2026-05-26T00:00:00"/>
        <d v="2026-02-07T00:00:00"/>
        <d v="2026-05-22T00:00:00"/>
        <d v="2025-09-21T00:00:00"/>
        <d v="2026-02-05T00:00:00"/>
        <d v="2026-01-09T00:00:00"/>
        <d v="2026-06-19T00:00:00"/>
        <d v="2025-09-14T00:00:00"/>
        <d v="2026-05-14T00:00:00"/>
        <d v="2026-01-24T00:00:00"/>
        <d v="2026-07-06T00:00:00"/>
        <d v="2025-12-24T00:00:00"/>
        <d v="2026-06-09T00:00:00"/>
        <d v="2025-10-30T00:00:00"/>
        <d v="2026-05-08T00:00:00"/>
        <d v="2026-06-06T00:00:00"/>
        <d v="2025-12-21T00:00:00"/>
        <d v="2026-03-24T00:00:00"/>
        <d v="2026-08-27T00:00:00"/>
        <d v="2026-05-19T00:00:00"/>
        <d v="2026-03-12T00:00:00"/>
        <d v="2025-12-29T00:00:00"/>
        <d v="2026-05-06T00:00:00"/>
        <d v="2025-12-25T00:00:00"/>
        <d v="2026-04-24T00:00:00"/>
        <d v="2025-10-20T00:00:00"/>
        <d v="2025-09-27T00:00:00"/>
        <d v="2025-10-02T00:00:00"/>
        <d v="2026-06-22T00:00:00"/>
        <d v="2026-05-25T00:00:00"/>
        <d v="2026-02-04T00:00:00"/>
        <d v="2026-04-28T00:00:00"/>
        <d v="2026-07-23T00:00:00"/>
        <d v="2026-03-13T00:00:00"/>
        <d v="2026-01-26T00:00:00"/>
        <d v="2026-05-07T00:00:00"/>
        <d v="2025-11-30T00:00:00"/>
        <d v="2026-07-13T00:00:00"/>
        <d v="2026-07-20T00:00:00"/>
        <d v="2026-04-10T00:00:00"/>
        <d v="2026-05-24T00:00:00"/>
        <d v="2026-08-01T00:00:00"/>
        <d v="2026-06-26T00:00:00"/>
        <d v="2026-06-30T00:00:00"/>
        <d v="2025-10-03T00:00:00"/>
        <d v="2026-04-07T00:00:00"/>
        <d v="2026-06-12T00:00:00"/>
        <d v="2025-11-13T00:00:00"/>
        <d v="2026-02-21T00:00:00"/>
      </sharedItems>
    </cacheField>
    <cacheField name="Team" numFmtId="0">
      <sharedItems count="2">
        <s v="Sales"/>
        <s v="Support"/>
      </sharedItems>
    </cacheField>
    <cacheField name="Owner" numFmtId="0">
      <sharedItems count="16">
        <s v="Ishita"/>
        <s v="Sneha"/>
        <s v="Pooja"/>
        <s v="Karan"/>
        <s v="Aarav"/>
        <s v="Nisha"/>
        <s v="Diya"/>
        <s v="Kabir"/>
        <s v="Rahul"/>
        <s v="Vivek"/>
        <s v="Meera"/>
        <s v="Arjun"/>
        <s v="Aditya"/>
        <s v="Rohan"/>
        <s v="Ananya"/>
        <s v="Priya"/>
      </sharedItems>
    </cacheField>
    <cacheField name="Region" numFmtId="0">
      <sharedItems count="5">
        <s v="India"/>
        <s v="USA"/>
        <s v="UK"/>
        <s v="SEA"/>
        <s v="UAE"/>
      </sharedItems>
    </cacheField>
    <cacheField name="Customer" numFmtId="0">
      <sharedItems/>
    </cacheField>
    <cacheField name="Product" numFmtId="0">
      <sharedItems/>
    </cacheField>
    <cacheField name="Lead_Source" numFmtId="0">
      <sharedItems containsBlank="1"/>
    </cacheField>
    <cacheField name="Sales_Stage" numFmtId="0">
      <sharedItems containsBlank="1" count="7">
        <s v="Won"/>
        <m/>
        <s v="Proposal"/>
        <s v="Qualified"/>
        <s v="Negotiation"/>
        <s v="Lost"/>
        <s v="Demo Scheduled"/>
      </sharedItems>
    </cacheField>
    <cacheField name="Deals" numFmtId="1">
      <sharedItems containsSemiMixedTypes="0" containsString="0" containsNumber="1" containsInteger="1" minValue="0" maxValue="1"/>
    </cacheField>
    <cacheField name="Deal_Value_INR" numFmtId="2">
      <sharedItems containsSemiMixedTypes="0" containsString="0" containsNumber="1" containsInteger="1" minValue="0" maxValue="206800"/>
    </cacheField>
    <cacheField name="Revenue_INR" numFmtId="2">
      <sharedItems containsSemiMixedTypes="0" containsString="0" containsNumber="1" containsInteger="1" minValue="0" maxValue="187300"/>
    </cacheField>
    <cacheField name="Tickets" numFmtId="1">
      <sharedItems containsString="0" containsBlank="1" containsNumber="1" containsInteger="1" minValue="1" maxValue="1"/>
    </cacheField>
    <cacheField name="First_Response_Hours" numFmtId="2">
      <sharedItems containsSemiMixedTypes="0" containsString="0" containsNumber="1" minValue="0.1" maxValue="24" count="239">
        <n v="2"/>
        <n v="6.8"/>
        <n v="1.6"/>
        <n v="7.9"/>
        <n v="2.6"/>
        <n v="13.3"/>
        <n v="20.8"/>
        <n v="1.4"/>
        <n v="4"/>
        <n v="11.4"/>
        <n v="19.8"/>
        <n v="6.3"/>
        <n v="6.4"/>
        <n v="5.2"/>
        <n v="23.7"/>
        <n v="10.5"/>
        <n v="4.9000000000000004"/>
        <n v="2.9"/>
        <n v="15.1"/>
        <n v="3.1"/>
        <n v="12.5"/>
        <n v="21.7"/>
        <n v="9.4"/>
        <n v="1.5"/>
        <n v="8.5"/>
        <n v="2.1"/>
        <n v="5.8"/>
        <n v="8"/>
        <n v="16"/>
        <n v="6.1"/>
        <n v="12.4"/>
        <n v="0.6"/>
        <n v="2.4"/>
        <n v="10"/>
        <n v="2.5"/>
        <n v="22.3"/>
        <n v="10.9"/>
        <n v="6.6"/>
        <n v="13.4"/>
        <n v="16.399999999999999"/>
        <n v="3.3"/>
        <n v="9.9"/>
        <n v="19.7"/>
        <n v="8.1"/>
        <n v="9.1999999999999993"/>
        <n v="15.7"/>
        <n v="4.4000000000000004"/>
        <n v="1.7"/>
        <n v="5.9"/>
        <n v="6.5"/>
        <n v="5.4"/>
        <n v="11.7"/>
        <n v="20.9"/>
        <n v="2.7"/>
        <n v="14.4"/>
        <n v="7.5"/>
        <n v="7.1"/>
        <n v="7.4"/>
        <n v="17"/>
        <n v="1"/>
        <n v="7"/>
        <n v="6"/>
        <n v="7.2"/>
        <n v="1.1000000000000001"/>
        <n v="4.5999999999999996"/>
        <n v="9"/>
        <n v="18.5"/>
        <n v="17.7"/>
        <n v="3.5"/>
        <n v="6.7"/>
        <n v="0.5"/>
        <n v="0.4"/>
        <n v="2.8"/>
        <n v="22.8"/>
        <n v="10.4"/>
        <n v="3"/>
        <n v="18.3"/>
        <n v="18.899999999999999"/>
        <n v="19.399999999999999"/>
        <n v="1.2"/>
        <n v="9.6999999999999993"/>
        <n v="23.8"/>
        <n v="13.7"/>
        <n v="22.7"/>
        <n v="10.7"/>
        <n v="4.0999999999999996"/>
        <n v="15.6"/>
        <n v="22.9"/>
        <n v="8.4"/>
        <n v="0.7"/>
        <n v="19.5"/>
        <n v="8.1999999999999993"/>
        <n v="22"/>
        <n v="13.6"/>
        <n v="22.2"/>
        <n v="22.6"/>
        <n v="18.100000000000001"/>
        <n v="23.9"/>
        <n v="17.899999999999999"/>
        <n v="20.7"/>
        <n v="10.1"/>
        <n v="5"/>
        <n v="9.8000000000000007"/>
        <n v="2.2999999999999998"/>
        <n v="4.7"/>
        <n v="13"/>
        <n v="0.3"/>
        <n v="23.1"/>
        <n v="10.199999999999999"/>
        <n v="23.5"/>
        <n v="17.3"/>
        <n v="8.3000000000000007"/>
        <n v="0.8"/>
        <n v="17.600000000000001"/>
        <n v="8.6999999999999993"/>
        <n v="7.6"/>
        <n v="16.3"/>
        <n v="4.2"/>
        <n v="9.6"/>
        <n v="5.5"/>
        <n v="16.8"/>
        <n v="0.9"/>
        <n v="12.3"/>
        <n v="7.7"/>
        <n v="14.8"/>
        <n v="21.6"/>
        <n v="22.5"/>
        <n v="4.3"/>
        <n v="3.2"/>
        <n v="14.1"/>
        <n v="21.8"/>
        <n v="14.5"/>
        <n v="20.6"/>
        <n v="21.5"/>
        <n v="7.3"/>
        <n v="8.6"/>
        <n v="4.5"/>
        <n v="19.899999999999999"/>
        <n v="6.9"/>
        <n v="3.8"/>
        <n v="21"/>
        <n v="11.9"/>
        <n v="3.4"/>
        <n v="11.6"/>
        <n v="9.5"/>
        <n v="15.4"/>
        <n v="11"/>
        <n v="6.2"/>
        <n v="5.6"/>
        <n v="18.2"/>
        <n v="5.0999999999999996"/>
        <n v="2.2000000000000002"/>
        <n v="14.7"/>
        <n v="14.6"/>
        <n v="1.9"/>
        <n v="23"/>
        <n v="16.2"/>
        <n v="17.8"/>
        <n v="5.7"/>
        <n v="15.2"/>
        <n v="4.8"/>
        <n v="10.3"/>
        <n v="17.100000000000001"/>
        <n v="9.3000000000000007"/>
        <n v="10.6"/>
        <n v="16.7"/>
        <n v="22.4"/>
        <n v="8.9"/>
        <n v="11.2"/>
        <n v="11.1"/>
        <n v="23.6"/>
        <n v="12.6"/>
        <n v="3.6"/>
        <n v="1.3"/>
        <n v="11.5"/>
        <n v="24"/>
        <n v="13.9"/>
        <n v="8.8000000000000007"/>
        <n v="0.2"/>
        <n v="9.1"/>
        <n v="15.3"/>
        <n v="21.9"/>
        <n v="11.3"/>
        <n v="16.5"/>
        <n v="23.2"/>
        <n v="14.9"/>
        <n v="13.2"/>
        <n v="21.1"/>
        <n v="18.7"/>
        <n v="21.2"/>
        <n v="13.8"/>
        <n v="12.9"/>
        <n v="19.2"/>
        <n v="15.8"/>
        <n v="18.399999999999999"/>
        <n v="18"/>
        <n v="7.8"/>
        <n v="5.3"/>
        <n v="16.100000000000001"/>
        <n v="10.8"/>
        <n v="14"/>
        <n v="11.8"/>
        <n v="15"/>
        <n v="19.600000000000001"/>
        <n v="3.7"/>
        <n v="12.2"/>
        <n v="20.399999999999999"/>
        <n v="18.600000000000001"/>
        <n v="14.2"/>
        <n v="17.2"/>
        <n v="12"/>
        <n v="16.600000000000001"/>
        <n v="17.399999999999999"/>
        <n v="20.100000000000001"/>
        <n v="3.9"/>
        <n v="20"/>
        <n v="17.5"/>
        <n v="20.5"/>
        <n v="15.5"/>
        <n v="12.7"/>
        <n v="13.1"/>
        <n v="12.8"/>
        <n v="14.3"/>
        <n v="1.8"/>
        <n v="19.100000000000001"/>
        <n v="23.3"/>
        <n v="13.5"/>
        <n v="20.3"/>
        <n v="18.8"/>
        <n v="19.3"/>
        <n v="21.4"/>
        <n v="19"/>
        <n v="21.3"/>
        <n v="20.2"/>
        <n v="0.1"/>
        <n v="12.1"/>
        <n v="22.1"/>
        <n v="23.4"/>
        <n v="16.899999999999999"/>
      </sharedItems>
    </cacheField>
    <cacheField name="Resolution_Hours" numFmtId="2">
      <sharedItems containsString="0" containsBlank="1" containsNumber="1" minValue="0.9" maxValue="72"/>
    </cacheField>
    <cacheField name="CSAT" numFmtId="2">
      <sharedItems containsString="0" containsBlank="1" containsNumber="1" minValue="1.8" maxValue="5" count="33">
        <m/>
        <n v="3.9"/>
        <n v="3.3"/>
        <n v="4.8"/>
        <n v="4.2"/>
        <n v="5"/>
        <n v="3.5"/>
        <n v="3.6"/>
        <n v="4.7"/>
        <n v="4.5999999999999996"/>
        <n v="4.3"/>
        <n v="3.7"/>
        <n v="3.4"/>
        <n v="4"/>
        <n v="4.0999999999999996"/>
        <n v="2.8"/>
        <n v="2.9"/>
        <n v="3"/>
        <n v="3.8"/>
        <n v="4.4000000000000004"/>
        <n v="3.1"/>
        <n v="3.2"/>
        <n v="2.5"/>
        <n v="4.5"/>
        <n v="2.7"/>
        <n v="2.6"/>
        <n v="4.9000000000000004"/>
        <n v="2.2000000000000002"/>
        <n v="2.2999999999999998"/>
        <n v="1.9"/>
        <n v="2"/>
        <n v="1.8"/>
        <n v="2.4"/>
      </sharedItems>
    </cacheField>
    <cacheField name="Status" numFmtId="0">
      <sharedItems count="10">
        <s v="Won"/>
        <s v="Closed"/>
        <s v="Resolved"/>
        <s v="Proposal"/>
        <s v="Qualified"/>
        <s v="Pending"/>
        <s v="Negotiation"/>
        <s v="Lost"/>
        <s v="Demo Scheduled"/>
        <s v="Escalated"/>
      </sharedItems>
    </cacheField>
    <cacheField name="Month" numFmtId="2">
      <sharedItems count="12">
        <s v="Apr 2026"/>
        <s v="Jun 2026"/>
        <s v="Nov 2025"/>
        <s v="Jan 2026"/>
        <s v="Aug 2026"/>
        <s v="Mar 2026"/>
        <s v="Oct 2025"/>
        <s v="Feb 2026"/>
        <s v="May 2026"/>
        <s v="Sep 2025"/>
        <s v="Dec 2025"/>
        <s v="Jul 2026"/>
      </sharedItems>
    </cacheField>
    <cacheField name="YEAR" numFmtId="1">
      <sharedItems containsSemiMixedTypes="0" containsString="0" containsNumber="1" containsInteger="1" minValue="2025" maxValue="2026"/>
    </cacheField>
  </cacheFields>
  <extLst>
    <ext xmlns:x14="http://schemas.microsoft.com/office/spreadsheetml/2009/9/main" uri="{725AE2AE-9491-48be-B2B4-4EB974FC3084}">
      <x14:pivotCacheDefinition pivotCacheId="1756104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INT-00001"/>
    <x v="0"/>
    <x v="0"/>
    <x v="0"/>
    <x v="0"/>
    <s v="Customer 220"/>
    <s v="CRM"/>
    <s v="Inbound"/>
    <x v="0"/>
    <n v="1"/>
    <n v="67500"/>
    <n v="67500"/>
    <m/>
    <x v="0"/>
    <m/>
    <x v="0"/>
    <x v="0"/>
    <x v="0"/>
    <n v="2026"/>
  </r>
  <r>
    <s v="INT-00002"/>
    <x v="1"/>
    <x v="1"/>
    <x v="1"/>
    <x v="1"/>
    <s v="Customer 619"/>
    <s v="WhatsApp API"/>
    <m/>
    <x v="1"/>
    <n v="0"/>
    <n v="0"/>
    <n v="0"/>
    <n v="1"/>
    <x v="1"/>
    <n v="3.1"/>
    <x v="1"/>
    <x v="1"/>
    <x v="1"/>
    <n v="2026"/>
  </r>
  <r>
    <s v="INT-00003"/>
    <x v="2"/>
    <x v="1"/>
    <x v="2"/>
    <x v="1"/>
    <s v="Customer 672"/>
    <s v="WhatsApp API"/>
    <m/>
    <x v="1"/>
    <n v="0"/>
    <n v="0"/>
    <n v="0"/>
    <n v="1"/>
    <x v="2"/>
    <n v="6.2"/>
    <x v="2"/>
    <x v="1"/>
    <x v="2"/>
    <n v="2025"/>
  </r>
  <r>
    <s v="INT-00004"/>
    <x v="3"/>
    <x v="1"/>
    <x v="3"/>
    <x v="2"/>
    <s v="Customer 314"/>
    <s v="CRM"/>
    <m/>
    <x v="1"/>
    <n v="0"/>
    <n v="0"/>
    <n v="0"/>
    <n v="1"/>
    <x v="3"/>
    <n v="8.9"/>
    <x v="3"/>
    <x v="2"/>
    <x v="3"/>
    <n v="2026"/>
  </r>
  <r>
    <s v="INT-00005"/>
    <x v="4"/>
    <x v="0"/>
    <x v="4"/>
    <x v="3"/>
    <s v="Customer 445"/>
    <s v="Automation"/>
    <s v="Inbound"/>
    <x v="2"/>
    <n v="1"/>
    <n v="8000"/>
    <n v="0"/>
    <m/>
    <x v="4"/>
    <m/>
    <x v="0"/>
    <x v="3"/>
    <x v="4"/>
    <n v="2026"/>
  </r>
  <r>
    <s v="INT-00006"/>
    <x v="5"/>
    <x v="0"/>
    <x v="5"/>
    <x v="4"/>
    <s v="Customer 593"/>
    <s v="Analytics"/>
    <s v="Inbound"/>
    <x v="0"/>
    <n v="1"/>
    <n v="25100"/>
    <n v="25100"/>
    <m/>
    <x v="5"/>
    <m/>
    <x v="0"/>
    <x v="0"/>
    <x v="2"/>
    <n v="2025"/>
  </r>
  <r>
    <s v="INT-00007"/>
    <x v="6"/>
    <x v="0"/>
    <x v="6"/>
    <x v="1"/>
    <s v="Customer 517"/>
    <s v="CRM"/>
    <s v="Referral"/>
    <x v="3"/>
    <n v="1"/>
    <n v="16700"/>
    <n v="0"/>
    <m/>
    <x v="6"/>
    <m/>
    <x v="0"/>
    <x v="4"/>
    <x v="5"/>
    <n v="2026"/>
  </r>
  <r>
    <s v="INT-00008"/>
    <x v="7"/>
    <x v="1"/>
    <x v="2"/>
    <x v="2"/>
    <s v="Customer 588"/>
    <s v="Automation"/>
    <m/>
    <x v="1"/>
    <n v="0"/>
    <n v="0"/>
    <n v="0"/>
    <n v="1"/>
    <x v="7"/>
    <n v="7.3"/>
    <x v="4"/>
    <x v="1"/>
    <x v="3"/>
    <n v="2026"/>
  </r>
  <r>
    <s v="INT-00009"/>
    <x v="8"/>
    <x v="1"/>
    <x v="3"/>
    <x v="0"/>
    <s v="Customer 391"/>
    <s v="CRM"/>
    <m/>
    <x v="1"/>
    <n v="0"/>
    <n v="0"/>
    <n v="0"/>
    <n v="1"/>
    <x v="8"/>
    <n v="21.2"/>
    <x v="4"/>
    <x v="2"/>
    <x v="6"/>
    <n v="2025"/>
  </r>
  <r>
    <s v="INT-00010"/>
    <x v="9"/>
    <x v="1"/>
    <x v="1"/>
    <x v="2"/>
    <s v="Customer 628"/>
    <s v="CRM"/>
    <m/>
    <x v="1"/>
    <n v="0"/>
    <n v="0"/>
    <n v="0"/>
    <n v="1"/>
    <x v="9"/>
    <n v="9.5"/>
    <x v="5"/>
    <x v="5"/>
    <x v="0"/>
    <n v="2026"/>
  </r>
  <r>
    <s v="INT-00011"/>
    <x v="10"/>
    <x v="0"/>
    <x v="7"/>
    <x v="0"/>
    <s v="Customer 254"/>
    <s v="WhatsApp API"/>
    <s v="Partner"/>
    <x v="4"/>
    <n v="1"/>
    <n v="27600"/>
    <n v="0"/>
    <m/>
    <x v="10"/>
    <m/>
    <x v="0"/>
    <x v="6"/>
    <x v="2"/>
    <n v="2025"/>
  </r>
  <r>
    <s v="INT-00012"/>
    <x v="11"/>
    <x v="1"/>
    <x v="8"/>
    <x v="0"/>
    <s v="Customer 307"/>
    <s v="CRM"/>
    <m/>
    <x v="1"/>
    <n v="0"/>
    <n v="0"/>
    <n v="0"/>
    <n v="1"/>
    <x v="11"/>
    <n v="13.4"/>
    <x v="6"/>
    <x v="5"/>
    <x v="7"/>
    <n v="2026"/>
  </r>
  <r>
    <s v="INT-00013"/>
    <x v="12"/>
    <x v="1"/>
    <x v="9"/>
    <x v="0"/>
    <s v="Customer 559"/>
    <s v="Analytics"/>
    <m/>
    <x v="1"/>
    <n v="0"/>
    <n v="0"/>
    <n v="0"/>
    <n v="1"/>
    <x v="12"/>
    <n v="10.1"/>
    <x v="7"/>
    <x v="1"/>
    <x v="2"/>
    <n v="2025"/>
  </r>
  <r>
    <s v="INT-00014"/>
    <x v="13"/>
    <x v="0"/>
    <x v="7"/>
    <x v="4"/>
    <s v="Customer 259"/>
    <s v="Analytics"/>
    <s v="Inbound"/>
    <x v="3"/>
    <n v="1"/>
    <n v="11700"/>
    <n v="0"/>
    <m/>
    <x v="13"/>
    <m/>
    <x v="0"/>
    <x v="4"/>
    <x v="8"/>
    <n v="2026"/>
  </r>
  <r>
    <s v="INT-00015"/>
    <x v="14"/>
    <x v="0"/>
    <x v="7"/>
    <x v="1"/>
    <s v="Customer 688"/>
    <s v="Automation"/>
    <s v="Outbound"/>
    <x v="5"/>
    <n v="1"/>
    <n v="11600"/>
    <n v="0"/>
    <m/>
    <x v="14"/>
    <m/>
    <x v="0"/>
    <x v="7"/>
    <x v="9"/>
    <n v="2025"/>
  </r>
  <r>
    <s v="INT-00016"/>
    <x v="15"/>
    <x v="0"/>
    <x v="0"/>
    <x v="3"/>
    <s v="Customer 533"/>
    <s v="CRM"/>
    <s v="Referral"/>
    <x v="5"/>
    <n v="1"/>
    <n v="51900"/>
    <n v="0"/>
    <m/>
    <x v="15"/>
    <m/>
    <x v="0"/>
    <x v="7"/>
    <x v="10"/>
    <n v="2025"/>
  </r>
  <r>
    <s v="INT-00017"/>
    <x v="16"/>
    <x v="0"/>
    <x v="7"/>
    <x v="0"/>
    <s v="Customer 537"/>
    <s v="Automation"/>
    <s v="Outbound"/>
    <x v="5"/>
    <n v="1"/>
    <n v="25500"/>
    <n v="0"/>
    <m/>
    <x v="16"/>
    <m/>
    <x v="0"/>
    <x v="7"/>
    <x v="8"/>
    <n v="2026"/>
  </r>
  <r>
    <s v="INT-00018"/>
    <x v="17"/>
    <x v="0"/>
    <x v="0"/>
    <x v="1"/>
    <s v="Customer 434"/>
    <s v="CRM"/>
    <s v="Website"/>
    <x v="2"/>
    <n v="1"/>
    <n v="16900"/>
    <n v="0"/>
    <m/>
    <x v="10"/>
    <m/>
    <x v="0"/>
    <x v="3"/>
    <x v="8"/>
    <n v="2026"/>
  </r>
  <r>
    <s v="INT-00019"/>
    <x v="18"/>
    <x v="0"/>
    <x v="0"/>
    <x v="0"/>
    <s v="Customer 226"/>
    <s v="CRM"/>
    <s v="Website"/>
    <x v="6"/>
    <n v="1"/>
    <n v="41400"/>
    <n v="0"/>
    <m/>
    <x v="17"/>
    <m/>
    <x v="0"/>
    <x v="8"/>
    <x v="4"/>
    <n v="2026"/>
  </r>
  <r>
    <s v="INT-00020"/>
    <x v="19"/>
    <x v="0"/>
    <x v="7"/>
    <x v="0"/>
    <s v="Customer 041"/>
    <s v="Automation"/>
    <s v="Outbound"/>
    <x v="0"/>
    <n v="1"/>
    <n v="33200"/>
    <n v="33200"/>
    <m/>
    <x v="18"/>
    <m/>
    <x v="0"/>
    <x v="0"/>
    <x v="7"/>
    <n v="2026"/>
  </r>
  <r>
    <s v="INT-00021"/>
    <x v="20"/>
    <x v="1"/>
    <x v="8"/>
    <x v="2"/>
    <s v="Customer 620"/>
    <s v="Automation"/>
    <m/>
    <x v="1"/>
    <n v="0"/>
    <n v="0"/>
    <n v="0"/>
    <n v="1"/>
    <x v="19"/>
    <n v="4.8"/>
    <x v="1"/>
    <x v="2"/>
    <x v="3"/>
    <n v="2026"/>
  </r>
  <r>
    <s v="INT-00022"/>
    <x v="21"/>
    <x v="0"/>
    <x v="10"/>
    <x v="0"/>
    <s v="Customer 201"/>
    <s v="Automation"/>
    <s v="Inbound"/>
    <x v="6"/>
    <n v="1"/>
    <n v="61800"/>
    <n v="0"/>
    <m/>
    <x v="20"/>
    <m/>
    <x v="0"/>
    <x v="8"/>
    <x v="6"/>
    <n v="2025"/>
  </r>
  <r>
    <s v="INT-00023"/>
    <x v="22"/>
    <x v="0"/>
    <x v="7"/>
    <x v="0"/>
    <s v="Customer 533"/>
    <s v="WhatsApp API"/>
    <s v="Website"/>
    <x v="0"/>
    <n v="1"/>
    <n v="47100"/>
    <n v="47100"/>
    <m/>
    <x v="21"/>
    <m/>
    <x v="0"/>
    <x v="0"/>
    <x v="1"/>
    <n v="2026"/>
  </r>
  <r>
    <s v="INT-00024"/>
    <x v="23"/>
    <x v="0"/>
    <x v="6"/>
    <x v="1"/>
    <s v="Customer 207"/>
    <s v="Analytics"/>
    <s v="Referral"/>
    <x v="3"/>
    <n v="1"/>
    <n v="16600"/>
    <n v="0"/>
    <m/>
    <x v="22"/>
    <m/>
    <x v="0"/>
    <x v="4"/>
    <x v="6"/>
    <n v="2025"/>
  </r>
  <r>
    <s v="INT-00025"/>
    <x v="3"/>
    <x v="0"/>
    <x v="7"/>
    <x v="1"/>
    <s v="Customer 547"/>
    <s v="CRM"/>
    <s v="Partner"/>
    <x v="2"/>
    <n v="1"/>
    <n v="9400"/>
    <n v="0"/>
    <m/>
    <x v="23"/>
    <m/>
    <x v="0"/>
    <x v="3"/>
    <x v="3"/>
    <n v="2026"/>
  </r>
  <r>
    <s v="INT-00026"/>
    <x v="24"/>
    <x v="1"/>
    <x v="9"/>
    <x v="0"/>
    <s v="Customer 614"/>
    <s v="CRM"/>
    <m/>
    <x v="1"/>
    <n v="0"/>
    <n v="0"/>
    <n v="0"/>
    <n v="1"/>
    <x v="24"/>
    <n v="10.199999999999999"/>
    <x v="8"/>
    <x v="1"/>
    <x v="4"/>
    <n v="2026"/>
  </r>
  <r>
    <s v="INT-00027"/>
    <x v="25"/>
    <x v="0"/>
    <x v="11"/>
    <x v="2"/>
    <s v="Customer 636"/>
    <s v="WhatsApp API"/>
    <s v="Outbound"/>
    <x v="2"/>
    <n v="1"/>
    <n v="16600"/>
    <n v="0"/>
    <m/>
    <x v="25"/>
    <m/>
    <x v="0"/>
    <x v="3"/>
    <x v="5"/>
    <n v="2026"/>
  </r>
  <r>
    <s v="INT-00028"/>
    <x v="26"/>
    <x v="0"/>
    <x v="5"/>
    <x v="0"/>
    <s v="Customer 673"/>
    <s v="Automation"/>
    <s v="Inbound"/>
    <x v="3"/>
    <n v="1"/>
    <n v="17800"/>
    <n v="0"/>
    <m/>
    <x v="26"/>
    <m/>
    <x v="0"/>
    <x v="4"/>
    <x v="1"/>
    <n v="2026"/>
  </r>
  <r>
    <s v="INT-00029"/>
    <x v="27"/>
    <x v="1"/>
    <x v="1"/>
    <x v="2"/>
    <s v="Customer 068"/>
    <s v="Analytics"/>
    <m/>
    <x v="1"/>
    <n v="0"/>
    <n v="0"/>
    <n v="0"/>
    <n v="1"/>
    <x v="27"/>
    <n v="8.5"/>
    <x v="3"/>
    <x v="2"/>
    <x v="11"/>
    <n v="2026"/>
  </r>
  <r>
    <s v="INT-00030"/>
    <x v="28"/>
    <x v="0"/>
    <x v="4"/>
    <x v="4"/>
    <s v="Customer 062"/>
    <s v="WhatsApp API"/>
    <s v="Inbound"/>
    <x v="6"/>
    <n v="1"/>
    <n v="28700"/>
    <n v="0"/>
    <m/>
    <x v="28"/>
    <m/>
    <x v="0"/>
    <x v="8"/>
    <x v="5"/>
    <n v="2026"/>
  </r>
  <r>
    <s v="INT-00031"/>
    <x v="29"/>
    <x v="1"/>
    <x v="12"/>
    <x v="1"/>
    <s v="Customer 684"/>
    <s v="Automation"/>
    <m/>
    <x v="1"/>
    <n v="0"/>
    <n v="0"/>
    <n v="0"/>
    <n v="1"/>
    <x v="12"/>
    <n v="3.6"/>
    <x v="5"/>
    <x v="2"/>
    <x v="11"/>
    <n v="2026"/>
  </r>
  <r>
    <s v="INT-00032"/>
    <x v="30"/>
    <x v="0"/>
    <x v="13"/>
    <x v="0"/>
    <s v="Customer 232"/>
    <s v="WhatsApp API"/>
    <s v="Referral"/>
    <x v="0"/>
    <n v="1"/>
    <n v="20300"/>
    <n v="20300"/>
    <m/>
    <x v="29"/>
    <m/>
    <x v="0"/>
    <x v="0"/>
    <x v="11"/>
    <n v="2026"/>
  </r>
  <r>
    <s v="INT-00033"/>
    <x v="31"/>
    <x v="0"/>
    <x v="10"/>
    <x v="0"/>
    <s v="Customer 406"/>
    <s v="Automation"/>
    <s v="Outbound"/>
    <x v="5"/>
    <n v="1"/>
    <n v="66800"/>
    <n v="0"/>
    <m/>
    <x v="30"/>
    <m/>
    <x v="0"/>
    <x v="7"/>
    <x v="4"/>
    <n v="2026"/>
  </r>
  <r>
    <s v="INT-00034"/>
    <x v="32"/>
    <x v="1"/>
    <x v="12"/>
    <x v="0"/>
    <s v="Customer 214"/>
    <s v="CRM"/>
    <m/>
    <x v="1"/>
    <n v="0"/>
    <n v="0"/>
    <n v="0"/>
    <n v="1"/>
    <x v="31"/>
    <n v="12.5"/>
    <x v="9"/>
    <x v="2"/>
    <x v="2"/>
    <n v="2025"/>
  </r>
  <r>
    <s v="INT-00035"/>
    <x v="33"/>
    <x v="1"/>
    <x v="3"/>
    <x v="3"/>
    <s v="Customer 093"/>
    <s v="WhatsApp API"/>
    <m/>
    <x v="1"/>
    <n v="0"/>
    <n v="0"/>
    <n v="0"/>
    <n v="1"/>
    <x v="32"/>
    <n v="2.8"/>
    <x v="10"/>
    <x v="2"/>
    <x v="4"/>
    <n v="2026"/>
  </r>
  <r>
    <s v="INT-00036"/>
    <x v="34"/>
    <x v="1"/>
    <x v="14"/>
    <x v="4"/>
    <s v="Customer 049"/>
    <s v="CRM"/>
    <m/>
    <x v="1"/>
    <n v="0"/>
    <n v="0"/>
    <n v="0"/>
    <n v="1"/>
    <x v="33"/>
    <n v="5.4"/>
    <x v="8"/>
    <x v="2"/>
    <x v="3"/>
    <n v="2026"/>
  </r>
  <r>
    <s v="INT-00037"/>
    <x v="35"/>
    <x v="0"/>
    <x v="6"/>
    <x v="4"/>
    <s v="Customer 318"/>
    <s v="Analytics"/>
    <s v="Inbound"/>
    <x v="2"/>
    <n v="1"/>
    <n v="39400"/>
    <n v="0"/>
    <m/>
    <x v="34"/>
    <m/>
    <x v="0"/>
    <x v="3"/>
    <x v="8"/>
    <n v="2026"/>
  </r>
  <r>
    <s v="INT-00038"/>
    <x v="36"/>
    <x v="0"/>
    <x v="11"/>
    <x v="1"/>
    <s v="Customer 571"/>
    <s v="CRM"/>
    <s v="Referral"/>
    <x v="0"/>
    <n v="1"/>
    <n v="21000"/>
    <n v="21000"/>
    <m/>
    <x v="35"/>
    <m/>
    <x v="0"/>
    <x v="0"/>
    <x v="6"/>
    <n v="2025"/>
  </r>
  <r>
    <s v="INT-00039"/>
    <x v="37"/>
    <x v="1"/>
    <x v="8"/>
    <x v="0"/>
    <s v="Customer 620"/>
    <s v="WhatsApp API"/>
    <m/>
    <x v="1"/>
    <n v="0"/>
    <n v="0"/>
    <n v="0"/>
    <n v="1"/>
    <x v="36"/>
    <n v="12.2"/>
    <x v="11"/>
    <x v="2"/>
    <x v="6"/>
    <n v="2025"/>
  </r>
  <r>
    <s v="INT-00040"/>
    <x v="1"/>
    <x v="0"/>
    <x v="13"/>
    <x v="2"/>
    <s v="Customer 250"/>
    <s v="WhatsApp API"/>
    <s v="Inbound"/>
    <x v="3"/>
    <n v="1"/>
    <n v="69500"/>
    <n v="0"/>
    <m/>
    <x v="37"/>
    <m/>
    <x v="0"/>
    <x v="4"/>
    <x v="1"/>
    <n v="2026"/>
  </r>
  <r>
    <s v="INT-00041"/>
    <x v="38"/>
    <x v="0"/>
    <x v="6"/>
    <x v="0"/>
    <s v="Customer 658"/>
    <s v="Automation"/>
    <s v="Referral"/>
    <x v="0"/>
    <n v="1"/>
    <n v="25500"/>
    <n v="25500"/>
    <m/>
    <x v="38"/>
    <m/>
    <x v="0"/>
    <x v="0"/>
    <x v="0"/>
    <n v="2026"/>
  </r>
  <r>
    <s v="INT-00042"/>
    <x v="39"/>
    <x v="0"/>
    <x v="7"/>
    <x v="0"/>
    <s v="Customer 378"/>
    <s v="Analytics"/>
    <s v="Outbound"/>
    <x v="0"/>
    <n v="1"/>
    <n v="11900"/>
    <n v="11900"/>
    <m/>
    <x v="39"/>
    <m/>
    <x v="0"/>
    <x v="0"/>
    <x v="10"/>
    <n v="2025"/>
  </r>
  <r>
    <s v="INT-00043"/>
    <x v="40"/>
    <x v="0"/>
    <x v="0"/>
    <x v="4"/>
    <s v="Customer 266"/>
    <s v="Analytics"/>
    <s v="Referral"/>
    <x v="0"/>
    <n v="1"/>
    <n v="29300"/>
    <n v="29300"/>
    <m/>
    <x v="40"/>
    <m/>
    <x v="0"/>
    <x v="0"/>
    <x v="11"/>
    <n v="2026"/>
  </r>
  <r>
    <s v="INT-00044"/>
    <x v="41"/>
    <x v="1"/>
    <x v="2"/>
    <x v="4"/>
    <s v="Customer 387"/>
    <s v="Analytics"/>
    <m/>
    <x v="1"/>
    <n v="0"/>
    <n v="0"/>
    <n v="0"/>
    <n v="1"/>
    <x v="41"/>
    <n v="9.1"/>
    <x v="9"/>
    <x v="2"/>
    <x v="9"/>
    <n v="2025"/>
  </r>
  <r>
    <s v="INT-00045"/>
    <x v="42"/>
    <x v="0"/>
    <x v="13"/>
    <x v="4"/>
    <s v="Customer 357"/>
    <s v="CRM"/>
    <s v="Website"/>
    <x v="2"/>
    <n v="1"/>
    <n v="91600"/>
    <n v="0"/>
    <m/>
    <x v="42"/>
    <m/>
    <x v="0"/>
    <x v="3"/>
    <x v="11"/>
    <n v="2026"/>
  </r>
  <r>
    <s v="INT-00046"/>
    <x v="22"/>
    <x v="1"/>
    <x v="8"/>
    <x v="1"/>
    <s v="Customer 438"/>
    <s v="WhatsApp API"/>
    <m/>
    <x v="1"/>
    <n v="0"/>
    <n v="0"/>
    <n v="0"/>
    <n v="1"/>
    <x v="43"/>
    <n v="3.6"/>
    <x v="12"/>
    <x v="1"/>
    <x v="1"/>
    <n v="2026"/>
  </r>
  <r>
    <s v="INT-00047"/>
    <x v="43"/>
    <x v="0"/>
    <x v="7"/>
    <x v="0"/>
    <s v="Customer 451"/>
    <s v="Analytics"/>
    <s v="Website"/>
    <x v="2"/>
    <n v="1"/>
    <n v="39900"/>
    <n v="0"/>
    <m/>
    <x v="44"/>
    <m/>
    <x v="0"/>
    <x v="3"/>
    <x v="5"/>
    <n v="2026"/>
  </r>
  <r>
    <s v="INT-00048"/>
    <x v="44"/>
    <x v="0"/>
    <x v="4"/>
    <x v="0"/>
    <s v="Customer 380"/>
    <s v="WhatsApp API"/>
    <s v="Outbound"/>
    <x v="6"/>
    <n v="1"/>
    <n v="5900"/>
    <n v="0"/>
    <m/>
    <x v="45"/>
    <m/>
    <x v="0"/>
    <x v="8"/>
    <x v="11"/>
    <n v="2026"/>
  </r>
  <r>
    <s v="INT-00049"/>
    <x v="45"/>
    <x v="0"/>
    <x v="10"/>
    <x v="1"/>
    <s v="Customer 559"/>
    <s v="WhatsApp API"/>
    <s v="Outbound"/>
    <x v="2"/>
    <n v="1"/>
    <n v="30600"/>
    <n v="0"/>
    <m/>
    <x v="17"/>
    <m/>
    <x v="0"/>
    <x v="3"/>
    <x v="6"/>
    <n v="2025"/>
  </r>
  <r>
    <s v="INT-00050"/>
    <x v="46"/>
    <x v="0"/>
    <x v="10"/>
    <x v="4"/>
    <s v="Customer 688"/>
    <s v="WhatsApp API"/>
    <s v="Referral"/>
    <x v="3"/>
    <n v="1"/>
    <n v="59600"/>
    <n v="0"/>
    <m/>
    <x v="46"/>
    <m/>
    <x v="0"/>
    <x v="4"/>
    <x v="2"/>
    <n v="2025"/>
  </r>
  <r>
    <s v="INT-00051"/>
    <x v="47"/>
    <x v="1"/>
    <x v="8"/>
    <x v="0"/>
    <s v="Customer 344"/>
    <s v="WhatsApp API"/>
    <m/>
    <x v="1"/>
    <n v="0"/>
    <n v="0"/>
    <n v="0"/>
    <n v="1"/>
    <x v="47"/>
    <n v="6.7"/>
    <x v="13"/>
    <x v="1"/>
    <x v="11"/>
    <n v="2026"/>
  </r>
  <r>
    <s v="INT-00052"/>
    <x v="48"/>
    <x v="1"/>
    <x v="8"/>
    <x v="0"/>
    <s v="Customer 262"/>
    <s v="CRM"/>
    <m/>
    <x v="1"/>
    <n v="0"/>
    <n v="0"/>
    <n v="0"/>
    <n v="1"/>
    <x v="48"/>
    <n v="7.1"/>
    <x v="14"/>
    <x v="2"/>
    <x v="0"/>
    <n v="2026"/>
  </r>
  <r>
    <s v="INT-00053"/>
    <x v="49"/>
    <x v="1"/>
    <x v="14"/>
    <x v="0"/>
    <s v="Customer 087"/>
    <s v="WhatsApp API"/>
    <m/>
    <x v="1"/>
    <n v="0"/>
    <n v="0"/>
    <n v="0"/>
    <n v="1"/>
    <x v="41"/>
    <n v="9.9"/>
    <x v="13"/>
    <x v="2"/>
    <x v="3"/>
    <n v="2026"/>
  </r>
  <r>
    <s v="INT-00054"/>
    <x v="50"/>
    <x v="1"/>
    <x v="12"/>
    <x v="4"/>
    <s v="Customer 165"/>
    <s v="WhatsApp API"/>
    <m/>
    <x v="1"/>
    <n v="0"/>
    <n v="0"/>
    <n v="0"/>
    <n v="1"/>
    <x v="49"/>
    <n v="10.199999999999999"/>
    <x v="9"/>
    <x v="2"/>
    <x v="1"/>
    <n v="2026"/>
  </r>
  <r>
    <s v="INT-00055"/>
    <x v="51"/>
    <x v="1"/>
    <x v="8"/>
    <x v="1"/>
    <s v="Customer 109"/>
    <s v="CRM"/>
    <m/>
    <x v="1"/>
    <n v="0"/>
    <n v="0"/>
    <n v="0"/>
    <n v="1"/>
    <x v="29"/>
    <n v="12"/>
    <x v="2"/>
    <x v="1"/>
    <x v="6"/>
    <n v="2025"/>
  </r>
  <r>
    <s v="INT-00056"/>
    <x v="52"/>
    <x v="1"/>
    <x v="9"/>
    <x v="0"/>
    <s v="Customer 604"/>
    <s v="CRM"/>
    <m/>
    <x v="1"/>
    <n v="0"/>
    <n v="0"/>
    <n v="0"/>
    <n v="1"/>
    <x v="50"/>
    <n v="33.700000000000003"/>
    <x v="1"/>
    <x v="2"/>
    <x v="11"/>
    <n v="2026"/>
  </r>
  <r>
    <s v="INT-00057"/>
    <x v="53"/>
    <x v="0"/>
    <x v="0"/>
    <x v="2"/>
    <s v="Customer 104"/>
    <s v="WhatsApp API"/>
    <s v="Referral"/>
    <x v="6"/>
    <n v="1"/>
    <n v="15500"/>
    <n v="0"/>
    <m/>
    <x v="51"/>
    <m/>
    <x v="0"/>
    <x v="8"/>
    <x v="8"/>
    <n v="2026"/>
  </r>
  <r>
    <s v="INT-00058"/>
    <x v="54"/>
    <x v="0"/>
    <x v="7"/>
    <x v="3"/>
    <s v="Customer 064"/>
    <s v="Automation"/>
    <s v="Partner"/>
    <x v="4"/>
    <n v="1"/>
    <n v="20300"/>
    <n v="0"/>
    <m/>
    <x v="52"/>
    <m/>
    <x v="0"/>
    <x v="6"/>
    <x v="7"/>
    <n v="2026"/>
  </r>
  <r>
    <s v="INT-00059"/>
    <x v="55"/>
    <x v="0"/>
    <x v="10"/>
    <x v="2"/>
    <s v="Customer 487"/>
    <s v="Automation"/>
    <s v="Inbound"/>
    <x v="2"/>
    <n v="1"/>
    <n v="22300"/>
    <n v="0"/>
    <m/>
    <x v="53"/>
    <m/>
    <x v="0"/>
    <x v="3"/>
    <x v="3"/>
    <n v="2026"/>
  </r>
  <r>
    <s v="INT-00060"/>
    <x v="30"/>
    <x v="0"/>
    <x v="6"/>
    <x v="1"/>
    <s v="Customer 695"/>
    <s v="WhatsApp API"/>
    <s v="Outbound"/>
    <x v="4"/>
    <n v="1"/>
    <n v="36000"/>
    <n v="0"/>
    <m/>
    <x v="36"/>
    <m/>
    <x v="0"/>
    <x v="6"/>
    <x v="11"/>
    <n v="2026"/>
  </r>
  <r>
    <s v="INT-00061"/>
    <x v="56"/>
    <x v="0"/>
    <x v="6"/>
    <x v="3"/>
    <s v="Customer 499"/>
    <s v="Analytics"/>
    <s v="Website"/>
    <x v="2"/>
    <n v="1"/>
    <n v="107200"/>
    <n v="0"/>
    <m/>
    <x v="54"/>
    <m/>
    <x v="0"/>
    <x v="3"/>
    <x v="5"/>
    <n v="2026"/>
  </r>
  <r>
    <s v="INT-00062"/>
    <x v="57"/>
    <x v="0"/>
    <x v="4"/>
    <x v="0"/>
    <s v="Customer 511"/>
    <s v="CRM"/>
    <s v="Inbound"/>
    <x v="0"/>
    <n v="1"/>
    <n v="9200"/>
    <n v="9200"/>
    <m/>
    <x v="55"/>
    <m/>
    <x v="0"/>
    <x v="0"/>
    <x v="4"/>
    <n v="2026"/>
  </r>
  <r>
    <s v="INT-00063"/>
    <x v="58"/>
    <x v="1"/>
    <x v="8"/>
    <x v="0"/>
    <s v="Customer 323"/>
    <s v="CRM"/>
    <m/>
    <x v="1"/>
    <n v="0"/>
    <n v="0"/>
    <n v="0"/>
    <n v="1"/>
    <x v="51"/>
    <n v="4.2"/>
    <x v="9"/>
    <x v="1"/>
    <x v="11"/>
    <n v="2026"/>
  </r>
  <r>
    <s v="INT-00064"/>
    <x v="59"/>
    <x v="0"/>
    <x v="7"/>
    <x v="2"/>
    <s v="Customer 683"/>
    <s v="CRM"/>
    <s v="Referral"/>
    <x v="6"/>
    <n v="1"/>
    <n v="52000"/>
    <n v="0"/>
    <m/>
    <x v="56"/>
    <m/>
    <x v="0"/>
    <x v="8"/>
    <x v="9"/>
    <n v="2025"/>
  </r>
  <r>
    <s v="INT-00065"/>
    <x v="60"/>
    <x v="0"/>
    <x v="7"/>
    <x v="4"/>
    <s v="Customer 303"/>
    <s v="Automation"/>
    <s v="Partner"/>
    <x v="0"/>
    <n v="1"/>
    <n v="14800"/>
    <n v="14800"/>
    <m/>
    <x v="57"/>
    <m/>
    <x v="0"/>
    <x v="0"/>
    <x v="5"/>
    <n v="2026"/>
  </r>
  <r>
    <s v="INT-00066"/>
    <x v="61"/>
    <x v="0"/>
    <x v="4"/>
    <x v="0"/>
    <s v="Customer 292"/>
    <s v="CRM"/>
    <s v="Referral"/>
    <x v="3"/>
    <n v="1"/>
    <n v="25200"/>
    <n v="0"/>
    <m/>
    <x v="58"/>
    <m/>
    <x v="0"/>
    <x v="4"/>
    <x v="3"/>
    <n v="2026"/>
  </r>
  <r>
    <s v="INT-00067"/>
    <x v="62"/>
    <x v="0"/>
    <x v="6"/>
    <x v="0"/>
    <s v="Customer 265"/>
    <s v="WhatsApp API"/>
    <s v="Inbound"/>
    <x v="2"/>
    <n v="1"/>
    <n v="24600"/>
    <n v="0"/>
    <m/>
    <x v="25"/>
    <m/>
    <x v="0"/>
    <x v="3"/>
    <x v="5"/>
    <n v="2026"/>
  </r>
  <r>
    <s v="INT-00068"/>
    <x v="63"/>
    <x v="1"/>
    <x v="3"/>
    <x v="4"/>
    <s v="Customer 188"/>
    <s v="Analytics"/>
    <m/>
    <x v="1"/>
    <n v="0"/>
    <n v="0"/>
    <n v="0"/>
    <n v="1"/>
    <x v="59"/>
    <n v="11"/>
    <x v="14"/>
    <x v="2"/>
    <x v="4"/>
    <n v="2026"/>
  </r>
  <r>
    <s v="INT-00069"/>
    <x v="64"/>
    <x v="0"/>
    <x v="5"/>
    <x v="4"/>
    <s v="Customer 380"/>
    <s v="CRM"/>
    <s v="Outbound"/>
    <x v="0"/>
    <n v="1"/>
    <n v="9600"/>
    <n v="9600"/>
    <m/>
    <x v="6"/>
    <m/>
    <x v="0"/>
    <x v="0"/>
    <x v="3"/>
    <n v="2026"/>
  </r>
  <r>
    <s v="INT-00070"/>
    <x v="38"/>
    <x v="1"/>
    <x v="8"/>
    <x v="3"/>
    <s v="Customer 567"/>
    <s v="CRM"/>
    <m/>
    <x v="1"/>
    <n v="0"/>
    <n v="0"/>
    <n v="0"/>
    <n v="1"/>
    <x v="60"/>
    <n v="8.3000000000000007"/>
    <x v="9"/>
    <x v="2"/>
    <x v="0"/>
    <n v="2026"/>
  </r>
  <r>
    <s v="INT-00071"/>
    <x v="65"/>
    <x v="1"/>
    <x v="8"/>
    <x v="4"/>
    <s v="Customer 053"/>
    <s v="WhatsApp API"/>
    <m/>
    <x v="1"/>
    <n v="0"/>
    <n v="0"/>
    <n v="0"/>
    <n v="1"/>
    <x v="2"/>
    <n v="7.4"/>
    <x v="5"/>
    <x v="2"/>
    <x v="8"/>
    <n v="2026"/>
  </r>
  <r>
    <s v="INT-00072"/>
    <x v="66"/>
    <x v="0"/>
    <x v="10"/>
    <x v="1"/>
    <s v="Customer 566"/>
    <s v="WhatsApp API"/>
    <s v="Referral"/>
    <x v="2"/>
    <n v="1"/>
    <n v="46800"/>
    <n v="0"/>
    <m/>
    <x v="61"/>
    <m/>
    <x v="0"/>
    <x v="3"/>
    <x v="9"/>
    <n v="2025"/>
  </r>
  <r>
    <s v="INT-00073"/>
    <x v="67"/>
    <x v="0"/>
    <x v="0"/>
    <x v="1"/>
    <s v="Customer 022"/>
    <s v="CRM"/>
    <s v="Outbound"/>
    <x v="0"/>
    <n v="1"/>
    <n v="21600"/>
    <n v="21600"/>
    <m/>
    <x v="62"/>
    <m/>
    <x v="0"/>
    <x v="0"/>
    <x v="6"/>
    <n v="2025"/>
  </r>
  <r>
    <s v="INT-00074"/>
    <x v="68"/>
    <x v="1"/>
    <x v="8"/>
    <x v="1"/>
    <s v="Customer 639"/>
    <s v="CRM"/>
    <m/>
    <x v="1"/>
    <n v="0"/>
    <n v="0"/>
    <n v="0"/>
    <n v="1"/>
    <x v="16"/>
    <n v="11.7"/>
    <x v="15"/>
    <x v="5"/>
    <x v="4"/>
    <n v="2026"/>
  </r>
  <r>
    <s v="INT-00075"/>
    <x v="69"/>
    <x v="1"/>
    <x v="3"/>
    <x v="0"/>
    <s v="Customer 390"/>
    <s v="Analytics"/>
    <m/>
    <x v="1"/>
    <n v="0"/>
    <n v="0"/>
    <n v="0"/>
    <n v="1"/>
    <x v="63"/>
    <n v="8.3000000000000007"/>
    <x v="3"/>
    <x v="1"/>
    <x v="5"/>
    <n v="2026"/>
  </r>
  <r>
    <s v="INT-00076"/>
    <x v="70"/>
    <x v="1"/>
    <x v="8"/>
    <x v="3"/>
    <s v="Customer 141"/>
    <s v="Analytics"/>
    <m/>
    <x v="1"/>
    <n v="0"/>
    <n v="0"/>
    <n v="0"/>
    <n v="1"/>
    <x v="64"/>
    <n v="7.1"/>
    <x v="2"/>
    <x v="2"/>
    <x v="10"/>
    <n v="2025"/>
  </r>
  <r>
    <s v="INT-00077"/>
    <x v="71"/>
    <x v="1"/>
    <x v="9"/>
    <x v="2"/>
    <s v="Customer 175"/>
    <s v="CRM"/>
    <m/>
    <x v="1"/>
    <n v="0"/>
    <n v="0"/>
    <n v="0"/>
    <n v="1"/>
    <x v="15"/>
    <n v="5.0999999999999996"/>
    <x v="5"/>
    <x v="2"/>
    <x v="0"/>
    <n v="2026"/>
  </r>
  <r>
    <s v="INT-00078"/>
    <x v="72"/>
    <x v="0"/>
    <x v="10"/>
    <x v="0"/>
    <s v="Customer 533"/>
    <s v="WhatsApp API"/>
    <s v="Website"/>
    <x v="3"/>
    <n v="1"/>
    <n v="11800"/>
    <n v="0"/>
    <m/>
    <x v="65"/>
    <m/>
    <x v="0"/>
    <x v="4"/>
    <x v="1"/>
    <n v="2026"/>
  </r>
  <r>
    <s v="INT-00079"/>
    <x v="29"/>
    <x v="0"/>
    <x v="7"/>
    <x v="0"/>
    <s v="Customer 553"/>
    <s v="CRM"/>
    <s v="Outbound"/>
    <x v="2"/>
    <n v="1"/>
    <n v="15000"/>
    <n v="0"/>
    <m/>
    <x v="66"/>
    <m/>
    <x v="0"/>
    <x v="3"/>
    <x v="11"/>
    <n v="2026"/>
  </r>
  <r>
    <s v="INT-00080"/>
    <x v="73"/>
    <x v="0"/>
    <x v="11"/>
    <x v="4"/>
    <s v="Customer 100"/>
    <s v="WhatsApp API"/>
    <s v="Website"/>
    <x v="5"/>
    <n v="1"/>
    <n v="19700"/>
    <n v="0"/>
    <m/>
    <x v="67"/>
    <m/>
    <x v="0"/>
    <x v="7"/>
    <x v="5"/>
    <n v="2026"/>
  </r>
  <r>
    <s v="INT-00081"/>
    <x v="70"/>
    <x v="1"/>
    <x v="3"/>
    <x v="2"/>
    <s v="Customer 173"/>
    <s v="CRM"/>
    <m/>
    <x v="1"/>
    <n v="0"/>
    <n v="0"/>
    <n v="0"/>
    <n v="1"/>
    <x v="47"/>
    <n v="12.5"/>
    <x v="5"/>
    <x v="2"/>
    <x v="10"/>
    <n v="2025"/>
  </r>
  <r>
    <s v="INT-00082"/>
    <x v="55"/>
    <x v="1"/>
    <x v="12"/>
    <x v="2"/>
    <s v="Customer 438"/>
    <s v="Analytics"/>
    <m/>
    <x v="1"/>
    <n v="0"/>
    <n v="0"/>
    <n v="0"/>
    <n v="1"/>
    <x v="68"/>
    <n v="6.6"/>
    <x v="11"/>
    <x v="2"/>
    <x v="3"/>
    <n v="2026"/>
  </r>
  <r>
    <s v="INT-00083"/>
    <x v="74"/>
    <x v="0"/>
    <x v="6"/>
    <x v="4"/>
    <s v="Customer 053"/>
    <s v="WhatsApp API"/>
    <s v="Inbound"/>
    <x v="2"/>
    <n v="1"/>
    <n v="18700"/>
    <n v="0"/>
    <m/>
    <x v="33"/>
    <m/>
    <x v="0"/>
    <x v="3"/>
    <x v="3"/>
    <n v="2026"/>
  </r>
  <r>
    <s v="INT-00084"/>
    <x v="75"/>
    <x v="0"/>
    <x v="13"/>
    <x v="3"/>
    <s v="Customer 536"/>
    <s v="Analytics"/>
    <s v="Outbound"/>
    <x v="4"/>
    <n v="1"/>
    <n v="5000"/>
    <n v="0"/>
    <m/>
    <x v="39"/>
    <m/>
    <x v="0"/>
    <x v="6"/>
    <x v="9"/>
    <n v="2025"/>
  </r>
  <r>
    <s v="INT-00085"/>
    <x v="76"/>
    <x v="0"/>
    <x v="4"/>
    <x v="0"/>
    <s v="Customer 687"/>
    <s v="Analytics"/>
    <s v="Outbound"/>
    <x v="3"/>
    <n v="1"/>
    <n v="18400"/>
    <n v="0"/>
    <m/>
    <x v="69"/>
    <m/>
    <x v="0"/>
    <x v="4"/>
    <x v="4"/>
    <n v="2026"/>
  </r>
  <r>
    <s v="INT-00086"/>
    <x v="77"/>
    <x v="0"/>
    <x v="11"/>
    <x v="0"/>
    <s v="Customer 033"/>
    <s v="CRM"/>
    <s v="Outbound"/>
    <x v="2"/>
    <n v="1"/>
    <n v="25400"/>
    <n v="0"/>
    <m/>
    <x v="70"/>
    <m/>
    <x v="0"/>
    <x v="3"/>
    <x v="0"/>
    <n v="2026"/>
  </r>
  <r>
    <s v="INT-00087"/>
    <x v="78"/>
    <x v="1"/>
    <x v="1"/>
    <x v="2"/>
    <s v="Customer 647"/>
    <s v="Automation"/>
    <m/>
    <x v="1"/>
    <n v="0"/>
    <n v="0"/>
    <n v="0"/>
    <n v="1"/>
    <x v="71"/>
    <n v="8.6999999999999993"/>
    <x v="4"/>
    <x v="1"/>
    <x v="6"/>
    <n v="2025"/>
  </r>
  <r>
    <s v="INT-00088"/>
    <x v="37"/>
    <x v="1"/>
    <x v="2"/>
    <x v="0"/>
    <s v="Customer 644"/>
    <s v="CRM"/>
    <m/>
    <x v="1"/>
    <n v="0"/>
    <n v="0"/>
    <n v="0"/>
    <n v="1"/>
    <x v="72"/>
    <n v="2.5"/>
    <x v="13"/>
    <x v="9"/>
    <x v="6"/>
    <n v="2025"/>
  </r>
  <r>
    <s v="INT-00089"/>
    <x v="79"/>
    <x v="1"/>
    <x v="12"/>
    <x v="4"/>
    <s v="Customer 104"/>
    <s v="CRM"/>
    <m/>
    <x v="1"/>
    <n v="0"/>
    <n v="0"/>
    <n v="0"/>
    <n v="1"/>
    <x v="12"/>
    <n v="17.8"/>
    <x v="5"/>
    <x v="5"/>
    <x v="0"/>
    <n v="2026"/>
  </r>
  <r>
    <s v="INT-00090"/>
    <x v="50"/>
    <x v="0"/>
    <x v="6"/>
    <x v="0"/>
    <s v="Customer 571"/>
    <s v="CRM"/>
    <s v="Inbound"/>
    <x v="0"/>
    <n v="1"/>
    <n v="29600"/>
    <n v="29600"/>
    <m/>
    <x v="8"/>
    <m/>
    <x v="0"/>
    <x v="0"/>
    <x v="1"/>
    <n v="2026"/>
  </r>
  <r>
    <s v="INT-00091"/>
    <x v="80"/>
    <x v="0"/>
    <x v="11"/>
    <x v="4"/>
    <s v="Customer 068"/>
    <s v="WhatsApp API"/>
    <s v="Inbound"/>
    <x v="0"/>
    <n v="1"/>
    <n v="63600"/>
    <n v="63600"/>
    <m/>
    <x v="73"/>
    <m/>
    <x v="0"/>
    <x v="0"/>
    <x v="7"/>
    <n v="2026"/>
  </r>
  <r>
    <s v="INT-00092"/>
    <x v="81"/>
    <x v="1"/>
    <x v="12"/>
    <x v="0"/>
    <s v="Customer 700"/>
    <s v="Analytics"/>
    <m/>
    <x v="1"/>
    <n v="0"/>
    <n v="0"/>
    <n v="0"/>
    <n v="1"/>
    <x v="24"/>
    <n v="6.7"/>
    <x v="2"/>
    <x v="1"/>
    <x v="10"/>
    <n v="2025"/>
  </r>
  <r>
    <s v="INT-00093"/>
    <x v="82"/>
    <x v="1"/>
    <x v="15"/>
    <x v="0"/>
    <s v="Customer 573"/>
    <s v="Automation"/>
    <m/>
    <x v="1"/>
    <n v="0"/>
    <n v="0"/>
    <n v="0"/>
    <n v="1"/>
    <x v="59"/>
    <n v="4.9000000000000004"/>
    <x v="8"/>
    <x v="2"/>
    <x v="0"/>
    <n v="2026"/>
  </r>
  <r>
    <s v="INT-00094"/>
    <x v="83"/>
    <x v="1"/>
    <x v="14"/>
    <x v="0"/>
    <s v="Customer 223"/>
    <s v="WhatsApp API"/>
    <m/>
    <x v="1"/>
    <n v="0"/>
    <n v="0"/>
    <n v="0"/>
    <n v="1"/>
    <x v="74"/>
    <n v="7.2"/>
    <x v="3"/>
    <x v="9"/>
    <x v="5"/>
    <n v="2026"/>
  </r>
  <r>
    <s v="INT-00095"/>
    <x v="69"/>
    <x v="1"/>
    <x v="15"/>
    <x v="3"/>
    <s v="Customer 333"/>
    <s v="Analytics"/>
    <m/>
    <x v="1"/>
    <n v="0"/>
    <n v="0"/>
    <n v="0"/>
    <n v="1"/>
    <x v="75"/>
    <n v="10"/>
    <x v="16"/>
    <x v="2"/>
    <x v="5"/>
    <n v="2026"/>
  </r>
  <r>
    <s v="INT-00096"/>
    <x v="84"/>
    <x v="0"/>
    <x v="0"/>
    <x v="0"/>
    <s v="Customer 154"/>
    <s v="Automation"/>
    <s v="Inbound"/>
    <x v="5"/>
    <n v="1"/>
    <n v="30300"/>
    <n v="0"/>
    <m/>
    <x v="76"/>
    <m/>
    <x v="0"/>
    <x v="7"/>
    <x v="9"/>
    <n v="2025"/>
  </r>
  <r>
    <s v="INT-00097"/>
    <x v="34"/>
    <x v="0"/>
    <x v="5"/>
    <x v="1"/>
    <s v="Customer 478"/>
    <s v="CRM"/>
    <s v="Outbound"/>
    <x v="2"/>
    <n v="1"/>
    <n v="22300"/>
    <n v="0"/>
    <m/>
    <x v="77"/>
    <m/>
    <x v="0"/>
    <x v="3"/>
    <x v="3"/>
    <n v="2026"/>
  </r>
  <r>
    <s v="INT-00098"/>
    <x v="85"/>
    <x v="0"/>
    <x v="0"/>
    <x v="4"/>
    <s v="Customer 093"/>
    <s v="Automation"/>
    <s v="Referral"/>
    <x v="0"/>
    <n v="1"/>
    <n v="43100"/>
    <n v="43100"/>
    <m/>
    <x v="78"/>
    <m/>
    <x v="0"/>
    <x v="0"/>
    <x v="2"/>
    <n v="2025"/>
  </r>
  <r>
    <s v="INT-00099"/>
    <x v="86"/>
    <x v="0"/>
    <x v="11"/>
    <x v="1"/>
    <s v="Customer 322"/>
    <s v="CRM"/>
    <s v="Website"/>
    <x v="2"/>
    <n v="1"/>
    <n v="5000"/>
    <n v="0"/>
    <m/>
    <x v="79"/>
    <m/>
    <x v="0"/>
    <x v="3"/>
    <x v="0"/>
    <n v="2026"/>
  </r>
  <r>
    <s v="INT-00100"/>
    <x v="18"/>
    <x v="0"/>
    <x v="10"/>
    <x v="2"/>
    <s v="Customer 010"/>
    <s v="WhatsApp API"/>
    <s v="Inbound"/>
    <x v="5"/>
    <n v="1"/>
    <n v="13500"/>
    <n v="0"/>
    <m/>
    <x v="80"/>
    <m/>
    <x v="0"/>
    <x v="7"/>
    <x v="4"/>
    <n v="2026"/>
  </r>
  <r>
    <s v="INT-00101"/>
    <x v="87"/>
    <x v="0"/>
    <x v="4"/>
    <x v="0"/>
    <s v="Customer 611"/>
    <s v="CRM"/>
    <s v="Outbound"/>
    <x v="0"/>
    <n v="1"/>
    <n v="59300"/>
    <n v="59300"/>
    <m/>
    <x v="81"/>
    <m/>
    <x v="0"/>
    <x v="0"/>
    <x v="10"/>
    <n v="2025"/>
  </r>
  <r>
    <s v="INT-00102"/>
    <x v="88"/>
    <x v="1"/>
    <x v="15"/>
    <x v="4"/>
    <s v="Customer 091"/>
    <s v="Automation"/>
    <m/>
    <x v="1"/>
    <n v="0"/>
    <n v="0"/>
    <n v="0"/>
    <n v="1"/>
    <x v="75"/>
    <n v="4"/>
    <x v="14"/>
    <x v="2"/>
    <x v="4"/>
    <n v="2026"/>
  </r>
  <r>
    <s v="INT-00103"/>
    <x v="89"/>
    <x v="0"/>
    <x v="4"/>
    <x v="0"/>
    <s v="Customer 193"/>
    <s v="Automation"/>
    <s v="Inbound"/>
    <x v="6"/>
    <n v="1"/>
    <n v="77900"/>
    <n v="0"/>
    <m/>
    <x v="82"/>
    <m/>
    <x v="0"/>
    <x v="8"/>
    <x v="10"/>
    <n v="2025"/>
  </r>
  <r>
    <s v="INT-00104"/>
    <x v="55"/>
    <x v="0"/>
    <x v="7"/>
    <x v="4"/>
    <s v="Customer 282"/>
    <s v="WhatsApp API"/>
    <s v="Inbound"/>
    <x v="5"/>
    <n v="1"/>
    <n v="14800"/>
    <n v="0"/>
    <m/>
    <x v="83"/>
    <m/>
    <x v="0"/>
    <x v="7"/>
    <x v="3"/>
    <n v="2026"/>
  </r>
  <r>
    <s v="INT-00105"/>
    <x v="90"/>
    <x v="1"/>
    <x v="1"/>
    <x v="0"/>
    <s v="Customer 462"/>
    <s v="Automation"/>
    <m/>
    <x v="1"/>
    <n v="0"/>
    <n v="0"/>
    <n v="0"/>
    <n v="1"/>
    <x v="84"/>
    <n v="8.5"/>
    <x v="17"/>
    <x v="2"/>
    <x v="6"/>
    <n v="2025"/>
  </r>
  <r>
    <s v="INT-00106"/>
    <x v="91"/>
    <x v="0"/>
    <x v="10"/>
    <x v="4"/>
    <s v="Customer 558"/>
    <s v="WhatsApp API"/>
    <s v="Referral"/>
    <x v="6"/>
    <n v="1"/>
    <n v="20300"/>
    <n v="0"/>
    <m/>
    <x v="53"/>
    <m/>
    <x v="0"/>
    <x v="8"/>
    <x v="3"/>
    <n v="2026"/>
  </r>
  <r>
    <s v="INT-00107"/>
    <x v="92"/>
    <x v="0"/>
    <x v="10"/>
    <x v="1"/>
    <s v="Customer 189"/>
    <s v="Automation"/>
    <s v="Referral"/>
    <x v="0"/>
    <n v="1"/>
    <n v="47800"/>
    <n v="47800"/>
    <m/>
    <x v="85"/>
    <m/>
    <x v="0"/>
    <x v="0"/>
    <x v="1"/>
    <n v="2026"/>
  </r>
  <r>
    <s v="INT-00108"/>
    <x v="80"/>
    <x v="1"/>
    <x v="3"/>
    <x v="0"/>
    <s v="Customer 279"/>
    <s v="CRM"/>
    <m/>
    <x v="1"/>
    <n v="0"/>
    <n v="0"/>
    <n v="0"/>
    <n v="1"/>
    <x v="2"/>
    <n v="1.4"/>
    <x v="9"/>
    <x v="2"/>
    <x v="7"/>
    <n v="2026"/>
  </r>
  <r>
    <s v="INT-00109"/>
    <x v="74"/>
    <x v="0"/>
    <x v="0"/>
    <x v="0"/>
    <s v="Customer 615"/>
    <s v="WhatsApp API"/>
    <s v="Inbound"/>
    <x v="5"/>
    <n v="1"/>
    <n v="50500"/>
    <n v="0"/>
    <m/>
    <x v="86"/>
    <m/>
    <x v="0"/>
    <x v="7"/>
    <x v="3"/>
    <n v="2026"/>
  </r>
  <r>
    <s v="INT-00110"/>
    <x v="93"/>
    <x v="0"/>
    <x v="6"/>
    <x v="1"/>
    <s v="Customer 343"/>
    <s v="CRM"/>
    <s v="Outbound"/>
    <x v="0"/>
    <n v="1"/>
    <n v="11200"/>
    <n v="11200"/>
    <m/>
    <x v="42"/>
    <m/>
    <x v="0"/>
    <x v="0"/>
    <x v="7"/>
    <n v="2026"/>
  </r>
  <r>
    <s v="INT-00111"/>
    <x v="25"/>
    <x v="0"/>
    <x v="7"/>
    <x v="0"/>
    <s v="Customer 496"/>
    <s v="WhatsApp API"/>
    <s v="Partner"/>
    <x v="6"/>
    <n v="1"/>
    <n v="26600"/>
    <n v="0"/>
    <m/>
    <x v="8"/>
    <m/>
    <x v="0"/>
    <x v="8"/>
    <x v="5"/>
    <n v="2026"/>
  </r>
  <r>
    <s v="INT-00112"/>
    <x v="94"/>
    <x v="0"/>
    <x v="5"/>
    <x v="0"/>
    <s v="Customer 202"/>
    <s v="Automation"/>
    <s v="Inbound"/>
    <x v="4"/>
    <n v="1"/>
    <n v="71400"/>
    <n v="0"/>
    <m/>
    <x v="87"/>
    <m/>
    <x v="0"/>
    <x v="6"/>
    <x v="8"/>
    <n v="2026"/>
  </r>
  <r>
    <s v="INT-00113"/>
    <x v="66"/>
    <x v="1"/>
    <x v="1"/>
    <x v="4"/>
    <s v="Customer 560"/>
    <s v="WhatsApp API"/>
    <m/>
    <x v="1"/>
    <n v="0"/>
    <n v="0"/>
    <n v="0"/>
    <n v="1"/>
    <x v="2"/>
    <n v="9"/>
    <x v="5"/>
    <x v="9"/>
    <x v="9"/>
    <n v="2025"/>
  </r>
  <r>
    <s v="INT-00114"/>
    <x v="95"/>
    <x v="1"/>
    <x v="9"/>
    <x v="0"/>
    <s v="Customer 489"/>
    <s v="Automation"/>
    <m/>
    <x v="1"/>
    <n v="0"/>
    <n v="0"/>
    <n v="0"/>
    <n v="1"/>
    <x v="88"/>
    <n v="23.7"/>
    <x v="1"/>
    <x v="1"/>
    <x v="6"/>
    <n v="2025"/>
  </r>
  <r>
    <s v="INT-00115"/>
    <x v="96"/>
    <x v="1"/>
    <x v="12"/>
    <x v="1"/>
    <s v="Customer 313"/>
    <s v="CRM"/>
    <m/>
    <x v="1"/>
    <n v="0"/>
    <n v="0"/>
    <n v="0"/>
    <n v="1"/>
    <x v="89"/>
    <n v="5.5"/>
    <x v="18"/>
    <x v="9"/>
    <x v="7"/>
    <n v="2026"/>
  </r>
  <r>
    <s v="INT-00116"/>
    <x v="35"/>
    <x v="1"/>
    <x v="12"/>
    <x v="1"/>
    <s v="Customer 575"/>
    <s v="Automation"/>
    <m/>
    <x v="1"/>
    <n v="0"/>
    <n v="0"/>
    <n v="0"/>
    <n v="1"/>
    <x v="1"/>
    <n v="11.4"/>
    <x v="14"/>
    <x v="2"/>
    <x v="8"/>
    <n v="2026"/>
  </r>
  <r>
    <s v="INT-00117"/>
    <x v="97"/>
    <x v="1"/>
    <x v="1"/>
    <x v="4"/>
    <s v="Customer 128"/>
    <s v="WhatsApp API"/>
    <m/>
    <x v="1"/>
    <n v="0"/>
    <n v="0"/>
    <n v="0"/>
    <n v="1"/>
    <x v="71"/>
    <n v="5.9"/>
    <x v="17"/>
    <x v="9"/>
    <x v="8"/>
    <n v="2026"/>
  </r>
  <r>
    <s v="INT-00118"/>
    <x v="98"/>
    <x v="0"/>
    <x v="7"/>
    <x v="2"/>
    <s v="Customer 168"/>
    <s v="CRM"/>
    <s v="Outbound"/>
    <x v="2"/>
    <n v="1"/>
    <n v="30200"/>
    <n v="0"/>
    <m/>
    <x v="90"/>
    <m/>
    <x v="0"/>
    <x v="3"/>
    <x v="4"/>
    <n v="2026"/>
  </r>
  <r>
    <s v="INT-00119"/>
    <x v="99"/>
    <x v="1"/>
    <x v="15"/>
    <x v="0"/>
    <s v="Customer 151"/>
    <s v="Analytics"/>
    <m/>
    <x v="1"/>
    <n v="0"/>
    <n v="0"/>
    <n v="0"/>
    <n v="1"/>
    <x v="43"/>
    <n v="4.8"/>
    <x v="1"/>
    <x v="5"/>
    <x v="10"/>
    <n v="2025"/>
  </r>
  <r>
    <s v="INT-00120"/>
    <x v="100"/>
    <x v="0"/>
    <x v="7"/>
    <x v="1"/>
    <s v="Customer 595"/>
    <s v="Automation"/>
    <s v="Inbound"/>
    <x v="3"/>
    <n v="1"/>
    <n v="39300"/>
    <n v="0"/>
    <m/>
    <x v="38"/>
    <m/>
    <x v="0"/>
    <x v="4"/>
    <x v="10"/>
    <n v="2025"/>
  </r>
  <r>
    <s v="INT-00121"/>
    <x v="101"/>
    <x v="1"/>
    <x v="1"/>
    <x v="0"/>
    <s v="Customer 283"/>
    <s v="WhatsApp API"/>
    <m/>
    <x v="1"/>
    <n v="0"/>
    <n v="0"/>
    <n v="0"/>
    <n v="1"/>
    <x v="85"/>
    <n v="20"/>
    <x v="7"/>
    <x v="2"/>
    <x v="3"/>
    <n v="2026"/>
  </r>
  <r>
    <s v="INT-00122"/>
    <x v="102"/>
    <x v="1"/>
    <x v="2"/>
    <x v="0"/>
    <s v="Customer 050"/>
    <s v="CRM"/>
    <m/>
    <x v="1"/>
    <n v="0"/>
    <n v="0"/>
    <n v="0"/>
    <n v="1"/>
    <x v="91"/>
    <n v="7.2"/>
    <x v="4"/>
    <x v="1"/>
    <x v="6"/>
    <n v="2025"/>
  </r>
  <r>
    <s v="INT-00123"/>
    <x v="103"/>
    <x v="0"/>
    <x v="7"/>
    <x v="0"/>
    <s v="Customer 215"/>
    <s v="WhatsApp API"/>
    <s v="Website"/>
    <x v="5"/>
    <n v="1"/>
    <n v="30300"/>
    <n v="0"/>
    <m/>
    <x v="92"/>
    <m/>
    <x v="0"/>
    <x v="7"/>
    <x v="2"/>
    <n v="2025"/>
  </r>
  <r>
    <s v="INT-00124"/>
    <x v="79"/>
    <x v="0"/>
    <x v="4"/>
    <x v="0"/>
    <s v="Customer 202"/>
    <s v="WhatsApp API"/>
    <s v="Inbound"/>
    <x v="5"/>
    <n v="1"/>
    <n v="19400"/>
    <n v="0"/>
    <m/>
    <x v="93"/>
    <m/>
    <x v="0"/>
    <x v="7"/>
    <x v="0"/>
    <n v="2026"/>
  </r>
  <r>
    <s v="INT-00125"/>
    <x v="104"/>
    <x v="0"/>
    <x v="4"/>
    <x v="2"/>
    <s v="Customer 425"/>
    <s v="WhatsApp API"/>
    <s v="Outbound"/>
    <x v="6"/>
    <n v="1"/>
    <n v="20700"/>
    <n v="0"/>
    <m/>
    <x v="1"/>
    <m/>
    <x v="0"/>
    <x v="8"/>
    <x v="2"/>
    <n v="2025"/>
  </r>
  <r>
    <s v="INT-00126"/>
    <x v="49"/>
    <x v="0"/>
    <x v="0"/>
    <x v="4"/>
    <s v="Customer 166"/>
    <s v="WhatsApp API"/>
    <s v="Inbound"/>
    <x v="6"/>
    <n v="1"/>
    <n v="7400"/>
    <n v="0"/>
    <m/>
    <x v="94"/>
    <m/>
    <x v="0"/>
    <x v="8"/>
    <x v="3"/>
    <n v="2026"/>
  </r>
  <r>
    <s v="INT-00127"/>
    <x v="105"/>
    <x v="1"/>
    <x v="1"/>
    <x v="0"/>
    <s v="Customer 148"/>
    <s v="WhatsApp API"/>
    <m/>
    <x v="1"/>
    <n v="0"/>
    <n v="0"/>
    <n v="0"/>
    <n v="1"/>
    <x v="79"/>
    <n v="12.2"/>
    <x v="5"/>
    <x v="9"/>
    <x v="9"/>
    <n v="2025"/>
  </r>
  <r>
    <s v="INT-00128"/>
    <x v="106"/>
    <x v="1"/>
    <x v="12"/>
    <x v="0"/>
    <s v="Customer 073"/>
    <s v="Automation"/>
    <m/>
    <x v="1"/>
    <n v="0"/>
    <n v="0"/>
    <n v="0"/>
    <n v="1"/>
    <x v="60"/>
    <n v="8.1999999999999993"/>
    <x v="16"/>
    <x v="2"/>
    <x v="3"/>
    <n v="2026"/>
  </r>
  <r>
    <s v="INT-00129"/>
    <x v="107"/>
    <x v="0"/>
    <x v="13"/>
    <x v="0"/>
    <s v="Customer 266"/>
    <s v="Automation"/>
    <s v="Partner"/>
    <x v="5"/>
    <n v="1"/>
    <n v="29500"/>
    <n v="0"/>
    <m/>
    <x v="58"/>
    <m/>
    <x v="0"/>
    <x v="7"/>
    <x v="2"/>
    <n v="2025"/>
  </r>
  <r>
    <s v="INT-00130"/>
    <x v="108"/>
    <x v="0"/>
    <x v="4"/>
    <x v="0"/>
    <s v="Customer 449"/>
    <s v="Analytics"/>
    <s v="Outbound"/>
    <x v="4"/>
    <n v="1"/>
    <n v="8100"/>
    <n v="0"/>
    <m/>
    <x v="95"/>
    <m/>
    <x v="0"/>
    <x v="6"/>
    <x v="9"/>
    <n v="2025"/>
  </r>
  <r>
    <s v="INT-00131"/>
    <x v="74"/>
    <x v="0"/>
    <x v="0"/>
    <x v="0"/>
    <s v="Customer 237"/>
    <s v="Automation"/>
    <s v="Inbound"/>
    <x v="5"/>
    <n v="1"/>
    <n v="11500"/>
    <n v="0"/>
    <m/>
    <x v="96"/>
    <m/>
    <x v="0"/>
    <x v="7"/>
    <x v="3"/>
    <n v="2026"/>
  </r>
  <r>
    <s v="INT-00132"/>
    <x v="109"/>
    <x v="0"/>
    <x v="11"/>
    <x v="1"/>
    <s v="Customer 367"/>
    <s v="WhatsApp API"/>
    <s v="Website"/>
    <x v="2"/>
    <n v="1"/>
    <n v="19800"/>
    <n v="0"/>
    <m/>
    <x v="97"/>
    <m/>
    <x v="0"/>
    <x v="3"/>
    <x v="3"/>
    <n v="2026"/>
  </r>
  <r>
    <s v="INT-00133"/>
    <x v="31"/>
    <x v="0"/>
    <x v="4"/>
    <x v="4"/>
    <s v="Customer 377"/>
    <s v="Automation"/>
    <s v="Inbound"/>
    <x v="3"/>
    <n v="1"/>
    <n v="27500"/>
    <n v="0"/>
    <m/>
    <x v="98"/>
    <m/>
    <x v="0"/>
    <x v="4"/>
    <x v="4"/>
    <n v="2026"/>
  </r>
  <r>
    <s v="INT-00134"/>
    <x v="21"/>
    <x v="0"/>
    <x v="13"/>
    <x v="0"/>
    <s v="Customer 366"/>
    <s v="Analytics"/>
    <s v="Inbound"/>
    <x v="2"/>
    <n v="1"/>
    <n v="18500"/>
    <n v="0"/>
    <m/>
    <x v="15"/>
    <m/>
    <x v="0"/>
    <x v="3"/>
    <x v="6"/>
    <n v="2025"/>
  </r>
  <r>
    <s v="INT-00135"/>
    <x v="110"/>
    <x v="1"/>
    <x v="2"/>
    <x v="4"/>
    <s v="Customer 331"/>
    <s v="CRM"/>
    <m/>
    <x v="1"/>
    <n v="0"/>
    <n v="0"/>
    <n v="0"/>
    <n v="1"/>
    <x v="9"/>
    <n v="9.9"/>
    <x v="19"/>
    <x v="1"/>
    <x v="11"/>
    <n v="2026"/>
  </r>
  <r>
    <s v="INT-00136"/>
    <x v="111"/>
    <x v="0"/>
    <x v="7"/>
    <x v="4"/>
    <s v="Customer 686"/>
    <s v="Automation"/>
    <s v="Referral"/>
    <x v="0"/>
    <n v="1"/>
    <n v="12400"/>
    <n v="12400"/>
    <m/>
    <x v="44"/>
    <m/>
    <x v="0"/>
    <x v="0"/>
    <x v="11"/>
    <n v="2026"/>
  </r>
  <r>
    <s v="INT-00137"/>
    <x v="112"/>
    <x v="0"/>
    <x v="4"/>
    <x v="0"/>
    <s v="Customer 619"/>
    <s v="Analytics"/>
    <s v="Outbound"/>
    <x v="5"/>
    <n v="1"/>
    <n v="22700"/>
    <n v="0"/>
    <m/>
    <x v="99"/>
    <m/>
    <x v="0"/>
    <x v="7"/>
    <x v="2"/>
    <n v="2025"/>
  </r>
  <r>
    <s v="INT-00138"/>
    <x v="68"/>
    <x v="1"/>
    <x v="15"/>
    <x v="1"/>
    <s v="Customer 445"/>
    <s v="CRM"/>
    <m/>
    <x v="1"/>
    <n v="0"/>
    <n v="0"/>
    <n v="0"/>
    <n v="1"/>
    <x v="24"/>
    <n v="2"/>
    <x v="16"/>
    <x v="5"/>
    <x v="4"/>
    <n v="2026"/>
  </r>
  <r>
    <s v="INT-00139"/>
    <x v="113"/>
    <x v="0"/>
    <x v="6"/>
    <x v="1"/>
    <s v="Customer 530"/>
    <s v="Automation"/>
    <s v="Outbound"/>
    <x v="4"/>
    <n v="1"/>
    <n v="29700"/>
    <n v="0"/>
    <m/>
    <x v="100"/>
    <m/>
    <x v="0"/>
    <x v="6"/>
    <x v="6"/>
    <n v="2025"/>
  </r>
  <r>
    <s v="INT-00140"/>
    <x v="114"/>
    <x v="1"/>
    <x v="12"/>
    <x v="4"/>
    <s v="Customer 207"/>
    <s v="Automation"/>
    <m/>
    <x v="1"/>
    <n v="0"/>
    <n v="0"/>
    <n v="0"/>
    <n v="1"/>
    <x v="101"/>
    <n v="3.3"/>
    <x v="20"/>
    <x v="2"/>
    <x v="4"/>
    <n v="2026"/>
  </r>
  <r>
    <s v="INT-00141"/>
    <x v="115"/>
    <x v="1"/>
    <x v="15"/>
    <x v="1"/>
    <s v="Customer 021"/>
    <s v="Analytics"/>
    <m/>
    <x v="1"/>
    <n v="0"/>
    <n v="0"/>
    <n v="0"/>
    <n v="1"/>
    <x v="102"/>
    <n v="4.7"/>
    <x v="8"/>
    <x v="2"/>
    <x v="3"/>
    <n v="2026"/>
  </r>
  <r>
    <s v="INT-00142"/>
    <x v="116"/>
    <x v="0"/>
    <x v="5"/>
    <x v="3"/>
    <s v="Customer 283"/>
    <s v="CRM"/>
    <s v="Referral"/>
    <x v="0"/>
    <n v="1"/>
    <n v="28200"/>
    <n v="28200"/>
    <m/>
    <x v="103"/>
    <m/>
    <x v="0"/>
    <x v="0"/>
    <x v="5"/>
    <n v="2026"/>
  </r>
  <r>
    <s v="INT-00143"/>
    <x v="24"/>
    <x v="0"/>
    <x v="0"/>
    <x v="1"/>
    <s v="Customer 311"/>
    <s v="Analytics"/>
    <s v="Partner"/>
    <x v="2"/>
    <n v="1"/>
    <n v="23500"/>
    <n v="0"/>
    <m/>
    <x v="95"/>
    <m/>
    <x v="0"/>
    <x v="3"/>
    <x v="4"/>
    <n v="2026"/>
  </r>
  <r>
    <s v="INT-00144"/>
    <x v="117"/>
    <x v="0"/>
    <x v="0"/>
    <x v="0"/>
    <s v="Customer 137"/>
    <s v="WhatsApp API"/>
    <s v="Referral"/>
    <x v="6"/>
    <n v="1"/>
    <n v="5000"/>
    <n v="0"/>
    <m/>
    <x v="99"/>
    <m/>
    <x v="0"/>
    <x v="8"/>
    <x v="10"/>
    <n v="2025"/>
  </r>
  <r>
    <s v="INT-00145"/>
    <x v="32"/>
    <x v="0"/>
    <x v="5"/>
    <x v="1"/>
    <s v="Customer 471"/>
    <s v="WhatsApp API"/>
    <s v="Website"/>
    <x v="0"/>
    <n v="1"/>
    <n v="31400"/>
    <n v="31400"/>
    <m/>
    <x v="104"/>
    <m/>
    <x v="0"/>
    <x v="0"/>
    <x v="2"/>
    <n v="2025"/>
  </r>
  <r>
    <s v="INT-00146"/>
    <x v="118"/>
    <x v="0"/>
    <x v="11"/>
    <x v="0"/>
    <s v="Customer 624"/>
    <s v="Automation"/>
    <s v="Outbound"/>
    <x v="5"/>
    <n v="1"/>
    <n v="11000"/>
    <n v="0"/>
    <m/>
    <x v="105"/>
    <m/>
    <x v="0"/>
    <x v="7"/>
    <x v="6"/>
    <n v="2025"/>
  </r>
  <r>
    <s v="INT-00147"/>
    <x v="119"/>
    <x v="1"/>
    <x v="14"/>
    <x v="4"/>
    <s v="Customer 662"/>
    <s v="CRM"/>
    <m/>
    <x v="1"/>
    <n v="0"/>
    <n v="0"/>
    <n v="0"/>
    <n v="1"/>
    <x v="106"/>
    <n v="3.3"/>
    <x v="7"/>
    <x v="2"/>
    <x v="10"/>
    <n v="2025"/>
  </r>
  <r>
    <s v="INT-00148"/>
    <x v="120"/>
    <x v="0"/>
    <x v="7"/>
    <x v="4"/>
    <s v="Customer 540"/>
    <s v="CRM"/>
    <s v="Inbound"/>
    <x v="2"/>
    <n v="1"/>
    <n v="12700"/>
    <n v="0"/>
    <m/>
    <x v="107"/>
    <m/>
    <x v="0"/>
    <x v="3"/>
    <x v="7"/>
    <n v="2026"/>
  </r>
  <r>
    <s v="INT-00149"/>
    <x v="121"/>
    <x v="0"/>
    <x v="11"/>
    <x v="3"/>
    <s v="Customer 137"/>
    <s v="Analytics"/>
    <s v="Website"/>
    <x v="0"/>
    <n v="1"/>
    <n v="13000"/>
    <n v="13000"/>
    <m/>
    <x v="108"/>
    <m/>
    <x v="0"/>
    <x v="0"/>
    <x v="2"/>
    <n v="2025"/>
  </r>
  <r>
    <s v="INT-00150"/>
    <x v="122"/>
    <x v="0"/>
    <x v="5"/>
    <x v="0"/>
    <s v="Customer 093"/>
    <s v="Automation"/>
    <s v="Partner"/>
    <x v="4"/>
    <n v="1"/>
    <n v="20400"/>
    <n v="0"/>
    <m/>
    <x v="109"/>
    <m/>
    <x v="0"/>
    <x v="6"/>
    <x v="4"/>
    <n v="2026"/>
  </r>
  <r>
    <s v="INT-00151"/>
    <x v="75"/>
    <x v="1"/>
    <x v="15"/>
    <x v="0"/>
    <s v="Customer 325"/>
    <s v="Analytics"/>
    <m/>
    <x v="1"/>
    <n v="0"/>
    <n v="0"/>
    <n v="0"/>
    <n v="1"/>
    <x v="34"/>
    <n v="1.3"/>
    <x v="9"/>
    <x v="2"/>
    <x v="9"/>
    <n v="2025"/>
  </r>
  <r>
    <s v="INT-00152"/>
    <x v="75"/>
    <x v="0"/>
    <x v="13"/>
    <x v="1"/>
    <s v="Customer 251"/>
    <s v="Analytics"/>
    <s v="Outbound"/>
    <x v="6"/>
    <n v="1"/>
    <n v="26800"/>
    <n v="0"/>
    <m/>
    <x v="110"/>
    <m/>
    <x v="0"/>
    <x v="8"/>
    <x v="9"/>
    <n v="2025"/>
  </r>
  <r>
    <s v="INT-00153"/>
    <x v="123"/>
    <x v="0"/>
    <x v="4"/>
    <x v="0"/>
    <s v="Customer 668"/>
    <s v="Automation"/>
    <s v="Outbound"/>
    <x v="0"/>
    <n v="1"/>
    <n v="21200"/>
    <n v="21200"/>
    <m/>
    <x v="111"/>
    <m/>
    <x v="0"/>
    <x v="0"/>
    <x v="3"/>
    <n v="2026"/>
  </r>
  <r>
    <s v="INT-00154"/>
    <x v="124"/>
    <x v="0"/>
    <x v="7"/>
    <x v="4"/>
    <s v="Customer 413"/>
    <s v="WhatsApp API"/>
    <s v="Website"/>
    <x v="2"/>
    <n v="1"/>
    <n v="55100"/>
    <n v="0"/>
    <m/>
    <x v="112"/>
    <m/>
    <x v="0"/>
    <x v="3"/>
    <x v="0"/>
    <n v="2026"/>
  </r>
  <r>
    <s v="INT-00155"/>
    <x v="125"/>
    <x v="1"/>
    <x v="8"/>
    <x v="2"/>
    <s v="Customer 658"/>
    <s v="CRM"/>
    <m/>
    <x v="1"/>
    <n v="0"/>
    <n v="0"/>
    <n v="0"/>
    <n v="1"/>
    <x v="4"/>
    <n v="5"/>
    <x v="14"/>
    <x v="2"/>
    <x v="9"/>
    <n v="2025"/>
  </r>
  <r>
    <s v="INT-00156"/>
    <x v="126"/>
    <x v="0"/>
    <x v="4"/>
    <x v="3"/>
    <s v="Customer 116"/>
    <s v="WhatsApp API"/>
    <s v="Partner"/>
    <x v="4"/>
    <n v="1"/>
    <n v="12500"/>
    <n v="0"/>
    <m/>
    <x v="113"/>
    <m/>
    <x v="0"/>
    <x v="6"/>
    <x v="4"/>
    <n v="2026"/>
  </r>
  <r>
    <s v="INT-00157"/>
    <x v="90"/>
    <x v="1"/>
    <x v="1"/>
    <x v="0"/>
    <s v="Customer 574"/>
    <s v="WhatsApp API"/>
    <m/>
    <x v="1"/>
    <n v="0"/>
    <n v="0"/>
    <n v="0"/>
    <n v="1"/>
    <x v="114"/>
    <n v="17.100000000000001"/>
    <x v="13"/>
    <x v="2"/>
    <x v="6"/>
    <n v="2025"/>
  </r>
  <r>
    <s v="INT-00158"/>
    <x v="127"/>
    <x v="1"/>
    <x v="12"/>
    <x v="1"/>
    <s v="Customer 256"/>
    <s v="WhatsApp API"/>
    <m/>
    <x v="1"/>
    <n v="0"/>
    <n v="0"/>
    <n v="0"/>
    <n v="1"/>
    <x v="115"/>
    <n v="7.9"/>
    <x v="3"/>
    <x v="2"/>
    <x v="0"/>
    <n v="2026"/>
  </r>
  <r>
    <s v="INT-00159"/>
    <x v="128"/>
    <x v="0"/>
    <x v="0"/>
    <x v="1"/>
    <s v="Customer 429"/>
    <s v="WhatsApp API"/>
    <s v="Website"/>
    <x v="3"/>
    <n v="1"/>
    <n v="14300"/>
    <n v="0"/>
    <m/>
    <x v="116"/>
    <m/>
    <x v="0"/>
    <x v="4"/>
    <x v="11"/>
    <n v="2026"/>
  </r>
  <r>
    <s v="INT-00160"/>
    <x v="129"/>
    <x v="1"/>
    <x v="9"/>
    <x v="2"/>
    <s v="Customer 571"/>
    <s v="Automation"/>
    <m/>
    <x v="1"/>
    <n v="0"/>
    <n v="0"/>
    <n v="0"/>
    <n v="1"/>
    <x v="117"/>
    <n v="5.9"/>
    <x v="2"/>
    <x v="2"/>
    <x v="5"/>
    <n v="2026"/>
  </r>
  <r>
    <s v="INT-00161"/>
    <x v="130"/>
    <x v="0"/>
    <x v="13"/>
    <x v="2"/>
    <s v="Customer 490"/>
    <s v="Automation"/>
    <s v="Outbound"/>
    <x v="6"/>
    <n v="1"/>
    <n v="75400"/>
    <n v="0"/>
    <m/>
    <x v="118"/>
    <m/>
    <x v="0"/>
    <x v="8"/>
    <x v="1"/>
    <n v="2026"/>
  </r>
  <r>
    <s v="INT-00162"/>
    <x v="131"/>
    <x v="1"/>
    <x v="3"/>
    <x v="0"/>
    <s v="Customer 040"/>
    <s v="CRM"/>
    <m/>
    <x v="1"/>
    <n v="0"/>
    <n v="0"/>
    <n v="0"/>
    <n v="1"/>
    <x v="13"/>
    <n v="7.5"/>
    <x v="7"/>
    <x v="2"/>
    <x v="10"/>
    <n v="2025"/>
  </r>
  <r>
    <s v="INT-00163"/>
    <x v="132"/>
    <x v="1"/>
    <x v="1"/>
    <x v="4"/>
    <s v="Customer 178"/>
    <s v="WhatsApp API"/>
    <m/>
    <x v="1"/>
    <n v="0"/>
    <n v="0"/>
    <n v="0"/>
    <n v="1"/>
    <x v="119"/>
    <n v="7"/>
    <x v="3"/>
    <x v="5"/>
    <x v="2"/>
    <n v="2025"/>
  </r>
  <r>
    <s v="INT-00164"/>
    <x v="133"/>
    <x v="0"/>
    <x v="13"/>
    <x v="2"/>
    <s v="Customer 222"/>
    <s v="CRM"/>
    <s v="Outbound"/>
    <x v="6"/>
    <n v="1"/>
    <n v="33100"/>
    <n v="0"/>
    <m/>
    <x v="120"/>
    <m/>
    <x v="0"/>
    <x v="8"/>
    <x v="0"/>
    <n v="2026"/>
  </r>
  <r>
    <s v="INT-00165"/>
    <x v="65"/>
    <x v="0"/>
    <x v="11"/>
    <x v="2"/>
    <s v="Customer 586"/>
    <s v="Automation"/>
    <s v="Website"/>
    <x v="2"/>
    <n v="1"/>
    <n v="38300"/>
    <n v="0"/>
    <m/>
    <x v="8"/>
    <m/>
    <x v="0"/>
    <x v="3"/>
    <x v="8"/>
    <n v="2026"/>
  </r>
  <r>
    <s v="INT-00166"/>
    <x v="134"/>
    <x v="1"/>
    <x v="14"/>
    <x v="0"/>
    <s v="Customer 534"/>
    <s v="WhatsApp API"/>
    <m/>
    <x v="1"/>
    <n v="0"/>
    <n v="0"/>
    <n v="0"/>
    <n v="1"/>
    <x v="84"/>
    <n v="9.9"/>
    <x v="8"/>
    <x v="1"/>
    <x v="8"/>
    <n v="2026"/>
  </r>
  <r>
    <s v="INT-00167"/>
    <x v="135"/>
    <x v="0"/>
    <x v="0"/>
    <x v="0"/>
    <s v="Customer 056"/>
    <s v="CRM"/>
    <s v="Website"/>
    <x v="5"/>
    <n v="1"/>
    <n v="50700"/>
    <n v="0"/>
    <m/>
    <x v="97"/>
    <m/>
    <x v="0"/>
    <x v="7"/>
    <x v="7"/>
    <n v="2026"/>
  </r>
  <r>
    <s v="INT-00168"/>
    <x v="136"/>
    <x v="0"/>
    <x v="7"/>
    <x v="0"/>
    <s v="Customer 264"/>
    <s v="Automation"/>
    <s v="Website"/>
    <x v="5"/>
    <n v="1"/>
    <n v="138300"/>
    <n v="0"/>
    <m/>
    <x v="115"/>
    <m/>
    <x v="0"/>
    <x v="7"/>
    <x v="0"/>
    <n v="2026"/>
  </r>
  <r>
    <s v="INT-00169"/>
    <x v="65"/>
    <x v="0"/>
    <x v="7"/>
    <x v="0"/>
    <s v="Customer 459"/>
    <s v="WhatsApp API"/>
    <s v="Website"/>
    <x v="3"/>
    <n v="1"/>
    <n v="9100"/>
    <n v="0"/>
    <m/>
    <x v="32"/>
    <m/>
    <x v="0"/>
    <x v="4"/>
    <x v="8"/>
    <n v="2026"/>
  </r>
  <r>
    <s v="INT-00170"/>
    <x v="137"/>
    <x v="1"/>
    <x v="14"/>
    <x v="0"/>
    <s v="Customer 415"/>
    <s v="Analytics"/>
    <m/>
    <x v="1"/>
    <n v="0"/>
    <n v="0"/>
    <n v="0"/>
    <n v="1"/>
    <x v="24"/>
    <n v="5.7"/>
    <x v="6"/>
    <x v="5"/>
    <x v="1"/>
    <n v="2026"/>
  </r>
  <r>
    <s v="INT-00171"/>
    <x v="63"/>
    <x v="1"/>
    <x v="15"/>
    <x v="3"/>
    <s v="Customer 125"/>
    <s v="WhatsApp API"/>
    <m/>
    <x v="1"/>
    <n v="0"/>
    <n v="0"/>
    <n v="0"/>
    <n v="1"/>
    <x v="121"/>
    <n v="12.4"/>
    <x v="5"/>
    <x v="9"/>
    <x v="4"/>
    <n v="2026"/>
  </r>
  <r>
    <s v="INT-00172"/>
    <x v="138"/>
    <x v="0"/>
    <x v="5"/>
    <x v="0"/>
    <s v="Customer 276"/>
    <s v="Analytics"/>
    <s v="Referral"/>
    <x v="5"/>
    <n v="1"/>
    <n v="29000"/>
    <n v="0"/>
    <m/>
    <x v="119"/>
    <m/>
    <x v="0"/>
    <x v="7"/>
    <x v="6"/>
    <n v="2025"/>
  </r>
  <r>
    <s v="INT-00173"/>
    <x v="95"/>
    <x v="0"/>
    <x v="10"/>
    <x v="0"/>
    <s v="Customer 562"/>
    <s v="WhatsApp API"/>
    <s v="Website"/>
    <x v="5"/>
    <n v="1"/>
    <n v="5000"/>
    <n v="0"/>
    <m/>
    <x v="122"/>
    <m/>
    <x v="0"/>
    <x v="7"/>
    <x v="6"/>
    <n v="2025"/>
  </r>
  <r>
    <s v="INT-00174"/>
    <x v="139"/>
    <x v="0"/>
    <x v="11"/>
    <x v="0"/>
    <s v="Customer 155"/>
    <s v="CRM"/>
    <s v="Website"/>
    <x v="5"/>
    <n v="1"/>
    <n v="14900"/>
    <n v="0"/>
    <m/>
    <x v="86"/>
    <m/>
    <x v="0"/>
    <x v="7"/>
    <x v="1"/>
    <n v="2026"/>
  </r>
  <r>
    <s v="INT-00175"/>
    <x v="4"/>
    <x v="1"/>
    <x v="14"/>
    <x v="2"/>
    <s v="Customer 458"/>
    <s v="CRM"/>
    <m/>
    <x v="1"/>
    <n v="0"/>
    <n v="0"/>
    <n v="0"/>
    <n v="1"/>
    <x v="123"/>
    <n v="3.4"/>
    <x v="4"/>
    <x v="9"/>
    <x v="4"/>
    <n v="2026"/>
  </r>
  <r>
    <s v="INT-00176"/>
    <x v="140"/>
    <x v="0"/>
    <x v="0"/>
    <x v="4"/>
    <s v="Customer 093"/>
    <s v="CRM"/>
    <s v="Inbound"/>
    <x v="0"/>
    <n v="1"/>
    <n v="29100"/>
    <n v="29100"/>
    <m/>
    <x v="124"/>
    <m/>
    <x v="0"/>
    <x v="0"/>
    <x v="0"/>
    <n v="2026"/>
  </r>
  <r>
    <s v="INT-00177"/>
    <x v="78"/>
    <x v="1"/>
    <x v="14"/>
    <x v="0"/>
    <s v="Customer 296"/>
    <s v="Automation"/>
    <m/>
    <x v="1"/>
    <n v="0"/>
    <n v="0"/>
    <n v="0"/>
    <n v="1"/>
    <x v="36"/>
    <n v="8.1"/>
    <x v="19"/>
    <x v="1"/>
    <x v="6"/>
    <n v="2025"/>
  </r>
  <r>
    <s v="INT-00178"/>
    <x v="141"/>
    <x v="0"/>
    <x v="6"/>
    <x v="4"/>
    <s v="Customer 438"/>
    <s v="CRM"/>
    <s v="Website"/>
    <x v="4"/>
    <n v="1"/>
    <n v="16600"/>
    <n v="0"/>
    <m/>
    <x v="48"/>
    <m/>
    <x v="0"/>
    <x v="6"/>
    <x v="11"/>
    <n v="2026"/>
  </r>
  <r>
    <s v="INT-00179"/>
    <x v="69"/>
    <x v="1"/>
    <x v="9"/>
    <x v="4"/>
    <s v="Customer 628"/>
    <s v="Analytics"/>
    <m/>
    <x v="1"/>
    <n v="0"/>
    <n v="0"/>
    <n v="0"/>
    <n v="1"/>
    <x v="3"/>
    <n v="9.8000000000000007"/>
    <x v="4"/>
    <x v="1"/>
    <x v="5"/>
    <n v="2026"/>
  </r>
  <r>
    <s v="INT-00180"/>
    <x v="142"/>
    <x v="0"/>
    <x v="5"/>
    <x v="2"/>
    <s v="Customer 088"/>
    <s v="Analytics"/>
    <s v="Website"/>
    <x v="3"/>
    <n v="1"/>
    <n v="17100"/>
    <n v="0"/>
    <m/>
    <x v="125"/>
    <m/>
    <x v="0"/>
    <x v="4"/>
    <x v="7"/>
    <n v="2026"/>
  </r>
  <r>
    <s v="INT-00181"/>
    <x v="133"/>
    <x v="0"/>
    <x v="11"/>
    <x v="4"/>
    <s v="Customer 264"/>
    <s v="CRM"/>
    <s v="Website"/>
    <x v="2"/>
    <n v="1"/>
    <n v="28500"/>
    <n v="0"/>
    <m/>
    <x v="126"/>
    <m/>
    <x v="0"/>
    <x v="3"/>
    <x v="0"/>
    <n v="2026"/>
  </r>
  <r>
    <s v="INT-00182"/>
    <x v="143"/>
    <x v="0"/>
    <x v="10"/>
    <x v="1"/>
    <s v="Customer 071"/>
    <s v="WhatsApp API"/>
    <s v="Inbound"/>
    <x v="3"/>
    <n v="1"/>
    <n v="27800"/>
    <n v="0"/>
    <m/>
    <x v="95"/>
    <m/>
    <x v="0"/>
    <x v="4"/>
    <x v="9"/>
    <n v="2025"/>
  </r>
  <r>
    <s v="INT-00183"/>
    <x v="144"/>
    <x v="1"/>
    <x v="8"/>
    <x v="0"/>
    <s v="Customer 084"/>
    <s v="Analytics"/>
    <m/>
    <x v="1"/>
    <n v="0"/>
    <n v="0"/>
    <n v="0"/>
    <n v="1"/>
    <x v="25"/>
    <n v="5.4"/>
    <x v="18"/>
    <x v="5"/>
    <x v="6"/>
    <n v="2025"/>
  </r>
  <r>
    <s v="INT-00184"/>
    <x v="145"/>
    <x v="1"/>
    <x v="15"/>
    <x v="0"/>
    <s v="Customer 060"/>
    <s v="CRM"/>
    <m/>
    <x v="1"/>
    <n v="0"/>
    <n v="0"/>
    <n v="0"/>
    <n v="1"/>
    <x v="127"/>
    <n v="8.3000000000000007"/>
    <x v="18"/>
    <x v="2"/>
    <x v="10"/>
    <n v="2025"/>
  </r>
  <r>
    <s v="INT-00185"/>
    <x v="5"/>
    <x v="0"/>
    <x v="5"/>
    <x v="1"/>
    <s v="Customer 338"/>
    <s v="Analytics"/>
    <s v="Inbound"/>
    <x v="6"/>
    <n v="1"/>
    <n v="41700"/>
    <n v="0"/>
    <m/>
    <x v="117"/>
    <m/>
    <x v="0"/>
    <x v="8"/>
    <x v="2"/>
    <n v="2025"/>
  </r>
  <r>
    <s v="INT-00186"/>
    <x v="129"/>
    <x v="1"/>
    <x v="2"/>
    <x v="4"/>
    <s v="Customer 424"/>
    <s v="CRM"/>
    <m/>
    <x v="1"/>
    <n v="0"/>
    <n v="0"/>
    <n v="0"/>
    <n v="1"/>
    <x v="55"/>
    <n v="6.9"/>
    <x v="5"/>
    <x v="2"/>
    <x v="5"/>
    <n v="2026"/>
  </r>
  <r>
    <s v="INT-00187"/>
    <x v="16"/>
    <x v="1"/>
    <x v="12"/>
    <x v="3"/>
    <s v="Customer 490"/>
    <s v="Automation"/>
    <m/>
    <x v="1"/>
    <n v="0"/>
    <n v="0"/>
    <n v="0"/>
    <n v="1"/>
    <x v="68"/>
    <n v="3.5"/>
    <x v="15"/>
    <x v="2"/>
    <x v="8"/>
    <n v="2026"/>
  </r>
  <r>
    <s v="INT-00188"/>
    <x v="146"/>
    <x v="1"/>
    <x v="15"/>
    <x v="2"/>
    <s v="Customer 399"/>
    <s v="CRM"/>
    <m/>
    <x v="1"/>
    <n v="0"/>
    <n v="0"/>
    <n v="0"/>
    <n v="1"/>
    <x v="49"/>
    <n v="6.2"/>
    <x v="11"/>
    <x v="2"/>
    <x v="9"/>
    <n v="2025"/>
  </r>
  <r>
    <s v="INT-00189"/>
    <x v="104"/>
    <x v="0"/>
    <x v="11"/>
    <x v="0"/>
    <s v="Customer 201"/>
    <s v="Automation"/>
    <s v="Referral"/>
    <x v="0"/>
    <n v="1"/>
    <n v="41500"/>
    <n v="41500"/>
    <m/>
    <x v="128"/>
    <m/>
    <x v="0"/>
    <x v="0"/>
    <x v="2"/>
    <n v="2025"/>
  </r>
  <r>
    <s v="INT-00190"/>
    <x v="147"/>
    <x v="0"/>
    <x v="11"/>
    <x v="0"/>
    <s v="Customer 439"/>
    <s v="Automation"/>
    <s v="Outbound"/>
    <x v="3"/>
    <n v="1"/>
    <n v="26800"/>
    <n v="0"/>
    <m/>
    <x v="129"/>
    <m/>
    <x v="0"/>
    <x v="4"/>
    <x v="6"/>
    <n v="2025"/>
  </r>
  <r>
    <s v="INT-00191"/>
    <x v="148"/>
    <x v="0"/>
    <x v="10"/>
    <x v="1"/>
    <s v="Customer 310"/>
    <s v="Analytics"/>
    <s v="Partner"/>
    <x v="0"/>
    <n v="1"/>
    <n v="8600"/>
    <n v="8600"/>
    <m/>
    <x v="56"/>
    <m/>
    <x v="0"/>
    <x v="0"/>
    <x v="4"/>
    <n v="2026"/>
  </r>
  <r>
    <s v="INT-00192"/>
    <x v="62"/>
    <x v="1"/>
    <x v="3"/>
    <x v="4"/>
    <s v="Customer 220"/>
    <s v="CRM"/>
    <m/>
    <x v="1"/>
    <n v="0"/>
    <n v="0"/>
    <n v="0"/>
    <n v="1"/>
    <x v="53"/>
    <n v="5.6"/>
    <x v="19"/>
    <x v="2"/>
    <x v="5"/>
    <n v="2026"/>
  </r>
  <r>
    <s v="INT-00193"/>
    <x v="149"/>
    <x v="1"/>
    <x v="14"/>
    <x v="4"/>
    <s v="Customer 185"/>
    <s v="WhatsApp API"/>
    <m/>
    <x v="1"/>
    <n v="0"/>
    <n v="0"/>
    <n v="0"/>
    <n v="1"/>
    <x v="118"/>
    <n v="6.4"/>
    <x v="7"/>
    <x v="5"/>
    <x v="5"/>
    <n v="2026"/>
  </r>
  <r>
    <s v="INT-00194"/>
    <x v="150"/>
    <x v="1"/>
    <x v="12"/>
    <x v="4"/>
    <s v="Customer 308"/>
    <s v="CRM"/>
    <m/>
    <x v="1"/>
    <n v="0"/>
    <n v="0"/>
    <n v="0"/>
    <n v="1"/>
    <x v="19"/>
    <n v="32.299999999999997"/>
    <x v="5"/>
    <x v="5"/>
    <x v="1"/>
    <n v="2026"/>
  </r>
  <r>
    <s v="INT-00195"/>
    <x v="151"/>
    <x v="0"/>
    <x v="4"/>
    <x v="4"/>
    <s v="Customer 626"/>
    <s v="Automation"/>
    <s v="Referral"/>
    <x v="6"/>
    <n v="1"/>
    <n v="5000"/>
    <n v="0"/>
    <m/>
    <x v="53"/>
    <m/>
    <x v="0"/>
    <x v="8"/>
    <x v="9"/>
    <n v="2025"/>
  </r>
  <r>
    <s v="INT-00196"/>
    <x v="152"/>
    <x v="0"/>
    <x v="11"/>
    <x v="0"/>
    <s v="Customer 109"/>
    <s v="CRM"/>
    <s v="Inbound"/>
    <x v="6"/>
    <n v="1"/>
    <n v="14200"/>
    <n v="0"/>
    <m/>
    <x v="130"/>
    <m/>
    <x v="0"/>
    <x v="8"/>
    <x v="6"/>
    <n v="2025"/>
  </r>
  <r>
    <s v="INT-00197"/>
    <x v="153"/>
    <x v="1"/>
    <x v="3"/>
    <x v="0"/>
    <s v="Customer 473"/>
    <s v="CRM"/>
    <m/>
    <x v="1"/>
    <n v="0"/>
    <n v="0"/>
    <n v="0"/>
    <n v="1"/>
    <x v="48"/>
    <n v="3"/>
    <x v="5"/>
    <x v="1"/>
    <x v="0"/>
    <n v="2026"/>
  </r>
  <r>
    <s v="INT-00198"/>
    <x v="154"/>
    <x v="1"/>
    <x v="14"/>
    <x v="0"/>
    <s v="Customer 238"/>
    <s v="WhatsApp API"/>
    <m/>
    <x v="1"/>
    <n v="0"/>
    <n v="0"/>
    <n v="0"/>
    <n v="1"/>
    <x v="43"/>
    <n v="11.3"/>
    <x v="21"/>
    <x v="9"/>
    <x v="10"/>
    <n v="2025"/>
  </r>
  <r>
    <s v="INT-00199"/>
    <x v="155"/>
    <x v="1"/>
    <x v="3"/>
    <x v="4"/>
    <s v="Customer 479"/>
    <s v="CRM"/>
    <m/>
    <x v="1"/>
    <n v="0"/>
    <n v="0"/>
    <n v="0"/>
    <n v="1"/>
    <x v="70"/>
    <n v="22.7"/>
    <x v="22"/>
    <x v="1"/>
    <x v="7"/>
    <n v="2026"/>
  </r>
  <r>
    <s v="INT-00200"/>
    <x v="156"/>
    <x v="1"/>
    <x v="2"/>
    <x v="1"/>
    <s v="Customer 098"/>
    <s v="CRM"/>
    <m/>
    <x v="1"/>
    <n v="0"/>
    <n v="0"/>
    <n v="0"/>
    <n v="1"/>
    <x v="89"/>
    <n v="9.1999999999999993"/>
    <x v="11"/>
    <x v="5"/>
    <x v="9"/>
    <n v="2025"/>
  </r>
  <r>
    <s v="INT-00201"/>
    <x v="121"/>
    <x v="1"/>
    <x v="12"/>
    <x v="3"/>
    <s v="Customer 268"/>
    <s v="WhatsApp API"/>
    <m/>
    <x v="1"/>
    <n v="0"/>
    <n v="0"/>
    <n v="0"/>
    <n v="1"/>
    <x v="34"/>
    <n v="4.9000000000000004"/>
    <x v="4"/>
    <x v="9"/>
    <x v="2"/>
    <n v="2025"/>
  </r>
  <r>
    <s v="INT-00202"/>
    <x v="157"/>
    <x v="0"/>
    <x v="11"/>
    <x v="1"/>
    <s v="Customer 424"/>
    <s v="WhatsApp API"/>
    <s v="Partner"/>
    <x v="2"/>
    <n v="1"/>
    <n v="15900"/>
    <n v="0"/>
    <m/>
    <x v="4"/>
    <m/>
    <x v="0"/>
    <x v="3"/>
    <x v="0"/>
    <n v="2026"/>
  </r>
  <r>
    <s v="INT-00203"/>
    <x v="158"/>
    <x v="0"/>
    <x v="7"/>
    <x v="0"/>
    <s v="Customer 149"/>
    <s v="CRM"/>
    <s v="Inbound"/>
    <x v="0"/>
    <n v="1"/>
    <n v="71200"/>
    <n v="71200"/>
    <m/>
    <x v="131"/>
    <m/>
    <x v="0"/>
    <x v="0"/>
    <x v="0"/>
    <n v="2026"/>
  </r>
  <r>
    <s v="INT-00204"/>
    <x v="159"/>
    <x v="1"/>
    <x v="15"/>
    <x v="2"/>
    <s v="Customer 028"/>
    <s v="WhatsApp API"/>
    <m/>
    <x v="1"/>
    <n v="0"/>
    <n v="0"/>
    <n v="0"/>
    <n v="1"/>
    <x v="62"/>
    <n v="7.8"/>
    <x v="22"/>
    <x v="1"/>
    <x v="9"/>
    <n v="2025"/>
  </r>
  <r>
    <s v="INT-00205"/>
    <x v="54"/>
    <x v="1"/>
    <x v="15"/>
    <x v="3"/>
    <s v="Customer 308"/>
    <s v="Automation"/>
    <m/>
    <x v="1"/>
    <n v="0"/>
    <n v="0"/>
    <n v="0"/>
    <n v="1"/>
    <x v="24"/>
    <n v="3.2"/>
    <x v="2"/>
    <x v="2"/>
    <x v="7"/>
    <n v="2026"/>
  </r>
  <r>
    <s v="INT-00206"/>
    <x v="160"/>
    <x v="0"/>
    <x v="5"/>
    <x v="0"/>
    <s v="Customer 210"/>
    <s v="Analytics"/>
    <s v="Website"/>
    <x v="6"/>
    <n v="1"/>
    <n v="35600"/>
    <n v="0"/>
    <m/>
    <x v="0"/>
    <m/>
    <x v="0"/>
    <x v="8"/>
    <x v="1"/>
    <n v="2026"/>
  </r>
  <r>
    <s v="INT-00207"/>
    <x v="161"/>
    <x v="0"/>
    <x v="10"/>
    <x v="0"/>
    <s v="Customer 184"/>
    <s v="CRM"/>
    <s v="Inbound"/>
    <x v="2"/>
    <n v="1"/>
    <n v="19100"/>
    <n v="0"/>
    <m/>
    <x v="92"/>
    <m/>
    <x v="0"/>
    <x v="3"/>
    <x v="3"/>
    <n v="2026"/>
  </r>
  <r>
    <s v="INT-00208"/>
    <x v="162"/>
    <x v="1"/>
    <x v="14"/>
    <x v="0"/>
    <s v="Customer 510"/>
    <s v="Automation"/>
    <m/>
    <x v="1"/>
    <n v="0"/>
    <n v="0"/>
    <n v="0"/>
    <n v="1"/>
    <x v="65"/>
    <n v="19.899999999999999"/>
    <x v="23"/>
    <x v="1"/>
    <x v="2"/>
    <n v="2025"/>
  </r>
  <r>
    <s v="INT-00209"/>
    <x v="163"/>
    <x v="0"/>
    <x v="5"/>
    <x v="0"/>
    <s v="Customer 283"/>
    <s v="WhatsApp API"/>
    <s v="Website"/>
    <x v="5"/>
    <n v="1"/>
    <n v="41300"/>
    <n v="0"/>
    <m/>
    <x v="132"/>
    <m/>
    <x v="0"/>
    <x v="7"/>
    <x v="9"/>
    <n v="2025"/>
  </r>
  <r>
    <s v="INT-00210"/>
    <x v="76"/>
    <x v="0"/>
    <x v="11"/>
    <x v="1"/>
    <s v="Customer 132"/>
    <s v="CRM"/>
    <s v="Inbound"/>
    <x v="2"/>
    <n v="1"/>
    <n v="10700"/>
    <n v="0"/>
    <m/>
    <x v="113"/>
    <m/>
    <x v="0"/>
    <x v="3"/>
    <x v="4"/>
    <n v="2026"/>
  </r>
  <r>
    <s v="INT-00211"/>
    <x v="55"/>
    <x v="0"/>
    <x v="10"/>
    <x v="0"/>
    <s v="Customer 433"/>
    <s v="Automation"/>
    <s v="Inbound"/>
    <x v="4"/>
    <n v="1"/>
    <n v="21000"/>
    <n v="0"/>
    <m/>
    <x v="55"/>
    <m/>
    <x v="0"/>
    <x v="6"/>
    <x v="3"/>
    <n v="2026"/>
  </r>
  <r>
    <s v="INT-00212"/>
    <x v="164"/>
    <x v="1"/>
    <x v="12"/>
    <x v="2"/>
    <s v="Customer 070"/>
    <s v="CRM"/>
    <m/>
    <x v="1"/>
    <n v="0"/>
    <n v="0"/>
    <n v="0"/>
    <n v="1"/>
    <x v="53"/>
    <n v="7.6"/>
    <x v="24"/>
    <x v="2"/>
    <x v="1"/>
    <n v="2026"/>
  </r>
  <r>
    <s v="INT-00213"/>
    <x v="158"/>
    <x v="1"/>
    <x v="2"/>
    <x v="4"/>
    <s v="Customer 663"/>
    <s v="Analytics"/>
    <m/>
    <x v="1"/>
    <n v="0"/>
    <n v="0"/>
    <n v="0"/>
    <n v="1"/>
    <x v="16"/>
    <n v="10"/>
    <x v="1"/>
    <x v="2"/>
    <x v="0"/>
    <n v="2026"/>
  </r>
  <r>
    <s v="INT-00214"/>
    <x v="165"/>
    <x v="0"/>
    <x v="5"/>
    <x v="0"/>
    <s v="Customer 549"/>
    <s v="WhatsApp API"/>
    <s v="Inbound"/>
    <x v="6"/>
    <n v="1"/>
    <n v="32200"/>
    <n v="0"/>
    <m/>
    <x v="133"/>
    <m/>
    <x v="0"/>
    <x v="8"/>
    <x v="0"/>
    <n v="2026"/>
  </r>
  <r>
    <s v="INT-00215"/>
    <x v="41"/>
    <x v="1"/>
    <x v="8"/>
    <x v="2"/>
    <s v="Customer 700"/>
    <s v="Automation"/>
    <m/>
    <x v="1"/>
    <n v="0"/>
    <n v="0"/>
    <n v="0"/>
    <n v="1"/>
    <x v="12"/>
    <n v="10.8"/>
    <x v="15"/>
    <x v="1"/>
    <x v="9"/>
    <n v="2025"/>
  </r>
  <r>
    <s v="INT-00216"/>
    <x v="0"/>
    <x v="0"/>
    <x v="11"/>
    <x v="3"/>
    <s v="Customer 457"/>
    <s v="WhatsApp API"/>
    <s v="Partner"/>
    <x v="2"/>
    <n v="1"/>
    <n v="16200"/>
    <n v="0"/>
    <m/>
    <x v="26"/>
    <m/>
    <x v="0"/>
    <x v="3"/>
    <x v="0"/>
    <n v="2026"/>
  </r>
  <r>
    <s v="INT-00217"/>
    <x v="166"/>
    <x v="0"/>
    <x v="6"/>
    <x v="4"/>
    <s v="Customer 191"/>
    <s v="Automation"/>
    <s v="Outbound"/>
    <x v="0"/>
    <n v="1"/>
    <n v="90700"/>
    <n v="90700"/>
    <m/>
    <x v="51"/>
    <m/>
    <x v="0"/>
    <x v="0"/>
    <x v="10"/>
    <n v="2025"/>
  </r>
  <r>
    <s v="INT-00218"/>
    <x v="167"/>
    <x v="1"/>
    <x v="12"/>
    <x v="0"/>
    <s v="Customer 687"/>
    <s v="CRM"/>
    <m/>
    <x v="1"/>
    <n v="0"/>
    <n v="0"/>
    <n v="0"/>
    <n v="1"/>
    <x v="4"/>
    <n v="4.2"/>
    <x v="13"/>
    <x v="2"/>
    <x v="5"/>
    <n v="2026"/>
  </r>
  <r>
    <s v="INT-00219"/>
    <x v="168"/>
    <x v="1"/>
    <x v="9"/>
    <x v="4"/>
    <s v="Customer 526"/>
    <s v="CRM"/>
    <m/>
    <x v="1"/>
    <n v="0"/>
    <n v="0"/>
    <n v="0"/>
    <n v="1"/>
    <x v="60"/>
    <n v="11.6"/>
    <x v="8"/>
    <x v="2"/>
    <x v="8"/>
    <n v="2026"/>
  </r>
  <r>
    <s v="INT-00220"/>
    <x v="19"/>
    <x v="1"/>
    <x v="12"/>
    <x v="0"/>
    <s v="Customer 570"/>
    <s v="WhatsApp API"/>
    <m/>
    <x v="1"/>
    <n v="0"/>
    <n v="0"/>
    <n v="0"/>
    <n v="1"/>
    <x v="134"/>
    <n v="9.6"/>
    <x v="13"/>
    <x v="2"/>
    <x v="7"/>
    <n v="2026"/>
  </r>
  <r>
    <s v="INT-00221"/>
    <x v="102"/>
    <x v="1"/>
    <x v="1"/>
    <x v="2"/>
    <s v="Customer 146"/>
    <s v="WhatsApp API"/>
    <m/>
    <x v="1"/>
    <n v="0"/>
    <n v="0"/>
    <n v="0"/>
    <n v="1"/>
    <x v="135"/>
    <n v="4.7"/>
    <x v="13"/>
    <x v="2"/>
    <x v="6"/>
    <n v="2025"/>
  </r>
  <r>
    <s v="INT-00222"/>
    <x v="84"/>
    <x v="1"/>
    <x v="12"/>
    <x v="1"/>
    <s v="Customer 419"/>
    <s v="WhatsApp API"/>
    <m/>
    <x v="1"/>
    <n v="0"/>
    <n v="0"/>
    <n v="0"/>
    <n v="1"/>
    <x v="17"/>
    <n v="8.1999999999999993"/>
    <x v="19"/>
    <x v="2"/>
    <x v="9"/>
    <n v="2025"/>
  </r>
  <r>
    <s v="INT-00223"/>
    <x v="169"/>
    <x v="0"/>
    <x v="7"/>
    <x v="0"/>
    <s v="Customer 327"/>
    <s v="WhatsApp API"/>
    <s v="Partner"/>
    <x v="0"/>
    <n v="1"/>
    <n v="126700"/>
    <n v="126700"/>
    <m/>
    <x v="60"/>
    <m/>
    <x v="0"/>
    <x v="0"/>
    <x v="11"/>
    <n v="2026"/>
  </r>
  <r>
    <s v="INT-00224"/>
    <x v="133"/>
    <x v="0"/>
    <x v="5"/>
    <x v="0"/>
    <s v="Customer 187"/>
    <s v="CRM"/>
    <s v="Website"/>
    <x v="2"/>
    <n v="1"/>
    <n v="95500"/>
    <n v="0"/>
    <m/>
    <x v="136"/>
    <m/>
    <x v="0"/>
    <x v="3"/>
    <x v="0"/>
    <n v="2026"/>
  </r>
  <r>
    <s v="INT-00225"/>
    <x v="165"/>
    <x v="0"/>
    <x v="5"/>
    <x v="2"/>
    <s v="Customer 136"/>
    <s v="CRM"/>
    <s v="Partner"/>
    <x v="2"/>
    <n v="1"/>
    <n v="5000"/>
    <n v="0"/>
    <m/>
    <x v="3"/>
    <m/>
    <x v="0"/>
    <x v="3"/>
    <x v="0"/>
    <n v="2026"/>
  </r>
  <r>
    <s v="INT-00226"/>
    <x v="26"/>
    <x v="0"/>
    <x v="6"/>
    <x v="1"/>
    <s v="Customer 658"/>
    <s v="WhatsApp API"/>
    <s v="Referral"/>
    <x v="0"/>
    <n v="1"/>
    <n v="13400"/>
    <n v="13400"/>
    <m/>
    <x v="137"/>
    <m/>
    <x v="0"/>
    <x v="0"/>
    <x v="1"/>
    <n v="2026"/>
  </r>
  <r>
    <s v="INT-00227"/>
    <x v="170"/>
    <x v="1"/>
    <x v="14"/>
    <x v="2"/>
    <s v="Customer 350"/>
    <s v="Analytics"/>
    <m/>
    <x v="1"/>
    <n v="0"/>
    <n v="0"/>
    <n v="0"/>
    <n v="1"/>
    <x v="17"/>
    <n v="5.8"/>
    <x v="10"/>
    <x v="5"/>
    <x v="7"/>
    <n v="2026"/>
  </r>
  <r>
    <s v="INT-00228"/>
    <x v="171"/>
    <x v="0"/>
    <x v="6"/>
    <x v="1"/>
    <s v="Customer 424"/>
    <s v="CRM"/>
    <s v="Outbound"/>
    <x v="4"/>
    <n v="1"/>
    <n v="18600"/>
    <n v="0"/>
    <m/>
    <x v="138"/>
    <m/>
    <x v="0"/>
    <x v="6"/>
    <x v="10"/>
    <n v="2025"/>
  </r>
  <r>
    <s v="INT-00229"/>
    <x v="172"/>
    <x v="1"/>
    <x v="1"/>
    <x v="2"/>
    <s v="Customer 096"/>
    <s v="CRM"/>
    <m/>
    <x v="1"/>
    <n v="0"/>
    <n v="0"/>
    <n v="0"/>
    <n v="1"/>
    <x v="17"/>
    <n v="9.9"/>
    <x v="13"/>
    <x v="1"/>
    <x v="3"/>
    <n v="2026"/>
  </r>
  <r>
    <s v="INT-00230"/>
    <x v="137"/>
    <x v="1"/>
    <x v="2"/>
    <x v="3"/>
    <s v="Customer 150"/>
    <s v="WhatsApp API"/>
    <m/>
    <x v="1"/>
    <n v="0"/>
    <n v="0"/>
    <n v="0"/>
    <n v="1"/>
    <x v="119"/>
    <n v="6.6"/>
    <x v="18"/>
    <x v="2"/>
    <x v="1"/>
    <n v="2026"/>
  </r>
  <r>
    <s v="INT-00231"/>
    <x v="173"/>
    <x v="1"/>
    <x v="3"/>
    <x v="3"/>
    <s v="Customer 083"/>
    <s v="CRM"/>
    <m/>
    <x v="1"/>
    <n v="0"/>
    <n v="0"/>
    <n v="0"/>
    <n v="1"/>
    <x v="139"/>
    <n v="1.7"/>
    <x v="20"/>
    <x v="2"/>
    <x v="8"/>
    <n v="2026"/>
  </r>
  <r>
    <s v="INT-00232"/>
    <x v="165"/>
    <x v="0"/>
    <x v="4"/>
    <x v="4"/>
    <s v="Customer 495"/>
    <s v="Automation"/>
    <s v="Website"/>
    <x v="0"/>
    <n v="1"/>
    <n v="56700"/>
    <n v="56700"/>
    <m/>
    <x v="24"/>
    <m/>
    <x v="0"/>
    <x v="0"/>
    <x v="0"/>
    <n v="2026"/>
  </r>
  <r>
    <s v="INT-00233"/>
    <x v="109"/>
    <x v="1"/>
    <x v="8"/>
    <x v="0"/>
    <s v="Customer 334"/>
    <s v="WhatsApp API"/>
    <m/>
    <x v="1"/>
    <n v="0"/>
    <n v="0"/>
    <n v="0"/>
    <n v="1"/>
    <x v="0"/>
    <n v="5.3"/>
    <x v="18"/>
    <x v="1"/>
    <x v="3"/>
    <n v="2026"/>
  </r>
  <r>
    <s v="INT-00234"/>
    <x v="174"/>
    <x v="0"/>
    <x v="7"/>
    <x v="0"/>
    <s v="Customer 054"/>
    <s v="WhatsApp API"/>
    <s v="Inbound"/>
    <x v="2"/>
    <n v="1"/>
    <n v="23300"/>
    <n v="0"/>
    <m/>
    <x v="112"/>
    <m/>
    <x v="0"/>
    <x v="3"/>
    <x v="11"/>
    <n v="2026"/>
  </r>
  <r>
    <s v="INT-00235"/>
    <x v="18"/>
    <x v="0"/>
    <x v="5"/>
    <x v="0"/>
    <s v="Customer 239"/>
    <s v="WhatsApp API"/>
    <s v="Referral"/>
    <x v="4"/>
    <n v="1"/>
    <n v="16200"/>
    <n v="0"/>
    <m/>
    <x v="31"/>
    <m/>
    <x v="0"/>
    <x v="6"/>
    <x v="4"/>
    <n v="2026"/>
  </r>
  <r>
    <s v="INT-00236"/>
    <x v="175"/>
    <x v="1"/>
    <x v="9"/>
    <x v="4"/>
    <s v="Customer 591"/>
    <s v="Automation"/>
    <m/>
    <x v="1"/>
    <n v="0"/>
    <n v="0"/>
    <n v="0"/>
    <n v="1"/>
    <x v="47"/>
    <n v="7.7"/>
    <x v="17"/>
    <x v="2"/>
    <x v="11"/>
    <n v="2026"/>
  </r>
  <r>
    <s v="INT-00237"/>
    <x v="34"/>
    <x v="0"/>
    <x v="11"/>
    <x v="1"/>
    <s v="Customer 017"/>
    <s v="CRM"/>
    <s v="Inbound"/>
    <x v="0"/>
    <n v="1"/>
    <n v="5000"/>
    <n v="5000"/>
    <m/>
    <x v="140"/>
    <m/>
    <x v="0"/>
    <x v="0"/>
    <x v="3"/>
    <n v="2026"/>
  </r>
  <r>
    <s v="INT-00238"/>
    <x v="176"/>
    <x v="0"/>
    <x v="13"/>
    <x v="0"/>
    <s v="Customer 071"/>
    <s v="Automation"/>
    <s v="Website"/>
    <x v="0"/>
    <n v="1"/>
    <n v="13900"/>
    <n v="13900"/>
    <m/>
    <x v="141"/>
    <m/>
    <x v="0"/>
    <x v="0"/>
    <x v="3"/>
    <n v="2026"/>
  </r>
  <r>
    <s v="INT-00239"/>
    <x v="177"/>
    <x v="1"/>
    <x v="2"/>
    <x v="0"/>
    <s v="Customer 021"/>
    <s v="CRM"/>
    <m/>
    <x v="1"/>
    <n v="0"/>
    <n v="0"/>
    <n v="0"/>
    <n v="1"/>
    <x v="36"/>
    <n v="9.1999999999999993"/>
    <x v="5"/>
    <x v="2"/>
    <x v="1"/>
    <n v="2026"/>
  </r>
  <r>
    <s v="INT-00240"/>
    <x v="77"/>
    <x v="0"/>
    <x v="13"/>
    <x v="2"/>
    <s v="Customer 030"/>
    <s v="Automation"/>
    <s v="Outbound"/>
    <x v="6"/>
    <n v="1"/>
    <n v="8500"/>
    <n v="0"/>
    <m/>
    <x v="142"/>
    <m/>
    <x v="0"/>
    <x v="8"/>
    <x v="0"/>
    <n v="2026"/>
  </r>
  <r>
    <s v="INT-00241"/>
    <x v="178"/>
    <x v="1"/>
    <x v="9"/>
    <x v="0"/>
    <s v="Customer 239"/>
    <s v="Automation"/>
    <m/>
    <x v="1"/>
    <n v="0"/>
    <n v="0"/>
    <n v="0"/>
    <n v="1"/>
    <x v="43"/>
    <n v="5.8"/>
    <x v="2"/>
    <x v="2"/>
    <x v="6"/>
    <n v="2025"/>
  </r>
  <r>
    <s v="INT-00242"/>
    <x v="101"/>
    <x v="1"/>
    <x v="15"/>
    <x v="4"/>
    <s v="Customer 278"/>
    <s v="CRM"/>
    <m/>
    <x v="1"/>
    <n v="0"/>
    <n v="0"/>
    <n v="0"/>
    <n v="1"/>
    <x v="141"/>
    <n v="7.1"/>
    <x v="5"/>
    <x v="5"/>
    <x v="3"/>
    <n v="2026"/>
  </r>
  <r>
    <s v="INT-00243"/>
    <x v="179"/>
    <x v="1"/>
    <x v="9"/>
    <x v="3"/>
    <s v="Customer 478"/>
    <s v="Automation"/>
    <m/>
    <x v="1"/>
    <n v="0"/>
    <n v="0"/>
    <n v="0"/>
    <n v="1"/>
    <x v="60"/>
    <n v="5.7"/>
    <x v="18"/>
    <x v="2"/>
    <x v="2"/>
    <n v="2025"/>
  </r>
  <r>
    <s v="INT-00244"/>
    <x v="141"/>
    <x v="0"/>
    <x v="6"/>
    <x v="0"/>
    <s v="Customer 138"/>
    <s v="Automation"/>
    <s v="Referral"/>
    <x v="4"/>
    <n v="1"/>
    <n v="37600"/>
    <n v="0"/>
    <m/>
    <x v="45"/>
    <m/>
    <x v="0"/>
    <x v="6"/>
    <x v="11"/>
    <n v="2026"/>
  </r>
  <r>
    <s v="INT-00245"/>
    <x v="35"/>
    <x v="0"/>
    <x v="4"/>
    <x v="0"/>
    <s v="Customer 088"/>
    <s v="CRM"/>
    <s v="Inbound"/>
    <x v="4"/>
    <n v="1"/>
    <n v="6300"/>
    <n v="0"/>
    <m/>
    <x v="143"/>
    <m/>
    <x v="0"/>
    <x v="6"/>
    <x v="8"/>
    <n v="2026"/>
  </r>
  <r>
    <s v="INT-00246"/>
    <x v="31"/>
    <x v="1"/>
    <x v="1"/>
    <x v="0"/>
    <s v="Customer 559"/>
    <s v="Automation"/>
    <m/>
    <x v="1"/>
    <n v="0"/>
    <n v="0"/>
    <n v="0"/>
    <n v="1"/>
    <x v="144"/>
    <n v="8.9"/>
    <x v="4"/>
    <x v="2"/>
    <x v="4"/>
    <n v="2026"/>
  </r>
  <r>
    <s v="INT-00247"/>
    <x v="180"/>
    <x v="0"/>
    <x v="13"/>
    <x v="0"/>
    <s v="Customer 331"/>
    <s v="CRM"/>
    <s v="Inbound"/>
    <x v="5"/>
    <n v="1"/>
    <n v="143300"/>
    <n v="0"/>
    <m/>
    <x v="83"/>
    <m/>
    <x v="0"/>
    <x v="7"/>
    <x v="1"/>
    <n v="2026"/>
  </r>
  <r>
    <s v="INT-00248"/>
    <x v="181"/>
    <x v="1"/>
    <x v="14"/>
    <x v="2"/>
    <s v="Customer 316"/>
    <s v="WhatsApp API"/>
    <m/>
    <x v="1"/>
    <n v="0"/>
    <n v="0"/>
    <n v="0"/>
    <n v="1"/>
    <x v="142"/>
    <n v="11.8"/>
    <x v="6"/>
    <x v="9"/>
    <x v="11"/>
    <n v="2026"/>
  </r>
  <r>
    <s v="INT-00249"/>
    <x v="180"/>
    <x v="1"/>
    <x v="14"/>
    <x v="0"/>
    <s v="Customer 361"/>
    <s v="CRM"/>
    <m/>
    <x v="1"/>
    <n v="0"/>
    <n v="0"/>
    <n v="0"/>
    <n v="1"/>
    <x v="112"/>
    <n v="3.9"/>
    <x v="10"/>
    <x v="1"/>
    <x v="1"/>
    <n v="2026"/>
  </r>
  <r>
    <s v="INT-00250"/>
    <x v="114"/>
    <x v="1"/>
    <x v="15"/>
    <x v="0"/>
    <s v="Customer 336"/>
    <s v="CRM"/>
    <m/>
    <x v="1"/>
    <n v="0"/>
    <n v="0"/>
    <n v="0"/>
    <n v="1"/>
    <x v="62"/>
    <n v="6.3"/>
    <x v="12"/>
    <x v="2"/>
    <x v="4"/>
    <n v="2026"/>
  </r>
  <r>
    <s v="INT-00251"/>
    <x v="66"/>
    <x v="0"/>
    <x v="10"/>
    <x v="0"/>
    <s v="Customer 688"/>
    <s v="Automation"/>
    <s v="Outbound"/>
    <x v="0"/>
    <n v="1"/>
    <n v="21100"/>
    <n v="21100"/>
    <m/>
    <x v="145"/>
    <m/>
    <x v="0"/>
    <x v="0"/>
    <x v="9"/>
    <n v="2025"/>
  </r>
  <r>
    <s v="INT-00252"/>
    <x v="182"/>
    <x v="0"/>
    <x v="11"/>
    <x v="3"/>
    <s v="Customer 285"/>
    <s v="WhatsApp API"/>
    <s v="Website"/>
    <x v="4"/>
    <n v="1"/>
    <n v="84300"/>
    <n v="0"/>
    <m/>
    <x v="122"/>
    <m/>
    <x v="0"/>
    <x v="6"/>
    <x v="6"/>
    <n v="2025"/>
  </r>
  <r>
    <s v="INT-00253"/>
    <x v="183"/>
    <x v="1"/>
    <x v="2"/>
    <x v="0"/>
    <s v="Customer 658"/>
    <s v="CRM"/>
    <m/>
    <x v="1"/>
    <n v="0"/>
    <n v="0"/>
    <n v="0"/>
    <n v="1"/>
    <x v="146"/>
    <n v="6.2"/>
    <x v="2"/>
    <x v="9"/>
    <x v="10"/>
    <n v="2025"/>
  </r>
  <r>
    <s v="INT-00254"/>
    <x v="59"/>
    <x v="0"/>
    <x v="5"/>
    <x v="4"/>
    <s v="Customer 356"/>
    <s v="Automation"/>
    <s v="Website"/>
    <x v="0"/>
    <n v="1"/>
    <n v="20200"/>
    <n v="20200"/>
    <m/>
    <x v="70"/>
    <m/>
    <x v="0"/>
    <x v="0"/>
    <x v="9"/>
    <n v="2025"/>
  </r>
  <r>
    <s v="INT-00255"/>
    <x v="184"/>
    <x v="0"/>
    <x v="13"/>
    <x v="0"/>
    <s v="Customer 452"/>
    <s v="WhatsApp API"/>
    <s v="Referral"/>
    <x v="3"/>
    <n v="1"/>
    <n v="26600"/>
    <n v="0"/>
    <m/>
    <x v="113"/>
    <m/>
    <x v="0"/>
    <x v="4"/>
    <x v="3"/>
    <n v="2026"/>
  </r>
  <r>
    <s v="INT-00256"/>
    <x v="185"/>
    <x v="1"/>
    <x v="3"/>
    <x v="2"/>
    <s v="Customer 142"/>
    <s v="CRM"/>
    <m/>
    <x v="1"/>
    <n v="0"/>
    <n v="0"/>
    <n v="0"/>
    <n v="1"/>
    <x v="47"/>
    <n v="11.2"/>
    <x v="10"/>
    <x v="2"/>
    <x v="4"/>
    <n v="2026"/>
  </r>
  <r>
    <s v="INT-00257"/>
    <x v="186"/>
    <x v="1"/>
    <x v="9"/>
    <x v="2"/>
    <s v="Customer 206"/>
    <s v="Analytics"/>
    <m/>
    <x v="1"/>
    <n v="0"/>
    <n v="0"/>
    <n v="0"/>
    <n v="1"/>
    <x v="106"/>
    <n v="2.1"/>
    <x v="23"/>
    <x v="2"/>
    <x v="4"/>
    <n v="2026"/>
  </r>
  <r>
    <s v="INT-00258"/>
    <x v="187"/>
    <x v="1"/>
    <x v="1"/>
    <x v="4"/>
    <s v="Customer 251"/>
    <s v="WhatsApp API"/>
    <m/>
    <x v="1"/>
    <n v="0"/>
    <n v="0"/>
    <n v="0"/>
    <n v="1"/>
    <x v="147"/>
    <n v="4.3"/>
    <x v="4"/>
    <x v="2"/>
    <x v="5"/>
    <n v="2026"/>
  </r>
  <r>
    <s v="INT-00259"/>
    <x v="47"/>
    <x v="1"/>
    <x v="2"/>
    <x v="0"/>
    <s v="Customer 601"/>
    <s v="CRM"/>
    <m/>
    <x v="1"/>
    <n v="0"/>
    <n v="0"/>
    <n v="0"/>
    <n v="1"/>
    <x v="139"/>
    <n v="8.8000000000000007"/>
    <x v="14"/>
    <x v="5"/>
    <x v="11"/>
    <n v="2026"/>
  </r>
  <r>
    <s v="INT-00260"/>
    <x v="79"/>
    <x v="0"/>
    <x v="0"/>
    <x v="0"/>
    <s v="Customer 532"/>
    <s v="CRM"/>
    <s v="Outbound"/>
    <x v="2"/>
    <n v="1"/>
    <n v="20100"/>
    <n v="0"/>
    <m/>
    <x v="99"/>
    <m/>
    <x v="0"/>
    <x v="3"/>
    <x v="0"/>
    <n v="2026"/>
  </r>
  <r>
    <s v="INT-00261"/>
    <x v="14"/>
    <x v="1"/>
    <x v="8"/>
    <x v="0"/>
    <s v="Customer 673"/>
    <s v="Automation"/>
    <m/>
    <x v="1"/>
    <n v="0"/>
    <n v="0"/>
    <n v="0"/>
    <n v="1"/>
    <x v="27"/>
    <n v="8.4"/>
    <x v="25"/>
    <x v="2"/>
    <x v="9"/>
    <n v="2025"/>
  </r>
  <r>
    <s v="INT-00262"/>
    <x v="96"/>
    <x v="1"/>
    <x v="8"/>
    <x v="1"/>
    <s v="Customer 102"/>
    <s v="WhatsApp API"/>
    <m/>
    <x v="1"/>
    <n v="0"/>
    <n v="0"/>
    <n v="0"/>
    <n v="1"/>
    <x v="103"/>
    <n v="28.7"/>
    <x v="12"/>
    <x v="1"/>
    <x v="7"/>
    <n v="2026"/>
  </r>
  <r>
    <s v="INT-00263"/>
    <x v="188"/>
    <x v="0"/>
    <x v="6"/>
    <x v="0"/>
    <s v="Customer 200"/>
    <s v="CRM"/>
    <s v="Outbound"/>
    <x v="6"/>
    <n v="1"/>
    <n v="10300"/>
    <n v="0"/>
    <m/>
    <x v="60"/>
    <m/>
    <x v="0"/>
    <x v="8"/>
    <x v="5"/>
    <n v="2026"/>
  </r>
  <r>
    <s v="INT-00264"/>
    <x v="161"/>
    <x v="0"/>
    <x v="5"/>
    <x v="0"/>
    <s v="Customer 211"/>
    <s v="WhatsApp API"/>
    <s v="Inbound"/>
    <x v="4"/>
    <n v="1"/>
    <n v="36100"/>
    <n v="0"/>
    <m/>
    <x v="10"/>
    <m/>
    <x v="0"/>
    <x v="6"/>
    <x v="3"/>
    <n v="2026"/>
  </r>
  <r>
    <s v="INT-00265"/>
    <x v="22"/>
    <x v="1"/>
    <x v="2"/>
    <x v="4"/>
    <s v="Customer 275"/>
    <s v="WhatsApp API"/>
    <m/>
    <x v="1"/>
    <n v="0"/>
    <n v="0"/>
    <n v="0"/>
    <n v="1"/>
    <x v="62"/>
    <n v="3.9"/>
    <x v="20"/>
    <x v="1"/>
    <x v="1"/>
    <n v="2026"/>
  </r>
  <r>
    <s v="INT-00266"/>
    <x v="58"/>
    <x v="1"/>
    <x v="9"/>
    <x v="4"/>
    <s v="Customer 376"/>
    <s v="WhatsApp API"/>
    <m/>
    <x v="1"/>
    <n v="0"/>
    <n v="0"/>
    <n v="0"/>
    <n v="1"/>
    <x v="148"/>
    <n v="10.9"/>
    <x v="19"/>
    <x v="5"/>
    <x v="11"/>
    <n v="2026"/>
  </r>
  <r>
    <s v="INT-00267"/>
    <x v="95"/>
    <x v="1"/>
    <x v="3"/>
    <x v="3"/>
    <s v="Customer 046"/>
    <s v="CRM"/>
    <m/>
    <x v="1"/>
    <n v="0"/>
    <n v="0"/>
    <n v="0"/>
    <n v="1"/>
    <x v="112"/>
    <n v="12.2"/>
    <x v="12"/>
    <x v="2"/>
    <x v="6"/>
    <n v="2025"/>
  </r>
  <r>
    <s v="INT-00268"/>
    <x v="189"/>
    <x v="1"/>
    <x v="12"/>
    <x v="4"/>
    <s v="Customer 480"/>
    <s v="Automation"/>
    <m/>
    <x v="1"/>
    <n v="0"/>
    <n v="0"/>
    <n v="0"/>
    <n v="1"/>
    <x v="139"/>
    <n v="12.6"/>
    <x v="26"/>
    <x v="1"/>
    <x v="10"/>
    <n v="2025"/>
  </r>
  <r>
    <s v="INT-00269"/>
    <x v="190"/>
    <x v="0"/>
    <x v="6"/>
    <x v="4"/>
    <s v="Customer 313"/>
    <s v="WhatsApp API"/>
    <s v="Website"/>
    <x v="3"/>
    <n v="1"/>
    <n v="5000"/>
    <n v="0"/>
    <m/>
    <x v="46"/>
    <m/>
    <x v="0"/>
    <x v="4"/>
    <x v="9"/>
    <n v="2025"/>
  </r>
  <r>
    <s v="INT-00270"/>
    <x v="191"/>
    <x v="0"/>
    <x v="7"/>
    <x v="2"/>
    <s v="Customer 273"/>
    <s v="WhatsApp API"/>
    <s v="Outbound"/>
    <x v="2"/>
    <n v="1"/>
    <n v="5700"/>
    <n v="0"/>
    <m/>
    <x v="28"/>
    <m/>
    <x v="0"/>
    <x v="3"/>
    <x v="6"/>
    <n v="2025"/>
  </r>
  <r>
    <s v="INT-00271"/>
    <x v="46"/>
    <x v="1"/>
    <x v="14"/>
    <x v="0"/>
    <s v="Customer 506"/>
    <s v="WhatsApp API"/>
    <m/>
    <x v="1"/>
    <n v="0"/>
    <n v="0"/>
    <n v="0"/>
    <n v="1"/>
    <x v="101"/>
    <n v="4.8"/>
    <x v="20"/>
    <x v="2"/>
    <x v="2"/>
    <n v="2025"/>
  </r>
  <r>
    <s v="INT-00272"/>
    <x v="192"/>
    <x v="1"/>
    <x v="2"/>
    <x v="0"/>
    <s v="Customer 391"/>
    <s v="WhatsApp API"/>
    <m/>
    <x v="1"/>
    <n v="0"/>
    <n v="0"/>
    <n v="0"/>
    <n v="1"/>
    <x v="16"/>
    <n v="4.3"/>
    <x v="19"/>
    <x v="2"/>
    <x v="11"/>
    <n v="2026"/>
  </r>
  <r>
    <s v="INT-00273"/>
    <x v="193"/>
    <x v="1"/>
    <x v="14"/>
    <x v="2"/>
    <s v="Customer 427"/>
    <s v="CRM"/>
    <m/>
    <x v="1"/>
    <n v="0"/>
    <n v="0"/>
    <n v="0"/>
    <n v="1"/>
    <x v="69"/>
    <n v="14.1"/>
    <x v="18"/>
    <x v="5"/>
    <x v="9"/>
    <n v="2025"/>
  </r>
  <r>
    <s v="INT-00274"/>
    <x v="194"/>
    <x v="1"/>
    <x v="15"/>
    <x v="0"/>
    <s v="Customer 292"/>
    <s v="WhatsApp API"/>
    <m/>
    <x v="1"/>
    <n v="0"/>
    <n v="0"/>
    <n v="0"/>
    <n v="1"/>
    <x v="91"/>
    <n v="3.6"/>
    <x v="10"/>
    <x v="2"/>
    <x v="8"/>
    <n v="2026"/>
  </r>
  <r>
    <s v="INT-00275"/>
    <x v="195"/>
    <x v="0"/>
    <x v="11"/>
    <x v="4"/>
    <s v="Customer 187"/>
    <s v="CRM"/>
    <s v="Referral"/>
    <x v="5"/>
    <n v="1"/>
    <n v="27300"/>
    <n v="0"/>
    <m/>
    <x v="149"/>
    <m/>
    <x v="0"/>
    <x v="7"/>
    <x v="9"/>
    <n v="2025"/>
  </r>
  <r>
    <s v="INT-00276"/>
    <x v="23"/>
    <x v="0"/>
    <x v="0"/>
    <x v="4"/>
    <s v="Customer 542"/>
    <s v="Automation"/>
    <s v="Outbound"/>
    <x v="5"/>
    <n v="1"/>
    <n v="7800"/>
    <n v="0"/>
    <m/>
    <x v="150"/>
    <m/>
    <x v="0"/>
    <x v="7"/>
    <x v="6"/>
    <n v="2025"/>
  </r>
  <r>
    <s v="INT-00277"/>
    <x v="194"/>
    <x v="1"/>
    <x v="15"/>
    <x v="0"/>
    <s v="Customer 442"/>
    <s v="Analytics"/>
    <m/>
    <x v="1"/>
    <n v="0"/>
    <n v="0"/>
    <n v="0"/>
    <n v="1"/>
    <x v="151"/>
    <n v="9.8000000000000007"/>
    <x v="2"/>
    <x v="5"/>
    <x v="8"/>
    <n v="2026"/>
  </r>
  <r>
    <s v="INT-00278"/>
    <x v="196"/>
    <x v="1"/>
    <x v="15"/>
    <x v="0"/>
    <s v="Customer 033"/>
    <s v="Automation"/>
    <m/>
    <x v="1"/>
    <n v="0"/>
    <n v="0"/>
    <n v="0"/>
    <n v="1"/>
    <x v="9"/>
    <n v="4.8"/>
    <x v="27"/>
    <x v="2"/>
    <x v="4"/>
    <n v="2026"/>
  </r>
  <r>
    <s v="INT-00279"/>
    <x v="155"/>
    <x v="1"/>
    <x v="14"/>
    <x v="0"/>
    <s v="Customer 172"/>
    <s v="CRM"/>
    <m/>
    <x v="1"/>
    <n v="0"/>
    <n v="0"/>
    <n v="0"/>
    <n v="1"/>
    <x v="32"/>
    <n v="21.2"/>
    <x v="18"/>
    <x v="1"/>
    <x v="7"/>
    <n v="2026"/>
  </r>
  <r>
    <s v="INT-00280"/>
    <x v="18"/>
    <x v="1"/>
    <x v="8"/>
    <x v="0"/>
    <s v="Customer 378"/>
    <s v="Automation"/>
    <m/>
    <x v="1"/>
    <n v="0"/>
    <n v="0"/>
    <n v="0"/>
    <n v="1"/>
    <x v="56"/>
    <n v="15.5"/>
    <x v="1"/>
    <x v="5"/>
    <x v="4"/>
    <n v="2026"/>
  </r>
  <r>
    <s v="INT-00281"/>
    <x v="197"/>
    <x v="1"/>
    <x v="12"/>
    <x v="3"/>
    <s v="Customer 426"/>
    <s v="WhatsApp API"/>
    <m/>
    <x v="1"/>
    <n v="0"/>
    <n v="0"/>
    <n v="0"/>
    <n v="1"/>
    <x v="106"/>
    <n v="10.6"/>
    <x v="11"/>
    <x v="2"/>
    <x v="7"/>
    <n v="2026"/>
  </r>
  <r>
    <s v="INT-00282"/>
    <x v="77"/>
    <x v="0"/>
    <x v="4"/>
    <x v="0"/>
    <s v="Customer 631"/>
    <s v="CRM"/>
    <s v="Referral"/>
    <x v="3"/>
    <n v="1"/>
    <n v="16500"/>
    <n v="0"/>
    <m/>
    <x v="152"/>
    <m/>
    <x v="0"/>
    <x v="4"/>
    <x v="0"/>
    <n v="2026"/>
  </r>
  <r>
    <s v="INT-00283"/>
    <x v="51"/>
    <x v="0"/>
    <x v="6"/>
    <x v="0"/>
    <s v="Customer 443"/>
    <s v="WhatsApp API"/>
    <s v="Outbound"/>
    <x v="0"/>
    <n v="1"/>
    <n v="11600"/>
    <n v="11600"/>
    <m/>
    <x v="153"/>
    <m/>
    <x v="0"/>
    <x v="0"/>
    <x v="6"/>
    <n v="2025"/>
  </r>
  <r>
    <s v="INT-00284"/>
    <x v="166"/>
    <x v="0"/>
    <x v="7"/>
    <x v="1"/>
    <s v="Customer 349"/>
    <s v="CRM"/>
    <s v="Website"/>
    <x v="6"/>
    <n v="1"/>
    <n v="40500"/>
    <n v="0"/>
    <m/>
    <x v="143"/>
    <m/>
    <x v="0"/>
    <x v="8"/>
    <x v="10"/>
    <n v="2025"/>
  </r>
  <r>
    <s v="INT-00285"/>
    <x v="198"/>
    <x v="1"/>
    <x v="2"/>
    <x v="0"/>
    <s v="Customer 557"/>
    <s v="WhatsApp API"/>
    <m/>
    <x v="1"/>
    <n v="0"/>
    <n v="0"/>
    <n v="0"/>
    <n v="1"/>
    <x v="1"/>
    <n v="14.4"/>
    <x v="4"/>
    <x v="1"/>
    <x v="7"/>
    <n v="2026"/>
  </r>
  <r>
    <s v="INT-00286"/>
    <x v="199"/>
    <x v="0"/>
    <x v="6"/>
    <x v="0"/>
    <s v="Customer 614"/>
    <s v="WhatsApp API"/>
    <s v="Inbound"/>
    <x v="0"/>
    <n v="1"/>
    <n v="15300"/>
    <n v="15300"/>
    <m/>
    <x v="103"/>
    <m/>
    <x v="0"/>
    <x v="0"/>
    <x v="11"/>
    <n v="2026"/>
  </r>
  <r>
    <s v="INT-00287"/>
    <x v="200"/>
    <x v="0"/>
    <x v="6"/>
    <x v="3"/>
    <s v="Customer 700"/>
    <s v="Automation"/>
    <s v="Website"/>
    <x v="6"/>
    <n v="1"/>
    <n v="40800"/>
    <n v="0"/>
    <m/>
    <x v="154"/>
    <m/>
    <x v="0"/>
    <x v="8"/>
    <x v="9"/>
    <n v="2025"/>
  </r>
  <r>
    <s v="INT-00288"/>
    <x v="106"/>
    <x v="0"/>
    <x v="4"/>
    <x v="2"/>
    <s v="Customer 427"/>
    <s v="WhatsApp API"/>
    <s v="Inbound"/>
    <x v="4"/>
    <n v="1"/>
    <n v="52300"/>
    <n v="0"/>
    <m/>
    <x v="108"/>
    <m/>
    <x v="0"/>
    <x v="6"/>
    <x v="3"/>
    <n v="2026"/>
  </r>
  <r>
    <s v="INT-00289"/>
    <x v="166"/>
    <x v="0"/>
    <x v="10"/>
    <x v="0"/>
    <s v="Customer 468"/>
    <s v="CRM"/>
    <s v="Outbound"/>
    <x v="3"/>
    <n v="1"/>
    <n v="62300"/>
    <n v="0"/>
    <m/>
    <x v="155"/>
    <m/>
    <x v="0"/>
    <x v="4"/>
    <x v="10"/>
    <n v="2025"/>
  </r>
  <r>
    <s v="INT-00290"/>
    <x v="159"/>
    <x v="1"/>
    <x v="9"/>
    <x v="2"/>
    <s v="Customer 432"/>
    <s v="WhatsApp API"/>
    <m/>
    <x v="1"/>
    <n v="0"/>
    <n v="0"/>
    <n v="0"/>
    <n v="1"/>
    <x v="17"/>
    <n v="14.5"/>
    <x v="9"/>
    <x v="5"/>
    <x v="9"/>
    <n v="2025"/>
  </r>
  <r>
    <s v="INT-00291"/>
    <x v="201"/>
    <x v="0"/>
    <x v="13"/>
    <x v="3"/>
    <s v="Customer 495"/>
    <s v="CRM"/>
    <s v="Inbound"/>
    <x v="0"/>
    <n v="1"/>
    <n v="22800"/>
    <n v="22800"/>
    <m/>
    <x v="26"/>
    <m/>
    <x v="0"/>
    <x v="0"/>
    <x v="7"/>
    <n v="2026"/>
  </r>
  <r>
    <s v="INT-00292"/>
    <x v="124"/>
    <x v="0"/>
    <x v="5"/>
    <x v="2"/>
    <s v="Customer 663"/>
    <s v="CRM"/>
    <s v="Website"/>
    <x v="0"/>
    <n v="1"/>
    <n v="22900"/>
    <n v="22900"/>
    <m/>
    <x v="74"/>
    <m/>
    <x v="0"/>
    <x v="0"/>
    <x v="0"/>
    <n v="2026"/>
  </r>
  <r>
    <s v="INT-00293"/>
    <x v="202"/>
    <x v="1"/>
    <x v="8"/>
    <x v="0"/>
    <s v="Customer 540"/>
    <s v="CRM"/>
    <m/>
    <x v="1"/>
    <n v="0"/>
    <n v="0"/>
    <n v="0"/>
    <n v="1"/>
    <x v="103"/>
    <n v="28.5"/>
    <x v="11"/>
    <x v="9"/>
    <x v="5"/>
    <n v="2026"/>
  </r>
  <r>
    <s v="INT-00294"/>
    <x v="101"/>
    <x v="0"/>
    <x v="0"/>
    <x v="4"/>
    <s v="Customer 310"/>
    <s v="Automation"/>
    <s v="Inbound"/>
    <x v="2"/>
    <n v="1"/>
    <n v="14200"/>
    <n v="0"/>
    <m/>
    <x v="156"/>
    <m/>
    <x v="0"/>
    <x v="3"/>
    <x v="3"/>
    <n v="2026"/>
  </r>
  <r>
    <s v="INT-00295"/>
    <x v="114"/>
    <x v="0"/>
    <x v="13"/>
    <x v="0"/>
    <s v="Customer 158"/>
    <s v="WhatsApp API"/>
    <s v="Referral"/>
    <x v="6"/>
    <n v="1"/>
    <n v="9100"/>
    <n v="0"/>
    <m/>
    <x v="143"/>
    <m/>
    <x v="0"/>
    <x v="8"/>
    <x v="4"/>
    <n v="2026"/>
  </r>
  <r>
    <s v="INT-00296"/>
    <x v="203"/>
    <x v="0"/>
    <x v="5"/>
    <x v="4"/>
    <s v="Customer 466"/>
    <s v="CRM"/>
    <s v="Website"/>
    <x v="2"/>
    <n v="1"/>
    <n v="28200"/>
    <n v="0"/>
    <m/>
    <x v="37"/>
    <m/>
    <x v="0"/>
    <x v="3"/>
    <x v="4"/>
    <n v="2026"/>
  </r>
  <r>
    <s v="INT-00297"/>
    <x v="161"/>
    <x v="1"/>
    <x v="15"/>
    <x v="2"/>
    <s v="Customer 533"/>
    <s v="WhatsApp API"/>
    <m/>
    <x v="1"/>
    <n v="0"/>
    <n v="0"/>
    <n v="0"/>
    <n v="1"/>
    <x v="47"/>
    <n v="2.2000000000000002"/>
    <x v="5"/>
    <x v="1"/>
    <x v="3"/>
    <n v="2026"/>
  </r>
  <r>
    <s v="INT-00298"/>
    <x v="204"/>
    <x v="0"/>
    <x v="6"/>
    <x v="4"/>
    <s v="Customer 537"/>
    <s v="WhatsApp API"/>
    <s v="Inbound"/>
    <x v="6"/>
    <n v="1"/>
    <n v="14000"/>
    <n v="0"/>
    <m/>
    <x v="157"/>
    <m/>
    <x v="0"/>
    <x v="8"/>
    <x v="10"/>
    <n v="2025"/>
  </r>
  <r>
    <s v="INT-00299"/>
    <x v="205"/>
    <x v="1"/>
    <x v="8"/>
    <x v="4"/>
    <s v="Customer 168"/>
    <s v="CRM"/>
    <m/>
    <x v="1"/>
    <n v="0"/>
    <n v="0"/>
    <n v="0"/>
    <n v="1"/>
    <x v="158"/>
    <n v="4.5"/>
    <x v="10"/>
    <x v="5"/>
    <x v="2"/>
    <n v="2025"/>
  </r>
  <r>
    <s v="INT-00300"/>
    <x v="24"/>
    <x v="0"/>
    <x v="10"/>
    <x v="4"/>
    <s v="Customer 001"/>
    <s v="WhatsApp API"/>
    <s v="Inbound"/>
    <x v="3"/>
    <n v="1"/>
    <n v="6100"/>
    <n v="0"/>
    <m/>
    <x v="159"/>
    <m/>
    <x v="0"/>
    <x v="4"/>
    <x v="4"/>
    <n v="2026"/>
  </r>
  <r>
    <s v="INT-00301"/>
    <x v="188"/>
    <x v="0"/>
    <x v="7"/>
    <x v="4"/>
    <s v="Customer 182"/>
    <s v="CRM"/>
    <s v="Inbound"/>
    <x v="6"/>
    <n v="1"/>
    <n v="40700"/>
    <n v="0"/>
    <m/>
    <x v="160"/>
    <m/>
    <x v="0"/>
    <x v="8"/>
    <x v="5"/>
    <n v="2026"/>
  </r>
  <r>
    <s v="INT-00302"/>
    <x v="126"/>
    <x v="0"/>
    <x v="4"/>
    <x v="0"/>
    <s v="Customer 546"/>
    <s v="WhatsApp API"/>
    <s v="Referral"/>
    <x v="2"/>
    <n v="1"/>
    <n v="12800"/>
    <n v="0"/>
    <m/>
    <x v="4"/>
    <m/>
    <x v="0"/>
    <x v="3"/>
    <x v="4"/>
    <n v="2026"/>
  </r>
  <r>
    <s v="INT-00303"/>
    <x v="66"/>
    <x v="0"/>
    <x v="10"/>
    <x v="4"/>
    <s v="Customer 274"/>
    <s v="WhatsApp API"/>
    <s v="Inbound"/>
    <x v="4"/>
    <n v="1"/>
    <n v="25600"/>
    <n v="0"/>
    <m/>
    <x v="118"/>
    <m/>
    <x v="0"/>
    <x v="6"/>
    <x v="9"/>
    <n v="2025"/>
  </r>
  <r>
    <s v="INT-00304"/>
    <x v="206"/>
    <x v="1"/>
    <x v="15"/>
    <x v="2"/>
    <s v="Customer 137"/>
    <s v="Analytics"/>
    <m/>
    <x v="1"/>
    <n v="0"/>
    <n v="0"/>
    <n v="0"/>
    <n v="1"/>
    <x v="106"/>
    <n v="2.8"/>
    <x v="5"/>
    <x v="9"/>
    <x v="7"/>
    <n v="2026"/>
  </r>
  <r>
    <s v="INT-00305"/>
    <x v="207"/>
    <x v="1"/>
    <x v="15"/>
    <x v="1"/>
    <s v="Customer 621"/>
    <s v="CRM"/>
    <m/>
    <x v="1"/>
    <n v="0"/>
    <n v="0"/>
    <n v="0"/>
    <n v="1"/>
    <x v="47"/>
    <n v="14.9"/>
    <x v="17"/>
    <x v="2"/>
    <x v="8"/>
    <n v="2026"/>
  </r>
  <r>
    <s v="INT-00306"/>
    <x v="87"/>
    <x v="1"/>
    <x v="3"/>
    <x v="0"/>
    <s v="Customer 485"/>
    <s v="CRM"/>
    <m/>
    <x v="1"/>
    <n v="0"/>
    <n v="0"/>
    <n v="0"/>
    <n v="1"/>
    <x v="4"/>
    <n v="3.7"/>
    <x v="24"/>
    <x v="1"/>
    <x v="10"/>
    <n v="2025"/>
  </r>
  <r>
    <s v="INT-00307"/>
    <x v="112"/>
    <x v="0"/>
    <x v="0"/>
    <x v="1"/>
    <s v="Customer 130"/>
    <s v="CRM"/>
    <s v="Outbound"/>
    <x v="5"/>
    <n v="1"/>
    <n v="33500"/>
    <n v="0"/>
    <m/>
    <x v="115"/>
    <m/>
    <x v="0"/>
    <x v="7"/>
    <x v="2"/>
    <n v="2025"/>
  </r>
  <r>
    <s v="INT-00308"/>
    <x v="198"/>
    <x v="0"/>
    <x v="11"/>
    <x v="1"/>
    <s v="Customer 089"/>
    <s v="WhatsApp API"/>
    <s v="Partner"/>
    <x v="3"/>
    <n v="1"/>
    <n v="25400"/>
    <n v="0"/>
    <m/>
    <x v="116"/>
    <m/>
    <x v="0"/>
    <x v="4"/>
    <x v="7"/>
    <n v="2026"/>
  </r>
  <r>
    <s v="INT-00309"/>
    <x v="151"/>
    <x v="1"/>
    <x v="9"/>
    <x v="0"/>
    <s v="Customer 106"/>
    <s v="WhatsApp API"/>
    <m/>
    <x v="1"/>
    <n v="0"/>
    <n v="0"/>
    <n v="0"/>
    <n v="1"/>
    <x v="139"/>
    <n v="4"/>
    <x v="5"/>
    <x v="9"/>
    <x v="9"/>
    <n v="2025"/>
  </r>
  <r>
    <s v="INT-00310"/>
    <x v="140"/>
    <x v="0"/>
    <x v="0"/>
    <x v="0"/>
    <s v="Customer 467"/>
    <s v="Automation"/>
    <s v="Inbound"/>
    <x v="5"/>
    <n v="1"/>
    <n v="60200"/>
    <n v="0"/>
    <m/>
    <x v="125"/>
    <m/>
    <x v="0"/>
    <x v="7"/>
    <x v="0"/>
    <n v="2026"/>
  </r>
  <r>
    <s v="INT-00311"/>
    <x v="28"/>
    <x v="0"/>
    <x v="0"/>
    <x v="0"/>
    <s v="Customer 467"/>
    <s v="CRM"/>
    <s v="Referral"/>
    <x v="0"/>
    <n v="1"/>
    <n v="13100"/>
    <n v="13100"/>
    <m/>
    <x v="21"/>
    <m/>
    <x v="0"/>
    <x v="0"/>
    <x v="5"/>
    <n v="2026"/>
  </r>
  <r>
    <s v="INT-00312"/>
    <x v="208"/>
    <x v="0"/>
    <x v="10"/>
    <x v="1"/>
    <s v="Customer 592"/>
    <s v="WhatsApp API"/>
    <s v="Outbound"/>
    <x v="5"/>
    <n v="1"/>
    <n v="27800"/>
    <n v="0"/>
    <m/>
    <x v="138"/>
    <m/>
    <x v="0"/>
    <x v="7"/>
    <x v="0"/>
    <n v="2026"/>
  </r>
  <r>
    <s v="INT-00313"/>
    <x v="159"/>
    <x v="0"/>
    <x v="0"/>
    <x v="2"/>
    <s v="Customer 215"/>
    <s v="CRM"/>
    <s v="Referral"/>
    <x v="4"/>
    <n v="1"/>
    <n v="29900"/>
    <n v="0"/>
    <m/>
    <x v="45"/>
    <m/>
    <x v="0"/>
    <x v="6"/>
    <x v="9"/>
    <n v="2025"/>
  </r>
  <r>
    <s v="INT-00314"/>
    <x v="209"/>
    <x v="1"/>
    <x v="1"/>
    <x v="0"/>
    <s v="Customer 482"/>
    <s v="Automation"/>
    <m/>
    <x v="1"/>
    <n v="0"/>
    <n v="0"/>
    <n v="0"/>
    <n v="1"/>
    <x v="74"/>
    <n v="3.3"/>
    <x v="5"/>
    <x v="1"/>
    <x v="9"/>
    <n v="2025"/>
  </r>
  <r>
    <s v="INT-00315"/>
    <x v="58"/>
    <x v="1"/>
    <x v="2"/>
    <x v="1"/>
    <s v="Customer 112"/>
    <s v="Automation"/>
    <m/>
    <x v="1"/>
    <n v="0"/>
    <n v="0"/>
    <n v="0"/>
    <n v="1"/>
    <x v="80"/>
    <n v="8.1999999999999993"/>
    <x v="14"/>
    <x v="2"/>
    <x v="11"/>
    <n v="2026"/>
  </r>
  <r>
    <s v="INT-00316"/>
    <x v="116"/>
    <x v="1"/>
    <x v="14"/>
    <x v="4"/>
    <s v="Customer 387"/>
    <s v="CRM"/>
    <m/>
    <x v="1"/>
    <n v="0"/>
    <n v="0"/>
    <n v="0"/>
    <n v="1"/>
    <x v="161"/>
    <n v="14"/>
    <x v="23"/>
    <x v="5"/>
    <x v="5"/>
    <n v="2026"/>
  </r>
  <r>
    <s v="INT-00317"/>
    <x v="210"/>
    <x v="0"/>
    <x v="11"/>
    <x v="2"/>
    <s v="Customer 699"/>
    <s v="Automation"/>
    <s v="Outbound"/>
    <x v="5"/>
    <n v="1"/>
    <n v="12400"/>
    <n v="0"/>
    <m/>
    <x v="162"/>
    <m/>
    <x v="0"/>
    <x v="7"/>
    <x v="2"/>
    <n v="2025"/>
  </r>
  <r>
    <s v="INT-00318"/>
    <x v="169"/>
    <x v="0"/>
    <x v="10"/>
    <x v="0"/>
    <s v="Customer 024"/>
    <s v="WhatsApp API"/>
    <s v="Inbound"/>
    <x v="5"/>
    <n v="1"/>
    <n v="5000"/>
    <n v="0"/>
    <m/>
    <x v="2"/>
    <m/>
    <x v="0"/>
    <x v="7"/>
    <x v="11"/>
    <n v="2026"/>
  </r>
  <r>
    <s v="INT-00319"/>
    <x v="2"/>
    <x v="0"/>
    <x v="10"/>
    <x v="0"/>
    <s v="Customer 562"/>
    <s v="Automation"/>
    <s v="Inbound"/>
    <x v="0"/>
    <n v="1"/>
    <n v="23000"/>
    <n v="23000"/>
    <m/>
    <x v="97"/>
    <m/>
    <x v="0"/>
    <x v="0"/>
    <x v="2"/>
    <n v="2025"/>
  </r>
  <r>
    <s v="INT-00320"/>
    <x v="211"/>
    <x v="0"/>
    <x v="0"/>
    <x v="0"/>
    <s v="Customer 546"/>
    <s v="WhatsApp API"/>
    <s v="Inbound"/>
    <x v="6"/>
    <n v="1"/>
    <n v="28600"/>
    <n v="0"/>
    <m/>
    <x v="46"/>
    <m/>
    <x v="0"/>
    <x v="8"/>
    <x v="0"/>
    <n v="2026"/>
  </r>
  <r>
    <s v="INT-00321"/>
    <x v="129"/>
    <x v="0"/>
    <x v="0"/>
    <x v="4"/>
    <s v="Customer 550"/>
    <s v="CRM"/>
    <s v="Partner"/>
    <x v="3"/>
    <n v="1"/>
    <n v="46500"/>
    <n v="0"/>
    <m/>
    <x v="161"/>
    <m/>
    <x v="0"/>
    <x v="4"/>
    <x v="5"/>
    <n v="2026"/>
  </r>
  <r>
    <s v="INT-00322"/>
    <x v="12"/>
    <x v="1"/>
    <x v="8"/>
    <x v="0"/>
    <s v="Customer 022"/>
    <s v="Analytics"/>
    <m/>
    <x v="1"/>
    <n v="0"/>
    <n v="0"/>
    <n v="0"/>
    <n v="1"/>
    <x v="161"/>
    <n v="4.3"/>
    <x v="5"/>
    <x v="2"/>
    <x v="2"/>
    <n v="2025"/>
  </r>
  <r>
    <s v="INT-00323"/>
    <x v="212"/>
    <x v="1"/>
    <x v="14"/>
    <x v="3"/>
    <s v="Customer 482"/>
    <s v="WhatsApp API"/>
    <m/>
    <x v="1"/>
    <n v="0"/>
    <n v="0"/>
    <n v="0"/>
    <n v="1"/>
    <x v="141"/>
    <n v="12.4"/>
    <x v="19"/>
    <x v="2"/>
    <x v="3"/>
    <n v="2026"/>
  </r>
  <r>
    <s v="INT-00324"/>
    <x v="89"/>
    <x v="0"/>
    <x v="4"/>
    <x v="4"/>
    <s v="Customer 426"/>
    <s v="WhatsApp API"/>
    <s v="Inbound"/>
    <x v="4"/>
    <n v="1"/>
    <n v="20100"/>
    <n v="0"/>
    <m/>
    <x v="56"/>
    <m/>
    <x v="0"/>
    <x v="6"/>
    <x v="10"/>
    <n v="2025"/>
  </r>
  <r>
    <s v="INT-00325"/>
    <x v="120"/>
    <x v="1"/>
    <x v="8"/>
    <x v="0"/>
    <s v="Customer 422"/>
    <s v="CRM"/>
    <m/>
    <x v="1"/>
    <n v="0"/>
    <n v="0"/>
    <n v="0"/>
    <n v="1"/>
    <x v="114"/>
    <n v="12"/>
    <x v="13"/>
    <x v="2"/>
    <x v="7"/>
    <n v="2026"/>
  </r>
  <r>
    <s v="INT-00326"/>
    <x v="213"/>
    <x v="1"/>
    <x v="8"/>
    <x v="0"/>
    <s v="Customer 283"/>
    <s v="Automation"/>
    <m/>
    <x v="1"/>
    <n v="0"/>
    <n v="0"/>
    <n v="0"/>
    <n v="1"/>
    <x v="135"/>
    <n v="4.3"/>
    <x v="8"/>
    <x v="1"/>
    <x v="8"/>
    <n v="2026"/>
  </r>
  <r>
    <s v="INT-00327"/>
    <x v="110"/>
    <x v="1"/>
    <x v="15"/>
    <x v="0"/>
    <s v="Customer 599"/>
    <s v="CRM"/>
    <m/>
    <x v="1"/>
    <n v="0"/>
    <n v="0"/>
    <n v="0"/>
    <n v="1"/>
    <x v="31"/>
    <n v="5.5"/>
    <x v="5"/>
    <x v="2"/>
    <x v="11"/>
    <n v="2026"/>
  </r>
  <r>
    <s v="INT-00328"/>
    <x v="153"/>
    <x v="1"/>
    <x v="15"/>
    <x v="2"/>
    <s v="Customer 189"/>
    <s v="Analytics"/>
    <m/>
    <x v="1"/>
    <n v="0"/>
    <n v="0"/>
    <n v="0"/>
    <n v="1"/>
    <x v="163"/>
    <n v="7.6"/>
    <x v="13"/>
    <x v="5"/>
    <x v="0"/>
    <n v="2026"/>
  </r>
  <r>
    <s v="INT-00329"/>
    <x v="116"/>
    <x v="0"/>
    <x v="6"/>
    <x v="3"/>
    <s v="Customer 248"/>
    <s v="Automation"/>
    <s v="Partner"/>
    <x v="6"/>
    <n v="1"/>
    <n v="26100"/>
    <n v="0"/>
    <m/>
    <x v="99"/>
    <m/>
    <x v="0"/>
    <x v="8"/>
    <x v="5"/>
    <n v="2026"/>
  </r>
  <r>
    <s v="INT-00330"/>
    <x v="114"/>
    <x v="0"/>
    <x v="0"/>
    <x v="0"/>
    <s v="Customer 474"/>
    <s v="CRM"/>
    <s v="Website"/>
    <x v="5"/>
    <n v="1"/>
    <n v="22300"/>
    <n v="0"/>
    <m/>
    <x v="142"/>
    <m/>
    <x v="0"/>
    <x v="7"/>
    <x v="4"/>
    <n v="2026"/>
  </r>
  <r>
    <s v="INT-00331"/>
    <x v="6"/>
    <x v="0"/>
    <x v="0"/>
    <x v="0"/>
    <s v="Customer 411"/>
    <s v="Analytics"/>
    <s v="Partner"/>
    <x v="3"/>
    <n v="1"/>
    <n v="8100"/>
    <n v="0"/>
    <m/>
    <x v="164"/>
    <m/>
    <x v="0"/>
    <x v="4"/>
    <x v="5"/>
    <n v="2026"/>
  </r>
  <r>
    <s v="INT-00332"/>
    <x v="214"/>
    <x v="1"/>
    <x v="14"/>
    <x v="0"/>
    <s v="Customer 611"/>
    <s v="WhatsApp API"/>
    <m/>
    <x v="1"/>
    <n v="0"/>
    <n v="0"/>
    <n v="0"/>
    <n v="1"/>
    <x v="15"/>
    <n v="7.3"/>
    <x v="4"/>
    <x v="2"/>
    <x v="5"/>
    <n v="2026"/>
  </r>
  <r>
    <s v="INT-00333"/>
    <x v="215"/>
    <x v="0"/>
    <x v="5"/>
    <x v="1"/>
    <s v="Customer 158"/>
    <s v="Analytics"/>
    <s v="Website"/>
    <x v="2"/>
    <n v="1"/>
    <n v="43800"/>
    <n v="0"/>
    <m/>
    <x v="116"/>
    <m/>
    <x v="0"/>
    <x v="3"/>
    <x v="10"/>
    <n v="2025"/>
  </r>
  <r>
    <s v="INT-00334"/>
    <x v="216"/>
    <x v="0"/>
    <x v="7"/>
    <x v="1"/>
    <s v="Customer 278"/>
    <s v="CRM"/>
    <s v="Referral"/>
    <x v="3"/>
    <n v="1"/>
    <n v="25200"/>
    <n v="0"/>
    <m/>
    <x v="103"/>
    <m/>
    <x v="0"/>
    <x v="4"/>
    <x v="5"/>
    <n v="2026"/>
  </r>
  <r>
    <s v="INT-00335"/>
    <x v="198"/>
    <x v="0"/>
    <x v="10"/>
    <x v="0"/>
    <s v="Customer 528"/>
    <s v="WhatsApp API"/>
    <s v="Outbound"/>
    <x v="6"/>
    <n v="1"/>
    <n v="58500"/>
    <n v="0"/>
    <m/>
    <x v="128"/>
    <m/>
    <x v="0"/>
    <x v="8"/>
    <x v="7"/>
    <n v="2026"/>
  </r>
  <r>
    <s v="INT-00336"/>
    <x v="70"/>
    <x v="0"/>
    <x v="4"/>
    <x v="3"/>
    <s v="Customer 171"/>
    <s v="Analytics"/>
    <s v="Website"/>
    <x v="6"/>
    <n v="1"/>
    <n v="10500"/>
    <n v="0"/>
    <m/>
    <x v="22"/>
    <m/>
    <x v="0"/>
    <x v="8"/>
    <x v="10"/>
    <n v="2025"/>
  </r>
  <r>
    <s v="INT-00337"/>
    <x v="25"/>
    <x v="1"/>
    <x v="2"/>
    <x v="4"/>
    <s v="Customer 327"/>
    <s v="Automation"/>
    <m/>
    <x v="1"/>
    <n v="0"/>
    <n v="0"/>
    <n v="0"/>
    <n v="1"/>
    <x v="25"/>
    <n v="7.6"/>
    <x v="2"/>
    <x v="1"/>
    <x v="5"/>
    <n v="2026"/>
  </r>
  <r>
    <s v="INT-00338"/>
    <x v="139"/>
    <x v="1"/>
    <x v="14"/>
    <x v="0"/>
    <s v="Customer 129"/>
    <s v="CRM"/>
    <m/>
    <x v="1"/>
    <n v="0"/>
    <n v="0"/>
    <n v="0"/>
    <n v="1"/>
    <x v="16"/>
    <n v="4.9000000000000004"/>
    <x v="25"/>
    <x v="2"/>
    <x v="1"/>
    <n v="2026"/>
  </r>
  <r>
    <s v="INT-00339"/>
    <x v="217"/>
    <x v="0"/>
    <x v="11"/>
    <x v="0"/>
    <s v="Customer 391"/>
    <s v="WhatsApp API"/>
    <s v="Partner"/>
    <x v="3"/>
    <n v="1"/>
    <n v="36300"/>
    <n v="0"/>
    <m/>
    <x v="104"/>
    <m/>
    <x v="0"/>
    <x v="4"/>
    <x v="9"/>
    <n v="2025"/>
  </r>
  <r>
    <s v="INT-00340"/>
    <x v="129"/>
    <x v="0"/>
    <x v="13"/>
    <x v="0"/>
    <s v="Customer 069"/>
    <s v="Automation"/>
    <s v="Outbound"/>
    <x v="4"/>
    <n v="1"/>
    <n v="15900"/>
    <n v="0"/>
    <m/>
    <x v="51"/>
    <m/>
    <x v="0"/>
    <x v="6"/>
    <x v="5"/>
    <n v="2026"/>
  </r>
  <r>
    <s v="INT-00341"/>
    <x v="191"/>
    <x v="0"/>
    <x v="6"/>
    <x v="4"/>
    <s v="Customer 413"/>
    <s v="WhatsApp API"/>
    <s v="Outbound"/>
    <x v="0"/>
    <n v="1"/>
    <n v="126800"/>
    <n v="126800"/>
    <m/>
    <x v="137"/>
    <m/>
    <x v="0"/>
    <x v="0"/>
    <x v="6"/>
    <n v="2025"/>
  </r>
  <r>
    <s v="INT-00342"/>
    <x v="150"/>
    <x v="0"/>
    <x v="4"/>
    <x v="1"/>
    <s v="Customer 617"/>
    <s v="Automation"/>
    <s v="Referral"/>
    <x v="5"/>
    <n v="1"/>
    <n v="51800"/>
    <n v="0"/>
    <m/>
    <x v="165"/>
    <m/>
    <x v="0"/>
    <x v="7"/>
    <x v="1"/>
    <n v="2026"/>
  </r>
  <r>
    <s v="INT-00343"/>
    <x v="101"/>
    <x v="0"/>
    <x v="6"/>
    <x v="0"/>
    <s v="Customer 097"/>
    <s v="Automation"/>
    <s v="Partner"/>
    <x v="4"/>
    <n v="1"/>
    <n v="30100"/>
    <n v="0"/>
    <m/>
    <x v="166"/>
    <m/>
    <x v="0"/>
    <x v="6"/>
    <x v="3"/>
    <n v="2026"/>
  </r>
  <r>
    <s v="INT-00344"/>
    <x v="167"/>
    <x v="0"/>
    <x v="0"/>
    <x v="2"/>
    <s v="Customer 527"/>
    <s v="CRM"/>
    <s v="Website"/>
    <x v="2"/>
    <n v="1"/>
    <n v="14900"/>
    <n v="0"/>
    <m/>
    <x v="19"/>
    <m/>
    <x v="0"/>
    <x v="3"/>
    <x v="5"/>
    <n v="2026"/>
  </r>
  <r>
    <s v="INT-00345"/>
    <x v="218"/>
    <x v="0"/>
    <x v="11"/>
    <x v="0"/>
    <s v="Customer 601"/>
    <s v="CRM"/>
    <s v="Outbound"/>
    <x v="4"/>
    <n v="1"/>
    <n v="31900"/>
    <n v="0"/>
    <m/>
    <x v="132"/>
    <m/>
    <x v="0"/>
    <x v="6"/>
    <x v="5"/>
    <n v="2026"/>
  </r>
  <r>
    <s v="INT-00346"/>
    <x v="108"/>
    <x v="1"/>
    <x v="3"/>
    <x v="4"/>
    <s v="Customer 427"/>
    <s v="WhatsApp API"/>
    <m/>
    <x v="1"/>
    <n v="0"/>
    <n v="0"/>
    <n v="0"/>
    <n v="1"/>
    <x v="63"/>
    <n v="4.4000000000000004"/>
    <x v="18"/>
    <x v="2"/>
    <x v="9"/>
    <n v="2025"/>
  </r>
  <r>
    <s v="INT-00347"/>
    <x v="153"/>
    <x v="1"/>
    <x v="12"/>
    <x v="1"/>
    <s v="Customer 352"/>
    <s v="CRM"/>
    <m/>
    <x v="1"/>
    <n v="0"/>
    <n v="0"/>
    <n v="0"/>
    <n v="1"/>
    <x v="102"/>
    <n v="6"/>
    <x v="6"/>
    <x v="5"/>
    <x v="0"/>
    <n v="2026"/>
  </r>
  <r>
    <s v="INT-00348"/>
    <x v="219"/>
    <x v="0"/>
    <x v="13"/>
    <x v="0"/>
    <s v="Customer 341"/>
    <s v="CRM"/>
    <s v="Outbound"/>
    <x v="3"/>
    <n v="1"/>
    <n v="29100"/>
    <n v="0"/>
    <m/>
    <x v="115"/>
    <m/>
    <x v="0"/>
    <x v="4"/>
    <x v="10"/>
    <n v="2025"/>
  </r>
  <r>
    <s v="INT-00349"/>
    <x v="37"/>
    <x v="0"/>
    <x v="0"/>
    <x v="0"/>
    <s v="Customer 073"/>
    <s v="CRM"/>
    <s v="Website"/>
    <x v="5"/>
    <n v="1"/>
    <n v="34700"/>
    <n v="0"/>
    <m/>
    <x v="157"/>
    <m/>
    <x v="0"/>
    <x v="7"/>
    <x v="6"/>
    <n v="2025"/>
  </r>
  <r>
    <s v="INT-00350"/>
    <x v="21"/>
    <x v="1"/>
    <x v="3"/>
    <x v="1"/>
    <s v="Customer 265"/>
    <s v="CRM"/>
    <m/>
    <x v="1"/>
    <n v="0"/>
    <n v="0"/>
    <n v="0"/>
    <n v="1"/>
    <x v="148"/>
    <n v="4.3"/>
    <x v="8"/>
    <x v="1"/>
    <x v="6"/>
    <n v="2025"/>
  </r>
  <r>
    <s v="INT-00351"/>
    <x v="71"/>
    <x v="0"/>
    <x v="10"/>
    <x v="2"/>
    <s v="Customer 686"/>
    <s v="Automation"/>
    <s v="Referral"/>
    <x v="6"/>
    <n v="1"/>
    <n v="23800"/>
    <n v="0"/>
    <m/>
    <x v="55"/>
    <m/>
    <x v="0"/>
    <x v="8"/>
    <x v="0"/>
    <n v="2026"/>
  </r>
  <r>
    <s v="INT-00352"/>
    <x v="220"/>
    <x v="1"/>
    <x v="8"/>
    <x v="1"/>
    <s v="Customer 643"/>
    <s v="Automation"/>
    <m/>
    <x v="1"/>
    <n v="0"/>
    <n v="0"/>
    <n v="0"/>
    <n v="1"/>
    <x v="33"/>
    <n v="2.5"/>
    <x v="8"/>
    <x v="5"/>
    <x v="2"/>
    <n v="2025"/>
  </r>
  <r>
    <s v="INT-00353"/>
    <x v="221"/>
    <x v="1"/>
    <x v="12"/>
    <x v="2"/>
    <s v="Customer 129"/>
    <s v="CRM"/>
    <m/>
    <x v="1"/>
    <n v="0"/>
    <n v="0"/>
    <n v="0"/>
    <n v="1"/>
    <x v="112"/>
    <n v="17.7"/>
    <x v="26"/>
    <x v="2"/>
    <x v="5"/>
    <n v="2026"/>
  </r>
  <r>
    <s v="INT-00354"/>
    <x v="106"/>
    <x v="0"/>
    <x v="11"/>
    <x v="2"/>
    <s v="Customer 336"/>
    <s v="WhatsApp API"/>
    <s v="Website"/>
    <x v="6"/>
    <n v="1"/>
    <n v="5700"/>
    <n v="0"/>
    <m/>
    <x v="57"/>
    <m/>
    <x v="0"/>
    <x v="8"/>
    <x v="3"/>
    <n v="2026"/>
  </r>
  <r>
    <s v="INT-00355"/>
    <x v="209"/>
    <x v="0"/>
    <x v="7"/>
    <x v="0"/>
    <s v="Customer 575"/>
    <s v="Automation"/>
    <s v="Partner"/>
    <x v="5"/>
    <n v="1"/>
    <n v="11300"/>
    <n v="0"/>
    <m/>
    <x v="125"/>
    <m/>
    <x v="0"/>
    <x v="7"/>
    <x v="9"/>
    <n v="2025"/>
  </r>
  <r>
    <s v="INT-00356"/>
    <x v="222"/>
    <x v="1"/>
    <x v="2"/>
    <x v="4"/>
    <s v="Customer 590"/>
    <s v="Automation"/>
    <m/>
    <x v="1"/>
    <n v="0"/>
    <n v="0"/>
    <n v="0"/>
    <n v="1"/>
    <x v="27"/>
    <n v="1.2"/>
    <x v="27"/>
    <x v="2"/>
    <x v="6"/>
    <n v="2025"/>
  </r>
  <r>
    <s v="INT-00357"/>
    <x v="48"/>
    <x v="0"/>
    <x v="13"/>
    <x v="3"/>
    <s v="Customer 079"/>
    <s v="Automation"/>
    <s v="Referral"/>
    <x v="4"/>
    <n v="1"/>
    <n v="30300"/>
    <n v="0"/>
    <m/>
    <x v="85"/>
    <m/>
    <x v="0"/>
    <x v="6"/>
    <x v="0"/>
    <n v="2026"/>
  </r>
  <r>
    <s v="INT-00358"/>
    <x v="202"/>
    <x v="1"/>
    <x v="1"/>
    <x v="3"/>
    <s v="Customer 183"/>
    <s v="Automation"/>
    <m/>
    <x v="1"/>
    <n v="0"/>
    <n v="0"/>
    <n v="0"/>
    <n v="1"/>
    <x v="161"/>
    <n v="4.5999999999999996"/>
    <x v="15"/>
    <x v="1"/>
    <x v="5"/>
    <n v="2026"/>
  </r>
  <r>
    <s v="INT-00359"/>
    <x v="223"/>
    <x v="1"/>
    <x v="1"/>
    <x v="0"/>
    <s v="Customer 192"/>
    <s v="CRM"/>
    <m/>
    <x v="1"/>
    <n v="0"/>
    <n v="0"/>
    <n v="0"/>
    <n v="1"/>
    <x v="8"/>
    <n v="16.399999999999999"/>
    <x v="19"/>
    <x v="2"/>
    <x v="0"/>
    <n v="2026"/>
  </r>
  <r>
    <s v="INT-00360"/>
    <x v="224"/>
    <x v="1"/>
    <x v="14"/>
    <x v="4"/>
    <s v="Customer 019"/>
    <s v="CRM"/>
    <m/>
    <x v="1"/>
    <n v="0"/>
    <n v="0"/>
    <n v="0"/>
    <n v="1"/>
    <x v="108"/>
    <n v="4.8"/>
    <x v="1"/>
    <x v="9"/>
    <x v="2"/>
    <n v="2025"/>
  </r>
  <r>
    <s v="INT-00361"/>
    <x v="225"/>
    <x v="0"/>
    <x v="13"/>
    <x v="0"/>
    <s v="Customer 378"/>
    <s v="WhatsApp API"/>
    <s v="Website"/>
    <x v="0"/>
    <n v="1"/>
    <n v="14300"/>
    <n v="14300"/>
    <m/>
    <x v="23"/>
    <m/>
    <x v="0"/>
    <x v="0"/>
    <x v="3"/>
    <n v="2026"/>
  </r>
  <r>
    <s v="INT-00362"/>
    <x v="55"/>
    <x v="1"/>
    <x v="2"/>
    <x v="1"/>
    <s v="Customer 422"/>
    <s v="Analytics"/>
    <m/>
    <x v="1"/>
    <n v="0"/>
    <n v="0"/>
    <n v="0"/>
    <n v="1"/>
    <x v="167"/>
    <n v="3.6"/>
    <x v="7"/>
    <x v="9"/>
    <x v="3"/>
    <n v="2026"/>
  </r>
  <r>
    <s v="INT-00363"/>
    <x v="22"/>
    <x v="0"/>
    <x v="6"/>
    <x v="4"/>
    <s v="Customer 238"/>
    <s v="Automation"/>
    <s v="Inbound"/>
    <x v="3"/>
    <n v="1"/>
    <n v="11200"/>
    <n v="0"/>
    <m/>
    <x v="115"/>
    <m/>
    <x v="0"/>
    <x v="4"/>
    <x v="1"/>
    <n v="2026"/>
  </r>
  <r>
    <s v="INT-00364"/>
    <x v="134"/>
    <x v="0"/>
    <x v="6"/>
    <x v="4"/>
    <s v="Customer 516"/>
    <s v="WhatsApp API"/>
    <s v="Inbound"/>
    <x v="0"/>
    <n v="1"/>
    <n v="23300"/>
    <n v="23300"/>
    <m/>
    <x v="54"/>
    <m/>
    <x v="0"/>
    <x v="0"/>
    <x v="8"/>
    <n v="2026"/>
  </r>
  <r>
    <s v="INT-00365"/>
    <x v="7"/>
    <x v="1"/>
    <x v="12"/>
    <x v="2"/>
    <s v="Customer 447"/>
    <s v="WhatsApp API"/>
    <m/>
    <x v="1"/>
    <n v="0"/>
    <n v="0"/>
    <n v="0"/>
    <n v="1"/>
    <x v="48"/>
    <n v="1.9"/>
    <x v="4"/>
    <x v="5"/>
    <x v="3"/>
    <n v="2026"/>
  </r>
  <r>
    <s v="INT-00366"/>
    <x v="66"/>
    <x v="0"/>
    <x v="5"/>
    <x v="1"/>
    <s v="Customer 112"/>
    <s v="WhatsApp API"/>
    <s v="Website"/>
    <x v="4"/>
    <n v="1"/>
    <n v="28800"/>
    <n v="0"/>
    <m/>
    <x v="132"/>
    <m/>
    <x v="0"/>
    <x v="6"/>
    <x v="9"/>
    <n v="2025"/>
  </r>
  <r>
    <s v="INT-00367"/>
    <x v="226"/>
    <x v="1"/>
    <x v="1"/>
    <x v="0"/>
    <s v="Customer 661"/>
    <s v="CRM"/>
    <m/>
    <x v="1"/>
    <n v="0"/>
    <n v="0"/>
    <n v="0"/>
    <n v="1"/>
    <x v="168"/>
    <n v="12.6"/>
    <x v="14"/>
    <x v="2"/>
    <x v="0"/>
    <n v="2026"/>
  </r>
  <r>
    <s v="INT-00368"/>
    <x v="22"/>
    <x v="1"/>
    <x v="14"/>
    <x v="0"/>
    <s v="Customer 556"/>
    <s v="CRM"/>
    <m/>
    <x v="1"/>
    <n v="0"/>
    <n v="0"/>
    <n v="0"/>
    <n v="1"/>
    <x v="169"/>
    <n v="6.2"/>
    <x v="14"/>
    <x v="9"/>
    <x v="1"/>
    <n v="2026"/>
  </r>
  <r>
    <s v="INT-00369"/>
    <x v="95"/>
    <x v="0"/>
    <x v="0"/>
    <x v="0"/>
    <s v="Customer 248"/>
    <s v="CRM"/>
    <s v="Referral"/>
    <x v="2"/>
    <n v="1"/>
    <n v="12500"/>
    <n v="0"/>
    <m/>
    <x v="75"/>
    <m/>
    <x v="0"/>
    <x v="3"/>
    <x v="6"/>
    <n v="2025"/>
  </r>
  <r>
    <s v="INT-00370"/>
    <x v="227"/>
    <x v="0"/>
    <x v="7"/>
    <x v="1"/>
    <s v="Customer 298"/>
    <s v="Automation"/>
    <s v="Inbound"/>
    <x v="2"/>
    <n v="1"/>
    <n v="20000"/>
    <n v="0"/>
    <m/>
    <x v="170"/>
    <m/>
    <x v="0"/>
    <x v="3"/>
    <x v="4"/>
    <n v="2026"/>
  </r>
  <r>
    <s v="INT-00371"/>
    <x v="108"/>
    <x v="0"/>
    <x v="10"/>
    <x v="0"/>
    <s v="Customer 057"/>
    <s v="WhatsApp API"/>
    <s v="Outbound"/>
    <x v="0"/>
    <n v="1"/>
    <n v="36400"/>
    <n v="36400"/>
    <m/>
    <x v="12"/>
    <m/>
    <x v="0"/>
    <x v="0"/>
    <x v="9"/>
    <n v="2025"/>
  </r>
  <r>
    <s v="INT-00372"/>
    <x v="201"/>
    <x v="0"/>
    <x v="10"/>
    <x v="0"/>
    <s v="Customer 226"/>
    <s v="WhatsApp API"/>
    <s v="Outbound"/>
    <x v="4"/>
    <n v="1"/>
    <n v="23200"/>
    <n v="0"/>
    <m/>
    <x v="111"/>
    <m/>
    <x v="0"/>
    <x v="6"/>
    <x v="7"/>
    <n v="2026"/>
  </r>
  <r>
    <s v="INT-00373"/>
    <x v="228"/>
    <x v="0"/>
    <x v="10"/>
    <x v="4"/>
    <s v="Customer 542"/>
    <s v="WhatsApp API"/>
    <s v="Inbound"/>
    <x v="5"/>
    <n v="1"/>
    <n v="25300"/>
    <n v="0"/>
    <m/>
    <x v="171"/>
    <m/>
    <x v="0"/>
    <x v="7"/>
    <x v="2"/>
    <n v="2025"/>
  </r>
  <r>
    <s v="INT-00374"/>
    <x v="151"/>
    <x v="1"/>
    <x v="8"/>
    <x v="2"/>
    <s v="Customer 042"/>
    <s v="Automation"/>
    <m/>
    <x v="1"/>
    <n v="0"/>
    <n v="0"/>
    <n v="0"/>
    <n v="1"/>
    <x v="172"/>
    <n v="4.8"/>
    <x v="26"/>
    <x v="2"/>
    <x v="9"/>
    <n v="2025"/>
  </r>
  <r>
    <s v="INT-00375"/>
    <x v="229"/>
    <x v="0"/>
    <x v="4"/>
    <x v="3"/>
    <s v="Customer 530"/>
    <s v="CRM"/>
    <s v="Outbound"/>
    <x v="3"/>
    <n v="1"/>
    <n v="11900"/>
    <n v="0"/>
    <m/>
    <x v="27"/>
    <m/>
    <x v="0"/>
    <x v="4"/>
    <x v="3"/>
    <n v="2026"/>
  </r>
  <r>
    <s v="INT-00376"/>
    <x v="230"/>
    <x v="0"/>
    <x v="6"/>
    <x v="1"/>
    <s v="Customer 698"/>
    <s v="Analytics"/>
    <s v="Website"/>
    <x v="0"/>
    <n v="1"/>
    <n v="51400"/>
    <n v="51400"/>
    <m/>
    <x v="120"/>
    <m/>
    <x v="0"/>
    <x v="0"/>
    <x v="8"/>
    <n v="2026"/>
  </r>
  <r>
    <s v="INT-00377"/>
    <x v="109"/>
    <x v="1"/>
    <x v="15"/>
    <x v="2"/>
    <s v="Customer 282"/>
    <s v="WhatsApp API"/>
    <m/>
    <x v="1"/>
    <n v="0"/>
    <n v="0"/>
    <n v="0"/>
    <n v="1"/>
    <x v="2"/>
    <n v="19.100000000000001"/>
    <x v="4"/>
    <x v="2"/>
    <x v="3"/>
    <n v="2026"/>
  </r>
  <r>
    <s v="INT-00378"/>
    <x v="163"/>
    <x v="0"/>
    <x v="13"/>
    <x v="0"/>
    <s v="Customer 169"/>
    <s v="Automation"/>
    <s v="Outbound"/>
    <x v="2"/>
    <n v="1"/>
    <n v="30800"/>
    <n v="0"/>
    <m/>
    <x v="156"/>
    <m/>
    <x v="0"/>
    <x v="3"/>
    <x v="9"/>
    <n v="2025"/>
  </r>
  <r>
    <s v="INT-00379"/>
    <x v="63"/>
    <x v="1"/>
    <x v="1"/>
    <x v="0"/>
    <s v="Customer 577"/>
    <s v="CRM"/>
    <m/>
    <x v="1"/>
    <n v="0"/>
    <n v="0"/>
    <n v="0"/>
    <n v="1"/>
    <x v="57"/>
    <n v="6.3"/>
    <x v="13"/>
    <x v="2"/>
    <x v="4"/>
    <n v="2026"/>
  </r>
  <r>
    <s v="INT-00380"/>
    <x v="165"/>
    <x v="0"/>
    <x v="5"/>
    <x v="0"/>
    <s v="Customer 487"/>
    <s v="Analytics"/>
    <s v="Inbound"/>
    <x v="2"/>
    <n v="1"/>
    <n v="14200"/>
    <n v="0"/>
    <m/>
    <x v="89"/>
    <m/>
    <x v="0"/>
    <x v="3"/>
    <x v="0"/>
    <n v="2026"/>
  </r>
  <r>
    <s v="INT-00381"/>
    <x v="231"/>
    <x v="0"/>
    <x v="10"/>
    <x v="1"/>
    <s v="Customer 353"/>
    <s v="WhatsApp API"/>
    <s v="Outbound"/>
    <x v="0"/>
    <n v="1"/>
    <n v="46400"/>
    <n v="46400"/>
    <m/>
    <x v="18"/>
    <m/>
    <x v="0"/>
    <x v="0"/>
    <x v="2"/>
    <n v="2025"/>
  </r>
  <r>
    <s v="INT-00382"/>
    <x v="232"/>
    <x v="1"/>
    <x v="3"/>
    <x v="0"/>
    <s v="Customer 226"/>
    <s v="WhatsApp API"/>
    <m/>
    <x v="1"/>
    <n v="0"/>
    <n v="0"/>
    <n v="0"/>
    <n v="1"/>
    <x v="48"/>
    <n v="3.7"/>
    <x v="5"/>
    <x v="2"/>
    <x v="10"/>
    <n v="2025"/>
  </r>
  <r>
    <s v="INT-00383"/>
    <x v="89"/>
    <x v="1"/>
    <x v="15"/>
    <x v="1"/>
    <s v="Customer 307"/>
    <s v="CRM"/>
    <m/>
    <x v="1"/>
    <n v="0"/>
    <n v="0"/>
    <n v="0"/>
    <n v="1"/>
    <x v="17"/>
    <n v="2.6"/>
    <x v="6"/>
    <x v="2"/>
    <x v="10"/>
    <n v="2025"/>
  </r>
  <r>
    <s v="INT-00384"/>
    <x v="66"/>
    <x v="1"/>
    <x v="9"/>
    <x v="0"/>
    <s v="Customer 004"/>
    <s v="WhatsApp API"/>
    <m/>
    <x v="1"/>
    <n v="0"/>
    <n v="0"/>
    <n v="0"/>
    <n v="1"/>
    <x v="135"/>
    <n v="8.6999999999999993"/>
    <x v="14"/>
    <x v="1"/>
    <x v="9"/>
    <n v="2025"/>
  </r>
  <r>
    <s v="INT-00385"/>
    <x v="233"/>
    <x v="1"/>
    <x v="8"/>
    <x v="1"/>
    <s v="Customer 658"/>
    <s v="Analytics"/>
    <m/>
    <x v="1"/>
    <n v="0"/>
    <n v="0"/>
    <n v="0"/>
    <n v="1"/>
    <x v="53"/>
    <n v="4.5"/>
    <x v="5"/>
    <x v="2"/>
    <x v="9"/>
    <n v="2025"/>
  </r>
  <r>
    <s v="INT-00386"/>
    <x v="234"/>
    <x v="1"/>
    <x v="1"/>
    <x v="0"/>
    <s v="Customer 207"/>
    <s v="CRM"/>
    <m/>
    <x v="1"/>
    <n v="0"/>
    <n v="0"/>
    <n v="0"/>
    <n v="1"/>
    <x v="112"/>
    <n v="2.2000000000000002"/>
    <x v="1"/>
    <x v="2"/>
    <x v="8"/>
    <n v="2026"/>
  </r>
  <r>
    <s v="INT-00387"/>
    <x v="79"/>
    <x v="0"/>
    <x v="7"/>
    <x v="0"/>
    <s v="Customer 251"/>
    <s v="WhatsApp API"/>
    <s v="Website"/>
    <x v="0"/>
    <n v="1"/>
    <n v="35500"/>
    <n v="35500"/>
    <m/>
    <x v="49"/>
    <m/>
    <x v="0"/>
    <x v="0"/>
    <x v="0"/>
    <n v="2026"/>
  </r>
  <r>
    <s v="INT-00388"/>
    <x v="8"/>
    <x v="0"/>
    <x v="0"/>
    <x v="2"/>
    <s v="Customer 247"/>
    <s v="WhatsApp API"/>
    <s v="Inbound"/>
    <x v="5"/>
    <n v="1"/>
    <n v="6500"/>
    <n v="0"/>
    <m/>
    <x v="74"/>
    <m/>
    <x v="0"/>
    <x v="7"/>
    <x v="6"/>
    <n v="2025"/>
  </r>
  <r>
    <s v="INT-00389"/>
    <x v="215"/>
    <x v="1"/>
    <x v="1"/>
    <x v="1"/>
    <s v="Customer 689"/>
    <s v="WhatsApp API"/>
    <m/>
    <x v="1"/>
    <n v="0"/>
    <n v="0"/>
    <n v="0"/>
    <n v="1"/>
    <x v="49"/>
    <n v="22.8"/>
    <x v="18"/>
    <x v="1"/>
    <x v="10"/>
    <n v="2025"/>
  </r>
  <r>
    <s v="INT-00390"/>
    <x v="235"/>
    <x v="1"/>
    <x v="12"/>
    <x v="2"/>
    <s v="Customer 114"/>
    <s v="Analytics"/>
    <m/>
    <x v="1"/>
    <n v="0"/>
    <n v="0"/>
    <n v="0"/>
    <n v="1"/>
    <x v="13"/>
    <n v="9.5"/>
    <x v="9"/>
    <x v="2"/>
    <x v="5"/>
    <n v="2026"/>
  </r>
  <r>
    <s v="INT-00391"/>
    <x v="236"/>
    <x v="1"/>
    <x v="9"/>
    <x v="4"/>
    <s v="Customer 207"/>
    <s v="Analytics"/>
    <m/>
    <x v="1"/>
    <n v="0"/>
    <n v="0"/>
    <n v="0"/>
    <n v="1"/>
    <x v="147"/>
    <n v="2.2000000000000002"/>
    <x v="1"/>
    <x v="1"/>
    <x v="8"/>
    <n v="2026"/>
  </r>
  <r>
    <s v="INT-00392"/>
    <x v="37"/>
    <x v="0"/>
    <x v="10"/>
    <x v="0"/>
    <s v="Customer 062"/>
    <s v="Automation"/>
    <s v="Inbound"/>
    <x v="2"/>
    <n v="1"/>
    <n v="14100"/>
    <n v="0"/>
    <m/>
    <x v="111"/>
    <m/>
    <x v="0"/>
    <x v="3"/>
    <x v="6"/>
    <n v="2025"/>
  </r>
  <r>
    <s v="INT-00393"/>
    <x v="237"/>
    <x v="0"/>
    <x v="6"/>
    <x v="1"/>
    <s v="Customer 055"/>
    <s v="CRM"/>
    <s v="Outbound"/>
    <x v="3"/>
    <n v="1"/>
    <n v="15300"/>
    <n v="0"/>
    <m/>
    <x v="169"/>
    <m/>
    <x v="0"/>
    <x v="4"/>
    <x v="6"/>
    <n v="2025"/>
  </r>
  <r>
    <s v="INT-00394"/>
    <x v="66"/>
    <x v="1"/>
    <x v="2"/>
    <x v="2"/>
    <s v="Customer 444"/>
    <s v="CRM"/>
    <m/>
    <x v="1"/>
    <n v="0"/>
    <n v="0"/>
    <n v="0"/>
    <n v="1"/>
    <x v="173"/>
    <n v="14"/>
    <x v="12"/>
    <x v="2"/>
    <x v="9"/>
    <n v="2025"/>
  </r>
  <r>
    <s v="INT-00395"/>
    <x v="9"/>
    <x v="0"/>
    <x v="13"/>
    <x v="0"/>
    <s v="Customer 145"/>
    <s v="CRM"/>
    <s v="Inbound"/>
    <x v="2"/>
    <n v="1"/>
    <n v="20900"/>
    <n v="0"/>
    <m/>
    <x v="134"/>
    <m/>
    <x v="0"/>
    <x v="3"/>
    <x v="0"/>
    <n v="2026"/>
  </r>
  <r>
    <s v="INT-00396"/>
    <x v="238"/>
    <x v="1"/>
    <x v="14"/>
    <x v="0"/>
    <s v="Customer 609"/>
    <s v="WhatsApp API"/>
    <m/>
    <x v="1"/>
    <n v="0"/>
    <n v="0"/>
    <n v="0"/>
    <n v="1"/>
    <x v="49"/>
    <n v="1.6"/>
    <x v="9"/>
    <x v="1"/>
    <x v="11"/>
    <n v="2026"/>
  </r>
  <r>
    <s v="INT-00397"/>
    <x v="224"/>
    <x v="1"/>
    <x v="1"/>
    <x v="0"/>
    <s v="Customer 533"/>
    <s v="Analytics"/>
    <m/>
    <x v="1"/>
    <n v="0"/>
    <n v="0"/>
    <n v="0"/>
    <n v="1"/>
    <x v="174"/>
    <n v="1"/>
    <x v="11"/>
    <x v="2"/>
    <x v="2"/>
    <n v="2025"/>
  </r>
  <r>
    <s v="INT-00398"/>
    <x v="239"/>
    <x v="0"/>
    <x v="11"/>
    <x v="0"/>
    <s v="Customer 530"/>
    <s v="CRM"/>
    <s v="Inbound"/>
    <x v="2"/>
    <n v="1"/>
    <n v="33800"/>
    <n v="0"/>
    <m/>
    <x v="175"/>
    <m/>
    <x v="0"/>
    <x v="3"/>
    <x v="7"/>
    <n v="2026"/>
  </r>
  <r>
    <s v="INT-00399"/>
    <x v="130"/>
    <x v="1"/>
    <x v="8"/>
    <x v="0"/>
    <s v="Customer 552"/>
    <s v="Automation"/>
    <m/>
    <x v="1"/>
    <n v="0"/>
    <n v="0"/>
    <n v="0"/>
    <n v="1"/>
    <x v="46"/>
    <n v="6.3"/>
    <x v="5"/>
    <x v="2"/>
    <x v="1"/>
    <n v="2026"/>
  </r>
  <r>
    <s v="INT-00400"/>
    <x v="32"/>
    <x v="1"/>
    <x v="15"/>
    <x v="1"/>
    <s v="Customer 509"/>
    <s v="Analytics"/>
    <m/>
    <x v="1"/>
    <n v="0"/>
    <n v="0"/>
    <n v="0"/>
    <n v="1"/>
    <x v="91"/>
    <n v="16.600000000000001"/>
    <x v="5"/>
    <x v="1"/>
    <x v="2"/>
    <n v="2025"/>
  </r>
  <r>
    <s v="INT-00401"/>
    <x v="240"/>
    <x v="0"/>
    <x v="11"/>
    <x v="0"/>
    <s v="Customer 258"/>
    <s v="Automation"/>
    <s v="Referral"/>
    <x v="6"/>
    <n v="1"/>
    <n v="30800"/>
    <n v="0"/>
    <m/>
    <x v="72"/>
    <m/>
    <x v="0"/>
    <x v="8"/>
    <x v="11"/>
    <n v="2026"/>
  </r>
  <r>
    <s v="INT-00402"/>
    <x v="241"/>
    <x v="1"/>
    <x v="2"/>
    <x v="0"/>
    <s v="Customer 196"/>
    <s v="CRM"/>
    <m/>
    <x v="1"/>
    <n v="0"/>
    <n v="0"/>
    <n v="0"/>
    <n v="1"/>
    <x v="40"/>
    <n v="6"/>
    <x v="1"/>
    <x v="2"/>
    <x v="5"/>
    <n v="2026"/>
  </r>
  <r>
    <s v="INT-00403"/>
    <x v="188"/>
    <x v="0"/>
    <x v="0"/>
    <x v="4"/>
    <s v="Customer 529"/>
    <s v="CRM"/>
    <s v="Website"/>
    <x v="2"/>
    <n v="1"/>
    <n v="14000"/>
    <n v="0"/>
    <m/>
    <x v="114"/>
    <m/>
    <x v="0"/>
    <x v="3"/>
    <x v="5"/>
    <n v="2026"/>
  </r>
  <r>
    <s v="INT-00404"/>
    <x v="242"/>
    <x v="1"/>
    <x v="3"/>
    <x v="0"/>
    <s v="Customer 700"/>
    <s v="WhatsApp API"/>
    <m/>
    <x v="1"/>
    <n v="0"/>
    <n v="0"/>
    <n v="0"/>
    <n v="1"/>
    <x v="118"/>
    <n v="3.9"/>
    <x v="5"/>
    <x v="2"/>
    <x v="8"/>
    <n v="2026"/>
  </r>
  <r>
    <s v="INT-00405"/>
    <x v="15"/>
    <x v="0"/>
    <x v="7"/>
    <x v="4"/>
    <s v="Customer 047"/>
    <s v="WhatsApp API"/>
    <s v="Inbound"/>
    <x v="4"/>
    <n v="1"/>
    <n v="31900"/>
    <n v="0"/>
    <m/>
    <x v="176"/>
    <m/>
    <x v="0"/>
    <x v="6"/>
    <x v="10"/>
    <n v="2025"/>
  </r>
  <r>
    <s v="INT-00406"/>
    <x v="146"/>
    <x v="1"/>
    <x v="1"/>
    <x v="2"/>
    <s v="Customer 082"/>
    <s v="WhatsApp API"/>
    <m/>
    <x v="1"/>
    <n v="0"/>
    <n v="0"/>
    <n v="0"/>
    <n v="1"/>
    <x v="169"/>
    <n v="3.6"/>
    <x v="14"/>
    <x v="2"/>
    <x v="9"/>
    <n v="2025"/>
  </r>
  <r>
    <s v="INT-00407"/>
    <x v="243"/>
    <x v="0"/>
    <x v="7"/>
    <x v="0"/>
    <s v="Customer 255"/>
    <s v="CRM"/>
    <s v="Partner"/>
    <x v="2"/>
    <n v="1"/>
    <n v="72800"/>
    <n v="0"/>
    <m/>
    <x v="133"/>
    <m/>
    <x v="0"/>
    <x v="3"/>
    <x v="5"/>
    <n v="2026"/>
  </r>
  <r>
    <s v="INT-00408"/>
    <x v="244"/>
    <x v="0"/>
    <x v="11"/>
    <x v="0"/>
    <s v="Customer 150"/>
    <s v="Automation"/>
    <s v="Inbound"/>
    <x v="3"/>
    <n v="1"/>
    <n v="19900"/>
    <n v="0"/>
    <m/>
    <x v="177"/>
    <m/>
    <x v="0"/>
    <x v="4"/>
    <x v="5"/>
    <n v="2026"/>
  </r>
  <r>
    <s v="INT-00409"/>
    <x v="214"/>
    <x v="1"/>
    <x v="3"/>
    <x v="0"/>
    <s v="Customer 618"/>
    <s v="Automation"/>
    <m/>
    <x v="1"/>
    <n v="0"/>
    <n v="0"/>
    <n v="0"/>
    <n v="1"/>
    <x v="178"/>
    <n v="7.8"/>
    <x v="11"/>
    <x v="1"/>
    <x v="5"/>
    <n v="2026"/>
  </r>
  <r>
    <s v="INT-00410"/>
    <x v="119"/>
    <x v="0"/>
    <x v="11"/>
    <x v="3"/>
    <s v="Customer 196"/>
    <s v="Automation"/>
    <s v="Referral"/>
    <x v="4"/>
    <n v="1"/>
    <n v="72900"/>
    <n v="0"/>
    <m/>
    <x v="4"/>
    <m/>
    <x v="0"/>
    <x v="6"/>
    <x v="10"/>
    <n v="2025"/>
  </r>
  <r>
    <s v="INT-00411"/>
    <x v="245"/>
    <x v="0"/>
    <x v="0"/>
    <x v="0"/>
    <s v="Customer 498"/>
    <s v="CRM"/>
    <s v="Partner"/>
    <x v="2"/>
    <n v="1"/>
    <n v="45200"/>
    <n v="0"/>
    <m/>
    <x v="161"/>
    <m/>
    <x v="0"/>
    <x v="3"/>
    <x v="10"/>
    <n v="2025"/>
  </r>
  <r>
    <s v="INT-00412"/>
    <x v="246"/>
    <x v="1"/>
    <x v="8"/>
    <x v="0"/>
    <s v="Customer 074"/>
    <s v="CRM"/>
    <m/>
    <x v="1"/>
    <n v="0"/>
    <n v="0"/>
    <n v="0"/>
    <n v="1"/>
    <x v="34"/>
    <n v="16.2"/>
    <x v="23"/>
    <x v="5"/>
    <x v="9"/>
    <n v="2025"/>
  </r>
  <r>
    <s v="INT-00413"/>
    <x v="193"/>
    <x v="1"/>
    <x v="12"/>
    <x v="0"/>
    <s v="Customer 600"/>
    <s v="CRM"/>
    <m/>
    <x v="1"/>
    <n v="0"/>
    <n v="0"/>
    <n v="0"/>
    <n v="1"/>
    <x v="179"/>
    <n v="3.5"/>
    <x v="17"/>
    <x v="1"/>
    <x v="9"/>
    <n v="2025"/>
  </r>
  <r>
    <s v="INT-00414"/>
    <x v="247"/>
    <x v="1"/>
    <x v="1"/>
    <x v="3"/>
    <s v="Customer 259"/>
    <s v="CRM"/>
    <m/>
    <x v="1"/>
    <n v="0"/>
    <n v="0"/>
    <n v="0"/>
    <n v="1"/>
    <x v="121"/>
    <n v="3.5"/>
    <x v="14"/>
    <x v="5"/>
    <x v="3"/>
    <n v="2026"/>
  </r>
  <r>
    <s v="INT-00415"/>
    <x v="180"/>
    <x v="1"/>
    <x v="8"/>
    <x v="0"/>
    <s v="Customer 141"/>
    <s v="WhatsApp API"/>
    <m/>
    <x v="1"/>
    <n v="0"/>
    <n v="0"/>
    <n v="0"/>
    <n v="1"/>
    <x v="103"/>
    <n v="11.2"/>
    <x v="12"/>
    <x v="1"/>
    <x v="1"/>
    <n v="2026"/>
  </r>
  <r>
    <s v="INT-00416"/>
    <x v="248"/>
    <x v="0"/>
    <x v="7"/>
    <x v="0"/>
    <s v="Customer 348"/>
    <s v="WhatsApp API"/>
    <s v="Website"/>
    <x v="3"/>
    <n v="1"/>
    <n v="8500"/>
    <n v="0"/>
    <m/>
    <x v="6"/>
    <m/>
    <x v="0"/>
    <x v="4"/>
    <x v="2"/>
    <n v="2025"/>
  </r>
  <r>
    <s v="INT-00417"/>
    <x v="86"/>
    <x v="0"/>
    <x v="11"/>
    <x v="3"/>
    <s v="Customer 615"/>
    <s v="CRM"/>
    <s v="Inbound"/>
    <x v="4"/>
    <n v="1"/>
    <n v="5000"/>
    <n v="0"/>
    <m/>
    <x v="102"/>
    <m/>
    <x v="0"/>
    <x v="6"/>
    <x v="0"/>
    <n v="2026"/>
  </r>
  <r>
    <s v="INT-00418"/>
    <x v="249"/>
    <x v="0"/>
    <x v="7"/>
    <x v="4"/>
    <s v="Customer 547"/>
    <s v="WhatsApp API"/>
    <s v="Inbound"/>
    <x v="0"/>
    <n v="1"/>
    <n v="84900"/>
    <n v="84900"/>
    <m/>
    <x v="64"/>
    <m/>
    <x v="0"/>
    <x v="0"/>
    <x v="4"/>
    <n v="2026"/>
  </r>
  <r>
    <s v="INT-00419"/>
    <x v="33"/>
    <x v="1"/>
    <x v="2"/>
    <x v="2"/>
    <s v="Customer 579"/>
    <s v="CRM"/>
    <m/>
    <x v="1"/>
    <n v="0"/>
    <n v="0"/>
    <n v="0"/>
    <n v="1"/>
    <x v="50"/>
    <n v="6.5"/>
    <x v="19"/>
    <x v="2"/>
    <x v="4"/>
    <n v="2026"/>
  </r>
  <r>
    <s v="INT-00420"/>
    <x v="105"/>
    <x v="1"/>
    <x v="12"/>
    <x v="0"/>
    <s v="Customer 464"/>
    <s v="WhatsApp API"/>
    <m/>
    <x v="1"/>
    <n v="0"/>
    <n v="0"/>
    <n v="0"/>
    <n v="1"/>
    <x v="172"/>
    <n v="6.6"/>
    <x v="21"/>
    <x v="2"/>
    <x v="9"/>
    <n v="2025"/>
  </r>
  <r>
    <s v="INT-00421"/>
    <x v="223"/>
    <x v="1"/>
    <x v="2"/>
    <x v="1"/>
    <s v="Customer 642"/>
    <s v="Automation"/>
    <m/>
    <x v="1"/>
    <n v="0"/>
    <n v="0"/>
    <n v="0"/>
    <n v="1"/>
    <x v="23"/>
    <n v="9.9"/>
    <x v="26"/>
    <x v="5"/>
    <x v="0"/>
    <n v="2026"/>
  </r>
  <r>
    <s v="INT-00422"/>
    <x v="144"/>
    <x v="1"/>
    <x v="9"/>
    <x v="0"/>
    <s v="Customer 626"/>
    <s v="CRM"/>
    <m/>
    <x v="1"/>
    <n v="0"/>
    <n v="0"/>
    <n v="0"/>
    <n v="1"/>
    <x v="41"/>
    <n v="7.4"/>
    <x v="24"/>
    <x v="2"/>
    <x v="6"/>
    <n v="2025"/>
  </r>
  <r>
    <s v="INT-00423"/>
    <x v="184"/>
    <x v="0"/>
    <x v="11"/>
    <x v="2"/>
    <s v="Customer 082"/>
    <s v="CRM"/>
    <s v="Inbound"/>
    <x v="3"/>
    <n v="1"/>
    <n v="23400"/>
    <n v="0"/>
    <m/>
    <x v="174"/>
    <m/>
    <x v="0"/>
    <x v="4"/>
    <x v="3"/>
    <n v="2026"/>
  </r>
  <r>
    <s v="INT-00424"/>
    <x v="175"/>
    <x v="0"/>
    <x v="13"/>
    <x v="3"/>
    <s v="Customer 092"/>
    <s v="Automation"/>
    <s v="Inbound"/>
    <x v="0"/>
    <n v="1"/>
    <n v="48600"/>
    <n v="48600"/>
    <m/>
    <x v="3"/>
    <m/>
    <x v="0"/>
    <x v="0"/>
    <x v="11"/>
    <n v="2026"/>
  </r>
  <r>
    <s v="INT-00425"/>
    <x v="250"/>
    <x v="0"/>
    <x v="13"/>
    <x v="0"/>
    <s v="Customer 559"/>
    <s v="WhatsApp API"/>
    <s v="Inbound"/>
    <x v="0"/>
    <n v="1"/>
    <n v="21300"/>
    <n v="21300"/>
    <m/>
    <x v="30"/>
    <m/>
    <x v="0"/>
    <x v="0"/>
    <x v="3"/>
    <n v="2026"/>
  </r>
  <r>
    <s v="INT-00426"/>
    <x v="91"/>
    <x v="0"/>
    <x v="0"/>
    <x v="2"/>
    <s v="Customer 349"/>
    <s v="CRM"/>
    <s v="Referral"/>
    <x v="5"/>
    <n v="1"/>
    <n v="31600"/>
    <n v="0"/>
    <m/>
    <x v="69"/>
    <m/>
    <x v="0"/>
    <x v="7"/>
    <x v="3"/>
    <n v="2026"/>
  </r>
  <r>
    <s v="INT-00427"/>
    <x v="46"/>
    <x v="0"/>
    <x v="4"/>
    <x v="4"/>
    <s v="Customer 523"/>
    <s v="CRM"/>
    <s v="Partner"/>
    <x v="6"/>
    <n v="1"/>
    <n v="6000"/>
    <n v="0"/>
    <m/>
    <x v="59"/>
    <m/>
    <x v="0"/>
    <x v="8"/>
    <x v="2"/>
    <n v="2025"/>
  </r>
  <r>
    <s v="INT-00428"/>
    <x v="54"/>
    <x v="1"/>
    <x v="8"/>
    <x v="1"/>
    <s v="Customer 338"/>
    <s v="WhatsApp API"/>
    <m/>
    <x v="1"/>
    <n v="0"/>
    <n v="0"/>
    <n v="0"/>
    <n v="1"/>
    <x v="2"/>
    <n v="6.8"/>
    <x v="2"/>
    <x v="2"/>
    <x v="7"/>
    <n v="2026"/>
  </r>
  <r>
    <s v="INT-00429"/>
    <x v="95"/>
    <x v="0"/>
    <x v="10"/>
    <x v="0"/>
    <s v="Customer 126"/>
    <s v="Automation"/>
    <s v="Referral"/>
    <x v="0"/>
    <n v="1"/>
    <n v="41600"/>
    <n v="41600"/>
    <m/>
    <x v="9"/>
    <m/>
    <x v="0"/>
    <x v="0"/>
    <x v="6"/>
    <n v="2025"/>
  </r>
  <r>
    <s v="INT-00430"/>
    <x v="136"/>
    <x v="0"/>
    <x v="6"/>
    <x v="3"/>
    <s v="Customer 010"/>
    <s v="WhatsApp API"/>
    <s v="Outbound"/>
    <x v="3"/>
    <n v="1"/>
    <n v="20900"/>
    <n v="0"/>
    <m/>
    <x v="51"/>
    <m/>
    <x v="0"/>
    <x v="4"/>
    <x v="0"/>
    <n v="2026"/>
  </r>
  <r>
    <s v="INT-00431"/>
    <x v="79"/>
    <x v="0"/>
    <x v="0"/>
    <x v="2"/>
    <s v="Customer 346"/>
    <s v="CRM"/>
    <s v="Outbound"/>
    <x v="2"/>
    <n v="1"/>
    <n v="26200"/>
    <n v="0"/>
    <m/>
    <x v="156"/>
    <m/>
    <x v="0"/>
    <x v="3"/>
    <x v="0"/>
    <n v="2026"/>
  </r>
  <r>
    <s v="INT-00432"/>
    <x v="123"/>
    <x v="1"/>
    <x v="8"/>
    <x v="0"/>
    <s v="Customer 421"/>
    <s v="Analytics"/>
    <m/>
    <x v="1"/>
    <n v="0"/>
    <n v="0"/>
    <n v="0"/>
    <n v="1"/>
    <x v="84"/>
    <n v="1.7"/>
    <x v="15"/>
    <x v="2"/>
    <x v="3"/>
    <n v="2026"/>
  </r>
  <r>
    <s v="INT-00433"/>
    <x v="142"/>
    <x v="1"/>
    <x v="14"/>
    <x v="1"/>
    <s v="Customer 698"/>
    <s v="WhatsApp API"/>
    <m/>
    <x v="1"/>
    <n v="0"/>
    <n v="0"/>
    <n v="0"/>
    <n v="1"/>
    <x v="100"/>
    <n v="10.199999999999999"/>
    <x v="18"/>
    <x v="5"/>
    <x v="7"/>
    <n v="2026"/>
  </r>
  <r>
    <s v="INT-00434"/>
    <x v="251"/>
    <x v="0"/>
    <x v="7"/>
    <x v="0"/>
    <s v="Customer 200"/>
    <s v="CRM"/>
    <s v="Referral"/>
    <x v="0"/>
    <n v="1"/>
    <n v="139800"/>
    <n v="139800"/>
    <m/>
    <x v="180"/>
    <m/>
    <x v="0"/>
    <x v="0"/>
    <x v="11"/>
    <n v="2026"/>
  </r>
  <r>
    <s v="INT-00435"/>
    <x v="145"/>
    <x v="0"/>
    <x v="0"/>
    <x v="4"/>
    <s v="Customer 271"/>
    <s v="WhatsApp API"/>
    <s v="Website"/>
    <x v="6"/>
    <n v="1"/>
    <n v="28100"/>
    <n v="0"/>
    <m/>
    <x v="16"/>
    <m/>
    <x v="0"/>
    <x v="8"/>
    <x v="10"/>
    <n v="2025"/>
  </r>
  <r>
    <s v="INT-00436"/>
    <x v="113"/>
    <x v="1"/>
    <x v="12"/>
    <x v="0"/>
    <s v="Customer 407"/>
    <s v="Automation"/>
    <m/>
    <x v="1"/>
    <n v="0"/>
    <n v="0"/>
    <n v="0"/>
    <n v="1"/>
    <x v="106"/>
    <n v="5"/>
    <x v="4"/>
    <x v="1"/>
    <x v="6"/>
    <n v="2025"/>
  </r>
  <r>
    <s v="INT-00437"/>
    <x v="252"/>
    <x v="0"/>
    <x v="11"/>
    <x v="4"/>
    <s v="Customer 249"/>
    <s v="Analytics"/>
    <s v="Partner"/>
    <x v="2"/>
    <n v="1"/>
    <n v="37400"/>
    <n v="0"/>
    <m/>
    <x v="110"/>
    <m/>
    <x v="0"/>
    <x v="3"/>
    <x v="0"/>
    <n v="2026"/>
  </r>
  <r>
    <s v="INT-00438"/>
    <x v="157"/>
    <x v="1"/>
    <x v="15"/>
    <x v="2"/>
    <s v="Customer 647"/>
    <s v="WhatsApp API"/>
    <m/>
    <x v="1"/>
    <n v="0"/>
    <n v="0"/>
    <n v="0"/>
    <n v="1"/>
    <x v="2"/>
    <n v="9.5"/>
    <x v="11"/>
    <x v="1"/>
    <x v="0"/>
    <n v="2026"/>
  </r>
  <r>
    <s v="INT-00439"/>
    <x v="253"/>
    <x v="1"/>
    <x v="1"/>
    <x v="0"/>
    <s v="Customer 426"/>
    <s v="CRM"/>
    <m/>
    <x v="1"/>
    <n v="0"/>
    <n v="0"/>
    <n v="0"/>
    <n v="1"/>
    <x v="8"/>
    <n v="2.6"/>
    <x v="6"/>
    <x v="1"/>
    <x v="3"/>
    <n v="2026"/>
  </r>
  <r>
    <s v="INT-00440"/>
    <x v="128"/>
    <x v="0"/>
    <x v="6"/>
    <x v="2"/>
    <s v="Customer 599"/>
    <s v="Automation"/>
    <s v="Inbound"/>
    <x v="0"/>
    <n v="1"/>
    <n v="44600"/>
    <n v="44600"/>
    <m/>
    <x v="62"/>
    <m/>
    <x v="0"/>
    <x v="0"/>
    <x v="11"/>
    <n v="2026"/>
  </r>
  <r>
    <s v="INT-00441"/>
    <x v="107"/>
    <x v="0"/>
    <x v="10"/>
    <x v="0"/>
    <s v="Customer 117"/>
    <s v="CRM"/>
    <s v="Partner"/>
    <x v="0"/>
    <n v="1"/>
    <n v="13000"/>
    <n v="13000"/>
    <m/>
    <x v="18"/>
    <m/>
    <x v="0"/>
    <x v="0"/>
    <x v="2"/>
    <n v="2025"/>
  </r>
  <r>
    <s v="INT-00442"/>
    <x v="1"/>
    <x v="1"/>
    <x v="2"/>
    <x v="3"/>
    <s v="Customer 449"/>
    <s v="CRM"/>
    <m/>
    <x v="1"/>
    <n v="0"/>
    <n v="0"/>
    <n v="0"/>
    <n v="1"/>
    <x v="179"/>
    <n v="13.1"/>
    <x v="9"/>
    <x v="2"/>
    <x v="1"/>
    <n v="2026"/>
  </r>
  <r>
    <s v="INT-00443"/>
    <x v="254"/>
    <x v="0"/>
    <x v="4"/>
    <x v="0"/>
    <s v="Customer 271"/>
    <s v="Automation"/>
    <s v="Outbound"/>
    <x v="4"/>
    <n v="1"/>
    <n v="22000"/>
    <n v="0"/>
    <m/>
    <x v="181"/>
    <m/>
    <x v="0"/>
    <x v="6"/>
    <x v="8"/>
    <n v="2026"/>
  </r>
  <r>
    <s v="INT-00444"/>
    <x v="47"/>
    <x v="0"/>
    <x v="7"/>
    <x v="0"/>
    <s v="Customer 394"/>
    <s v="CRM"/>
    <s v="Inbound"/>
    <x v="2"/>
    <n v="1"/>
    <n v="6700"/>
    <n v="0"/>
    <m/>
    <x v="92"/>
    <m/>
    <x v="0"/>
    <x v="3"/>
    <x v="11"/>
    <n v="2026"/>
  </r>
  <r>
    <s v="INT-00445"/>
    <x v="255"/>
    <x v="1"/>
    <x v="3"/>
    <x v="1"/>
    <s v="Customer 161"/>
    <s v="Analytics"/>
    <m/>
    <x v="1"/>
    <n v="0"/>
    <n v="0"/>
    <n v="0"/>
    <n v="1"/>
    <x v="34"/>
    <n v="3.1"/>
    <x v="19"/>
    <x v="5"/>
    <x v="9"/>
    <n v="2025"/>
  </r>
  <r>
    <s v="INT-00446"/>
    <x v="87"/>
    <x v="1"/>
    <x v="3"/>
    <x v="3"/>
    <s v="Customer 028"/>
    <s v="CRM"/>
    <m/>
    <x v="1"/>
    <n v="0"/>
    <n v="0"/>
    <n v="0"/>
    <n v="1"/>
    <x v="103"/>
    <n v="5.0999999999999996"/>
    <x v="23"/>
    <x v="2"/>
    <x v="10"/>
    <n v="2025"/>
  </r>
  <r>
    <s v="INT-00447"/>
    <x v="71"/>
    <x v="1"/>
    <x v="12"/>
    <x v="4"/>
    <s v="Customer 595"/>
    <s v="CRM"/>
    <m/>
    <x v="1"/>
    <n v="0"/>
    <n v="0"/>
    <n v="0"/>
    <n v="1"/>
    <x v="150"/>
    <n v="22.1"/>
    <x v="1"/>
    <x v="1"/>
    <x v="0"/>
    <n v="2026"/>
  </r>
  <r>
    <s v="INT-00448"/>
    <x v="256"/>
    <x v="1"/>
    <x v="1"/>
    <x v="0"/>
    <s v="Customer 292"/>
    <s v="Automation"/>
    <m/>
    <x v="1"/>
    <n v="0"/>
    <n v="0"/>
    <n v="0"/>
    <n v="1"/>
    <x v="127"/>
    <n v="10.199999999999999"/>
    <x v="18"/>
    <x v="9"/>
    <x v="4"/>
    <n v="2026"/>
  </r>
  <r>
    <s v="INT-00449"/>
    <x v="257"/>
    <x v="0"/>
    <x v="13"/>
    <x v="4"/>
    <s v="Customer 039"/>
    <s v="WhatsApp API"/>
    <s v="Inbound"/>
    <x v="5"/>
    <n v="1"/>
    <n v="104400"/>
    <n v="0"/>
    <m/>
    <x v="176"/>
    <m/>
    <x v="0"/>
    <x v="7"/>
    <x v="1"/>
    <n v="2026"/>
  </r>
  <r>
    <s v="INT-00450"/>
    <x v="112"/>
    <x v="0"/>
    <x v="13"/>
    <x v="0"/>
    <s v="Customer 561"/>
    <s v="CRM"/>
    <s v="Inbound"/>
    <x v="2"/>
    <n v="1"/>
    <n v="9900"/>
    <n v="0"/>
    <m/>
    <x v="172"/>
    <m/>
    <x v="0"/>
    <x v="3"/>
    <x v="2"/>
    <n v="2025"/>
  </r>
  <r>
    <s v="INT-00451"/>
    <x v="41"/>
    <x v="1"/>
    <x v="8"/>
    <x v="0"/>
    <s v="Customer 211"/>
    <s v="Analytics"/>
    <m/>
    <x v="1"/>
    <n v="0"/>
    <n v="0"/>
    <n v="0"/>
    <n v="1"/>
    <x v="104"/>
    <n v="3.8"/>
    <x v="9"/>
    <x v="2"/>
    <x v="9"/>
    <n v="2025"/>
  </r>
  <r>
    <s v="INT-00452"/>
    <x v="63"/>
    <x v="1"/>
    <x v="15"/>
    <x v="4"/>
    <s v="Customer 506"/>
    <s v="WhatsApp API"/>
    <m/>
    <x v="1"/>
    <n v="0"/>
    <n v="0"/>
    <n v="0"/>
    <n v="1"/>
    <x v="182"/>
    <n v="5.4"/>
    <x v="5"/>
    <x v="1"/>
    <x v="4"/>
    <n v="2026"/>
  </r>
  <r>
    <s v="INT-00453"/>
    <x v="258"/>
    <x v="0"/>
    <x v="0"/>
    <x v="3"/>
    <s v="Customer 114"/>
    <s v="CRM"/>
    <s v="Outbound"/>
    <x v="0"/>
    <n v="1"/>
    <n v="123000"/>
    <n v="123000"/>
    <m/>
    <x v="183"/>
    <m/>
    <x v="0"/>
    <x v="0"/>
    <x v="2"/>
    <n v="2025"/>
  </r>
  <r>
    <s v="INT-00454"/>
    <x v="213"/>
    <x v="1"/>
    <x v="12"/>
    <x v="4"/>
    <s v="Customer 441"/>
    <s v="Automation"/>
    <m/>
    <x v="1"/>
    <n v="0"/>
    <n v="0"/>
    <n v="0"/>
    <n v="1"/>
    <x v="17"/>
    <n v="22.6"/>
    <x v="2"/>
    <x v="5"/>
    <x v="8"/>
    <n v="2026"/>
  </r>
  <r>
    <s v="INT-00455"/>
    <x v="251"/>
    <x v="0"/>
    <x v="10"/>
    <x v="0"/>
    <s v="Customer 255"/>
    <s v="Analytics"/>
    <s v="Website"/>
    <x v="6"/>
    <n v="1"/>
    <n v="41700"/>
    <n v="0"/>
    <m/>
    <x v="184"/>
    <m/>
    <x v="0"/>
    <x v="8"/>
    <x v="11"/>
    <n v="2026"/>
  </r>
  <r>
    <s v="INT-00456"/>
    <x v="259"/>
    <x v="0"/>
    <x v="10"/>
    <x v="0"/>
    <s v="Customer 098"/>
    <s v="Analytics"/>
    <s v="Referral"/>
    <x v="2"/>
    <n v="1"/>
    <n v="8800"/>
    <n v="0"/>
    <m/>
    <x v="0"/>
    <m/>
    <x v="0"/>
    <x v="3"/>
    <x v="1"/>
    <n v="2026"/>
  </r>
  <r>
    <s v="INT-00457"/>
    <x v="260"/>
    <x v="0"/>
    <x v="6"/>
    <x v="0"/>
    <s v="Customer 542"/>
    <s v="Automation"/>
    <s v="Inbound"/>
    <x v="2"/>
    <n v="1"/>
    <n v="18200"/>
    <n v="0"/>
    <m/>
    <x v="170"/>
    <m/>
    <x v="0"/>
    <x v="3"/>
    <x v="1"/>
    <n v="2026"/>
  </r>
  <r>
    <s v="INT-00458"/>
    <x v="179"/>
    <x v="0"/>
    <x v="11"/>
    <x v="0"/>
    <s v="Customer 141"/>
    <s v="Automation"/>
    <s v="Partner"/>
    <x v="6"/>
    <n v="1"/>
    <n v="13400"/>
    <n v="0"/>
    <m/>
    <x v="25"/>
    <m/>
    <x v="0"/>
    <x v="8"/>
    <x v="2"/>
    <n v="2025"/>
  </r>
  <r>
    <s v="INT-00459"/>
    <x v="261"/>
    <x v="0"/>
    <x v="10"/>
    <x v="2"/>
    <s v="Customer 031"/>
    <s v="CRM"/>
    <s v="Website"/>
    <x v="6"/>
    <n v="1"/>
    <n v="12700"/>
    <n v="0"/>
    <m/>
    <x v="185"/>
    <m/>
    <x v="0"/>
    <x v="8"/>
    <x v="1"/>
    <n v="2026"/>
  </r>
  <r>
    <s v="INT-00460"/>
    <x v="262"/>
    <x v="0"/>
    <x v="13"/>
    <x v="0"/>
    <s v="Customer 162"/>
    <s v="CRM"/>
    <s v="Outbound"/>
    <x v="4"/>
    <n v="1"/>
    <n v="21600"/>
    <n v="0"/>
    <m/>
    <x v="55"/>
    <m/>
    <x v="0"/>
    <x v="6"/>
    <x v="11"/>
    <n v="2026"/>
  </r>
  <r>
    <s v="INT-00461"/>
    <x v="246"/>
    <x v="0"/>
    <x v="5"/>
    <x v="0"/>
    <s v="Customer 126"/>
    <s v="Automation"/>
    <s v="Outbound"/>
    <x v="4"/>
    <n v="1"/>
    <n v="18700"/>
    <n v="0"/>
    <m/>
    <x v="152"/>
    <m/>
    <x v="0"/>
    <x v="6"/>
    <x v="9"/>
    <n v="2025"/>
  </r>
  <r>
    <s v="INT-00462"/>
    <x v="263"/>
    <x v="1"/>
    <x v="3"/>
    <x v="3"/>
    <s v="Customer 658"/>
    <s v="WhatsApp API"/>
    <m/>
    <x v="1"/>
    <n v="0"/>
    <n v="0"/>
    <n v="0"/>
    <n v="1"/>
    <x v="71"/>
    <n v="3.1"/>
    <x v="3"/>
    <x v="2"/>
    <x v="4"/>
    <n v="2026"/>
  </r>
  <r>
    <s v="INT-00463"/>
    <x v="234"/>
    <x v="1"/>
    <x v="2"/>
    <x v="0"/>
    <s v="Customer 542"/>
    <s v="Analytics"/>
    <m/>
    <x v="1"/>
    <n v="0"/>
    <n v="0"/>
    <n v="0"/>
    <n v="1"/>
    <x v="174"/>
    <n v="11"/>
    <x v="8"/>
    <x v="9"/>
    <x v="8"/>
    <n v="2026"/>
  </r>
  <r>
    <s v="INT-00464"/>
    <x v="264"/>
    <x v="1"/>
    <x v="8"/>
    <x v="1"/>
    <s v="Customer 328"/>
    <s v="CRM"/>
    <m/>
    <x v="1"/>
    <n v="0"/>
    <n v="0"/>
    <n v="0"/>
    <n v="1"/>
    <x v="106"/>
    <n v="3.5"/>
    <x v="12"/>
    <x v="5"/>
    <x v="11"/>
    <n v="2026"/>
  </r>
  <r>
    <s v="INT-00465"/>
    <x v="265"/>
    <x v="1"/>
    <x v="12"/>
    <x v="1"/>
    <s v="Customer 700"/>
    <s v="CRM"/>
    <m/>
    <x v="1"/>
    <n v="0"/>
    <n v="0"/>
    <n v="0"/>
    <n v="1"/>
    <x v="15"/>
    <n v="3.5"/>
    <x v="5"/>
    <x v="2"/>
    <x v="7"/>
    <n v="2026"/>
  </r>
  <r>
    <s v="INT-00466"/>
    <x v="171"/>
    <x v="0"/>
    <x v="6"/>
    <x v="4"/>
    <s v="Customer 689"/>
    <s v="Automation"/>
    <s v="Referral"/>
    <x v="3"/>
    <n v="1"/>
    <n v="16100"/>
    <n v="0"/>
    <m/>
    <x v="186"/>
    <m/>
    <x v="0"/>
    <x v="4"/>
    <x v="10"/>
    <n v="2025"/>
  </r>
  <r>
    <s v="INT-00467"/>
    <x v="266"/>
    <x v="0"/>
    <x v="0"/>
    <x v="4"/>
    <s v="Customer 117"/>
    <s v="Automation"/>
    <s v="Partner"/>
    <x v="4"/>
    <n v="1"/>
    <n v="9900"/>
    <n v="0"/>
    <m/>
    <x v="134"/>
    <m/>
    <x v="0"/>
    <x v="6"/>
    <x v="4"/>
    <n v="2026"/>
  </r>
  <r>
    <s v="INT-00468"/>
    <x v="106"/>
    <x v="1"/>
    <x v="15"/>
    <x v="1"/>
    <s v="Customer 678"/>
    <s v="Automation"/>
    <m/>
    <x v="1"/>
    <n v="0"/>
    <n v="0"/>
    <n v="0"/>
    <n v="1"/>
    <x v="56"/>
    <n v="3"/>
    <x v="13"/>
    <x v="2"/>
    <x v="3"/>
    <n v="2026"/>
  </r>
  <r>
    <s v="INT-00469"/>
    <x v="267"/>
    <x v="0"/>
    <x v="0"/>
    <x v="3"/>
    <s v="Customer 150"/>
    <s v="WhatsApp API"/>
    <s v="Partner"/>
    <x v="0"/>
    <n v="1"/>
    <n v="21500"/>
    <n v="21500"/>
    <m/>
    <x v="5"/>
    <m/>
    <x v="0"/>
    <x v="0"/>
    <x v="5"/>
    <n v="2026"/>
  </r>
  <r>
    <s v="INT-00470"/>
    <x v="176"/>
    <x v="1"/>
    <x v="15"/>
    <x v="0"/>
    <s v="Customer 104"/>
    <s v="Analytics"/>
    <m/>
    <x v="1"/>
    <n v="0"/>
    <n v="0"/>
    <n v="0"/>
    <n v="1"/>
    <x v="148"/>
    <n v="4.0999999999999996"/>
    <x v="11"/>
    <x v="2"/>
    <x v="3"/>
    <n v="2026"/>
  </r>
  <r>
    <s v="INT-00471"/>
    <x v="144"/>
    <x v="0"/>
    <x v="7"/>
    <x v="0"/>
    <s v="Customer 226"/>
    <s v="CRM"/>
    <s v="Partner"/>
    <x v="2"/>
    <n v="1"/>
    <n v="59700"/>
    <n v="0"/>
    <m/>
    <x v="110"/>
    <m/>
    <x v="0"/>
    <x v="3"/>
    <x v="6"/>
    <n v="2025"/>
  </r>
  <r>
    <s v="INT-00472"/>
    <x v="73"/>
    <x v="1"/>
    <x v="1"/>
    <x v="3"/>
    <s v="Customer 372"/>
    <s v="WhatsApp API"/>
    <m/>
    <x v="1"/>
    <n v="0"/>
    <n v="0"/>
    <n v="0"/>
    <n v="1"/>
    <x v="75"/>
    <n v="13.5"/>
    <x v="17"/>
    <x v="9"/>
    <x v="5"/>
    <n v="2026"/>
  </r>
  <r>
    <s v="INT-00473"/>
    <x v="210"/>
    <x v="0"/>
    <x v="13"/>
    <x v="0"/>
    <s v="Customer 524"/>
    <s v="CRM"/>
    <s v="Outbound"/>
    <x v="2"/>
    <n v="1"/>
    <n v="38100"/>
    <n v="0"/>
    <m/>
    <x v="158"/>
    <m/>
    <x v="0"/>
    <x v="3"/>
    <x v="2"/>
    <n v="2025"/>
  </r>
  <r>
    <s v="INT-00474"/>
    <x v="256"/>
    <x v="1"/>
    <x v="3"/>
    <x v="3"/>
    <s v="Customer 174"/>
    <s v="CRM"/>
    <m/>
    <x v="1"/>
    <n v="0"/>
    <n v="0"/>
    <n v="0"/>
    <n v="1"/>
    <x v="142"/>
    <n v="5.4"/>
    <x v="17"/>
    <x v="2"/>
    <x v="4"/>
    <n v="2026"/>
  </r>
  <r>
    <s v="INT-00475"/>
    <x v="192"/>
    <x v="0"/>
    <x v="5"/>
    <x v="0"/>
    <s v="Customer 672"/>
    <s v="CRM"/>
    <s v="Inbound"/>
    <x v="5"/>
    <n v="1"/>
    <n v="17900"/>
    <n v="0"/>
    <m/>
    <x v="109"/>
    <m/>
    <x v="0"/>
    <x v="7"/>
    <x v="11"/>
    <n v="2026"/>
  </r>
  <r>
    <s v="INT-00476"/>
    <x v="27"/>
    <x v="1"/>
    <x v="12"/>
    <x v="2"/>
    <s v="Customer 304"/>
    <s v="CRM"/>
    <m/>
    <x v="1"/>
    <n v="0"/>
    <n v="0"/>
    <n v="0"/>
    <n v="1"/>
    <x v="115"/>
    <n v="8.6999999999999993"/>
    <x v="26"/>
    <x v="2"/>
    <x v="11"/>
    <n v="2026"/>
  </r>
  <r>
    <s v="INT-00477"/>
    <x v="268"/>
    <x v="0"/>
    <x v="7"/>
    <x v="0"/>
    <s v="Customer 362"/>
    <s v="Automation"/>
    <s v="Outbound"/>
    <x v="2"/>
    <n v="1"/>
    <n v="40400"/>
    <n v="0"/>
    <m/>
    <x v="125"/>
    <m/>
    <x v="0"/>
    <x v="3"/>
    <x v="11"/>
    <n v="2026"/>
  </r>
  <r>
    <s v="INT-00478"/>
    <x v="109"/>
    <x v="1"/>
    <x v="1"/>
    <x v="2"/>
    <s v="Customer 506"/>
    <s v="CRM"/>
    <m/>
    <x v="1"/>
    <n v="0"/>
    <n v="0"/>
    <n v="0"/>
    <n v="1"/>
    <x v="102"/>
    <n v="2.8"/>
    <x v="10"/>
    <x v="1"/>
    <x v="3"/>
    <n v="2026"/>
  </r>
  <r>
    <s v="INT-00479"/>
    <x v="269"/>
    <x v="1"/>
    <x v="3"/>
    <x v="0"/>
    <s v="Customer 267"/>
    <s v="CRM"/>
    <m/>
    <x v="1"/>
    <n v="0"/>
    <n v="0"/>
    <n v="0"/>
    <n v="1"/>
    <x v="154"/>
    <n v="16"/>
    <x v="5"/>
    <x v="5"/>
    <x v="2"/>
    <n v="2025"/>
  </r>
  <r>
    <s v="INT-00480"/>
    <x v="270"/>
    <x v="0"/>
    <x v="7"/>
    <x v="3"/>
    <s v="Customer 031"/>
    <s v="CRM"/>
    <s v="Inbound"/>
    <x v="4"/>
    <n v="1"/>
    <n v="25600"/>
    <n v="0"/>
    <m/>
    <x v="10"/>
    <m/>
    <x v="0"/>
    <x v="6"/>
    <x v="7"/>
    <n v="2026"/>
  </r>
  <r>
    <s v="INT-00481"/>
    <x v="155"/>
    <x v="1"/>
    <x v="9"/>
    <x v="4"/>
    <s v="Customer 020"/>
    <s v="Automation"/>
    <m/>
    <x v="1"/>
    <n v="0"/>
    <n v="0"/>
    <n v="0"/>
    <n v="1"/>
    <x v="27"/>
    <n v="9.1999999999999993"/>
    <x v="23"/>
    <x v="2"/>
    <x v="7"/>
    <n v="2026"/>
  </r>
  <r>
    <s v="INT-00482"/>
    <x v="93"/>
    <x v="1"/>
    <x v="8"/>
    <x v="0"/>
    <s v="Customer 513"/>
    <s v="Analytics"/>
    <m/>
    <x v="1"/>
    <n v="0"/>
    <n v="0"/>
    <n v="0"/>
    <n v="1"/>
    <x v="4"/>
    <n v="4.5"/>
    <x v="11"/>
    <x v="5"/>
    <x v="7"/>
    <n v="2026"/>
  </r>
  <r>
    <s v="INT-00483"/>
    <x v="219"/>
    <x v="0"/>
    <x v="4"/>
    <x v="0"/>
    <s v="Customer 205"/>
    <s v="Automation"/>
    <s v="Website"/>
    <x v="5"/>
    <n v="1"/>
    <n v="25500"/>
    <n v="0"/>
    <m/>
    <x v="122"/>
    <m/>
    <x v="0"/>
    <x v="7"/>
    <x v="10"/>
    <n v="2025"/>
  </r>
  <r>
    <s v="INT-00484"/>
    <x v="131"/>
    <x v="1"/>
    <x v="2"/>
    <x v="1"/>
    <s v="Customer 200"/>
    <s v="WhatsApp API"/>
    <m/>
    <x v="1"/>
    <n v="0"/>
    <n v="0"/>
    <n v="0"/>
    <n v="1"/>
    <x v="37"/>
    <n v="4.3"/>
    <x v="13"/>
    <x v="1"/>
    <x v="10"/>
    <n v="2025"/>
  </r>
  <r>
    <s v="INT-00485"/>
    <x v="23"/>
    <x v="1"/>
    <x v="2"/>
    <x v="3"/>
    <s v="Customer 256"/>
    <s v="Automation"/>
    <m/>
    <x v="1"/>
    <n v="0"/>
    <n v="0"/>
    <n v="0"/>
    <n v="1"/>
    <x v="59"/>
    <n v="6.8"/>
    <x v="12"/>
    <x v="2"/>
    <x v="6"/>
    <n v="2025"/>
  </r>
  <r>
    <s v="INT-00486"/>
    <x v="11"/>
    <x v="1"/>
    <x v="2"/>
    <x v="4"/>
    <s v="Customer 507"/>
    <s v="Automation"/>
    <m/>
    <x v="1"/>
    <n v="0"/>
    <n v="0"/>
    <n v="0"/>
    <n v="1"/>
    <x v="17"/>
    <n v="11.4"/>
    <x v="20"/>
    <x v="9"/>
    <x v="7"/>
    <n v="2026"/>
  </r>
  <r>
    <s v="INT-00487"/>
    <x v="271"/>
    <x v="0"/>
    <x v="11"/>
    <x v="1"/>
    <s v="Customer 146"/>
    <s v="CRM"/>
    <s v="Outbound"/>
    <x v="6"/>
    <n v="1"/>
    <n v="10300"/>
    <n v="0"/>
    <m/>
    <x v="168"/>
    <m/>
    <x v="0"/>
    <x v="8"/>
    <x v="1"/>
    <n v="2026"/>
  </r>
  <r>
    <s v="INT-00488"/>
    <x v="35"/>
    <x v="0"/>
    <x v="4"/>
    <x v="0"/>
    <s v="Customer 433"/>
    <s v="Analytics"/>
    <s v="Website"/>
    <x v="4"/>
    <n v="1"/>
    <n v="20000"/>
    <n v="0"/>
    <m/>
    <x v="73"/>
    <m/>
    <x v="0"/>
    <x v="6"/>
    <x v="8"/>
    <n v="2026"/>
  </r>
  <r>
    <s v="INT-00489"/>
    <x v="145"/>
    <x v="1"/>
    <x v="9"/>
    <x v="0"/>
    <s v="Customer 693"/>
    <s v="CRM"/>
    <m/>
    <x v="1"/>
    <n v="0"/>
    <n v="0"/>
    <n v="0"/>
    <n v="1"/>
    <x v="80"/>
    <n v="6.7"/>
    <x v="18"/>
    <x v="5"/>
    <x v="10"/>
    <n v="2025"/>
  </r>
  <r>
    <s v="INT-00490"/>
    <x v="112"/>
    <x v="1"/>
    <x v="8"/>
    <x v="0"/>
    <s v="Customer 017"/>
    <s v="CRM"/>
    <m/>
    <x v="1"/>
    <n v="0"/>
    <n v="0"/>
    <n v="0"/>
    <n v="1"/>
    <x v="144"/>
    <n v="6.6"/>
    <x v="22"/>
    <x v="2"/>
    <x v="2"/>
    <n v="2025"/>
  </r>
  <r>
    <s v="INT-00491"/>
    <x v="83"/>
    <x v="0"/>
    <x v="7"/>
    <x v="1"/>
    <s v="Customer 523"/>
    <s v="CRM"/>
    <s v="Website"/>
    <x v="2"/>
    <n v="1"/>
    <n v="36300"/>
    <n v="0"/>
    <m/>
    <x v="187"/>
    <m/>
    <x v="0"/>
    <x v="3"/>
    <x v="5"/>
    <n v="2026"/>
  </r>
  <r>
    <s v="INT-00492"/>
    <x v="195"/>
    <x v="1"/>
    <x v="8"/>
    <x v="4"/>
    <s v="Customer 524"/>
    <s v="WhatsApp API"/>
    <m/>
    <x v="1"/>
    <n v="0"/>
    <n v="0"/>
    <n v="0"/>
    <n v="1"/>
    <x v="143"/>
    <n v="3"/>
    <x v="2"/>
    <x v="2"/>
    <x v="9"/>
    <n v="2025"/>
  </r>
  <r>
    <s v="INT-00493"/>
    <x v="92"/>
    <x v="0"/>
    <x v="4"/>
    <x v="1"/>
    <s v="Customer 066"/>
    <s v="CRM"/>
    <s v="Website"/>
    <x v="2"/>
    <n v="1"/>
    <n v="13000"/>
    <n v="0"/>
    <m/>
    <x v="188"/>
    <m/>
    <x v="0"/>
    <x v="3"/>
    <x v="1"/>
    <n v="2026"/>
  </r>
  <r>
    <s v="INT-00494"/>
    <x v="272"/>
    <x v="0"/>
    <x v="13"/>
    <x v="4"/>
    <s v="Customer 198"/>
    <s v="CRM"/>
    <s v="Website"/>
    <x v="0"/>
    <n v="1"/>
    <n v="27700"/>
    <n v="27700"/>
    <m/>
    <x v="177"/>
    <m/>
    <x v="0"/>
    <x v="0"/>
    <x v="6"/>
    <n v="2025"/>
  </r>
  <r>
    <s v="INT-00495"/>
    <x v="273"/>
    <x v="0"/>
    <x v="11"/>
    <x v="0"/>
    <s v="Customer 315"/>
    <s v="CRM"/>
    <s v="Inbound"/>
    <x v="4"/>
    <n v="1"/>
    <n v="18300"/>
    <n v="0"/>
    <m/>
    <x v="61"/>
    <m/>
    <x v="0"/>
    <x v="6"/>
    <x v="10"/>
    <n v="2025"/>
  </r>
  <r>
    <s v="INT-00496"/>
    <x v="274"/>
    <x v="0"/>
    <x v="7"/>
    <x v="3"/>
    <s v="Customer 502"/>
    <s v="Analytics"/>
    <s v="Outbound"/>
    <x v="4"/>
    <n v="1"/>
    <n v="44000"/>
    <n v="0"/>
    <m/>
    <x v="28"/>
    <m/>
    <x v="0"/>
    <x v="6"/>
    <x v="9"/>
    <n v="2025"/>
  </r>
  <r>
    <s v="INT-00497"/>
    <x v="251"/>
    <x v="1"/>
    <x v="15"/>
    <x v="0"/>
    <s v="Customer 182"/>
    <s v="WhatsApp API"/>
    <m/>
    <x v="1"/>
    <n v="0"/>
    <n v="0"/>
    <n v="0"/>
    <n v="1"/>
    <x v="34"/>
    <n v="6.2"/>
    <x v="2"/>
    <x v="1"/>
    <x v="11"/>
    <n v="2026"/>
  </r>
  <r>
    <s v="INT-00498"/>
    <x v="70"/>
    <x v="0"/>
    <x v="10"/>
    <x v="2"/>
    <s v="Customer 403"/>
    <s v="Automation"/>
    <s v="Referral"/>
    <x v="6"/>
    <n v="1"/>
    <n v="11500"/>
    <n v="0"/>
    <m/>
    <x v="189"/>
    <m/>
    <x v="0"/>
    <x v="8"/>
    <x v="10"/>
    <n v="2025"/>
  </r>
  <r>
    <s v="INT-00499"/>
    <x v="275"/>
    <x v="1"/>
    <x v="1"/>
    <x v="0"/>
    <s v="Customer 130"/>
    <s v="CRM"/>
    <m/>
    <x v="1"/>
    <n v="0"/>
    <n v="0"/>
    <n v="0"/>
    <n v="1"/>
    <x v="101"/>
    <n v="10.8"/>
    <x v="4"/>
    <x v="1"/>
    <x v="10"/>
    <n v="2025"/>
  </r>
  <r>
    <s v="INT-00500"/>
    <x v="264"/>
    <x v="1"/>
    <x v="2"/>
    <x v="0"/>
    <s v="Customer 123"/>
    <s v="Analytics"/>
    <m/>
    <x v="1"/>
    <n v="0"/>
    <n v="0"/>
    <n v="0"/>
    <n v="1"/>
    <x v="22"/>
    <n v="3.2"/>
    <x v="14"/>
    <x v="2"/>
    <x v="11"/>
    <n v="2026"/>
  </r>
  <r>
    <s v="INT-00501"/>
    <x v="62"/>
    <x v="1"/>
    <x v="9"/>
    <x v="2"/>
    <s v="Customer 693"/>
    <s v="CRM"/>
    <m/>
    <x v="1"/>
    <n v="0"/>
    <n v="0"/>
    <n v="0"/>
    <n v="1"/>
    <x v="103"/>
    <n v="9.6999999999999993"/>
    <x v="7"/>
    <x v="1"/>
    <x v="5"/>
    <n v="2026"/>
  </r>
  <r>
    <s v="INT-00502"/>
    <x v="43"/>
    <x v="0"/>
    <x v="6"/>
    <x v="3"/>
    <s v="Customer 480"/>
    <s v="Analytics"/>
    <s v="Website"/>
    <x v="3"/>
    <n v="1"/>
    <n v="7600"/>
    <n v="0"/>
    <m/>
    <x v="190"/>
    <m/>
    <x v="0"/>
    <x v="4"/>
    <x v="5"/>
    <n v="2026"/>
  </r>
  <r>
    <s v="INT-00503"/>
    <x v="55"/>
    <x v="0"/>
    <x v="4"/>
    <x v="0"/>
    <s v="Customer 243"/>
    <s v="Automation"/>
    <s v="Inbound"/>
    <x v="4"/>
    <n v="1"/>
    <n v="18400"/>
    <n v="0"/>
    <m/>
    <x v="191"/>
    <m/>
    <x v="0"/>
    <x v="6"/>
    <x v="3"/>
    <n v="2026"/>
  </r>
  <r>
    <s v="INT-00504"/>
    <x v="162"/>
    <x v="1"/>
    <x v="3"/>
    <x v="1"/>
    <s v="Customer 012"/>
    <s v="CRM"/>
    <m/>
    <x v="1"/>
    <n v="0"/>
    <n v="0"/>
    <n v="0"/>
    <n v="1"/>
    <x v="114"/>
    <n v="72"/>
    <x v="18"/>
    <x v="2"/>
    <x v="2"/>
    <n v="2025"/>
  </r>
  <r>
    <s v="INT-00505"/>
    <x v="3"/>
    <x v="1"/>
    <x v="14"/>
    <x v="0"/>
    <s v="Customer 416"/>
    <s v="WhatsApp API"/>
    <m/>
    <x v="1"/>
    <n v="0"/>
    <n v="0"/>
    <n v="0"/>
    <n v="1"/>
    <x v="79"/>
    <n v="6.3"/>
    <x v="18"/>
    <x v="2"/>
    <x v="3"/>
    <n v="2026"/>
  </r>
  <r>
    <s v="INT-00506"/>
    <x v="276"/>
    <x v="0"/>
    <x v="11"/>
    <x v="1"/>
    <s v="Customer 047"/>
    <s v="CRM"/>
    <s v="Referral"/>
    <x v="6"/>
    <n v="1"/>
    <n v="16000"/>
    <n v="0"/>
    <m/>
    <x v="151"/>
    <m/>
    <x v="0"/>
    <x v="8"/>
    <x v="4"/>
    <n v="2026"/>
  </r>
  <r>
    <s v="INT-00507"/>
    <x v="218"/>
    <x v="1"/>
    <x v="8"/>
    <x v="0"/>
    <s v="Customer 674"/>
    <s v="Automation"/>
    <m/>
    <x v="1"/>
    <n v="0"/>
    <n v="0"/>
    <n v="0"/>
    <n v="1"/>
    <x v="79"/>
    <n v="3.8"/>
    <x v="23"/>
    <x v="2"/>
    <x v="5"/>
    <n v="2026"/>
  </r>
  <r>
    <s v="INT-00508"/>
    <x v="171"/>
    <x v="1"/>
    <x v="2"/>
    <x v="1"/>
    <s v="Customer 309"/>
    <s v="CRM"/>
    <m/>
    <x v="1"/>
    <n v="0"/>
    <n v="0"/>
    <n v="0"/>
    <n v="1"/>
    <x v="168"/>
    <n v="6.1"/>
    <x v="15"/>
    <x v="5"/>
    <x v="10"/>
    <n v="2025"/>
  </r>
  <r>
    <s v="INT-00509"/>
    <x v="210"/>
    <x v="1"/>
    <x v="3"/>
    <x v="0"/>
    <s v="Customer 441"/>
    <s v="Automation"/>
    <m/>
    <x v="1"/>
    <n v="0"/>
    <n v="0"/>
    <n v="0"/>
    <n v="1"/>
    <x v="24"/>
    <n v="5.4"/>
    <x v="11"/>
    <x v="2"/>
    <x v="2"/>
    <n v="2025"/>
  </r>
  <r>
    <s v="INT-00510"/>
    <x v="67"/>
    <x v="1"/>
    <x v="15"/>
    <x v="0"/>
    <s v="Customer 644"/>
    <s v="Automation"/>
    <m/>
    <x v="1"/>
    <n v="0"/>
    <n v="0"/>
    <n v="0"/>
    <n v="1"/>
    <x v="104"/>
    <n v="12.6"/>
    <x v="21"/>
    <x v="5"/>
    <x v="6"/>
    <n v="2025"/>
  </r>
  <r>
    <s v="INT-00511"/>
    <x v="277"/>
    <x v="1"/>
    <x v="1"/>
    <x v="0"/>
    <s v="Customer 250"/>
    <s v="CRM"/>
    <m/>
    <x v="1"/>
    <n v="0"/>
    <n v="0"/>
    <n v="0"/>
    <n v="1"/>
    <x v="127"/>
    <n v="2.2000000000000002"/>
    <x v="4"/>
    <x v="9"/>
    <x v="0"/>
    <n v="2026"/>
  </r>
  <r>
    <s v="INT-00512"/>
    <x v="278"/>
    <x v="0"/>
    <x v="4"/>
    <x v="4"/>
    <s v="Customer 058"/>
    <s v="WhatsApp API"/>
    <s v="Website"/>
    <x v="6"/>
    <n v="1"/>
    <n v="8000"/>
    <n v="0"/>
    <m/>
    <x v="192"/>
    <m/>
    <x v="0"/>
    <x v="8"/>
    <x v="1"/>
    <n v="2026"/>
  </r>
  <r>
    <s v="INT-00513"/>
    <x v="279"/>
    <x v="1"/>
    <x v="9"/>
    <x v="0"/>
    <s v="Customer 403"/>
    <s v="CRM"/>
    <m/>
    <x v="1"/>
    <n v="0"/>
    <n v="0"/>
    <n v="0"/>
    <n v="1"/>
    <x v="85"/>
    <n v="6.3"/>
    <x v="14"/>
    <x v="5"/>
    <x v="2"/>
    <n v="2025"/>
  </r>
  <r>
    <s v="INT-00514"/>
    <x v="234"/>
    <x v="1"/>
    <x v="9"/>
    <x v="3"/>
    <s v="Customer 635"/>
    <s v="Analytics"/>
    <m/>
    <x v="1"/>
    <n v="0"/>
    <n v="0"/>
    <n v="0"/>
    <n v="1"/>
    <x v="164"/>
    <n v="1.3"/>
    <x v="5"/>
    <x v="2"/>
    <x v="8"/>
    <n v="2026"/>
  </r>
  <r>
    <s v="INT-00515"/>
    <x v="207"/>
    <x v="0"/>
    <x v="7"/>
    <x v="0"/>
    <s v="Customer 619"/>
    <s v="WhatsApp API"/>
    <s v="Outbound"/>
    <x v="2"/>
    <n v="1"/>
    <n v="115200"/>
    <n v="0"/>
    <m/>
    <x v="193"/>
    <m/>
    <x v="0"/>
    <x v="3"/>
    <x v="8"/>
    <n v="2026"/>
  </r>
  <r>
    <s v="INT-00516"/>
    <x v="196"/>
    <x v="0"/>
    <x v="0"/>
    <x v="4"/>
    <s v="Customer 623"/>
    <s v="Automation"/>
    <s v="Inbound"/>
    <x v="4"/>
    <n v="1"/>
    <n v="54100"/>
    <n v="0"/>
    <m/>
    <x v="194"/>
    <m/>
    <x v="0"/>
    <x v="6"/>
    <x v="4"/>
    <n v="2026"/>
  </r>
  <r>
    <s v="INT-00517"/>
    <x v="127"/>
    <x v="0"/>
    <x v="5"/>
    <x v="0"/>
    <s v="Customer 510"/>
    <s v="CRM"/>
    <s v="Inbound"/>
    <x v="4"/>
    <n v="1"/>
    <n v="18300"/>
    <n v="0"/>
    <m/>
    <x v="195"/>
    <m/>
    <x v="0"/>
    <x v="6"/>
    <x v="0"/>
    <n v="2026"/>
  </r>
  <r>
    <s v="INT-00518"/>
    <x v="226"/>
    <x v="1"/>
    <x v="14"/>
    <x v="3"/>
    <s v="Customer 437"/>
    <s v="Analytics"/>
    <m/>
    <x v="1"/>
    <n v="0"/>
    <n v="0"/>
    <n v="0"/>
    <n v="1"/>
    <x v="164"/>
    <n v="4.8"/>
    <x v="11"/>
    <x v="9"/>
    <x v="0"/>
    <n v="2026"/>
  </r>
  <r>
    <s v="INT-00519"/>
    <x v="164"/>
    <x v="1"/>
    <x v="2"/>
    <x v="0"/>
    <s v="Customer 688"/>
    <s v="CRM"/>
    <m/>
    <x v="1"/>
    <n v="0"/>
    <n v="0"/>
    <n v="0"/>
    <n v="1"/>
    <x v="115"/>
    <n v="8.6"/>
    <x v="1"/>
    <x v="5"/>
    <x v="1"/>
    <n v="2026"/>
  </r>
  <r>
    <s v="INT-00520"/>
    <x v="31"/>
    <x v="0"/>
    <x v="10"/>
    <x v="0"/>
    <s v="Customer 079"/>
    <s v="Analytics"/>
    <s v="Website"/>
    <x v="2"/>
    <n v="1"/>
    <n v="8900"/>
    <n v="0"/>
    <m/>
    <x v="113"/>
    <m/>
    <x v="0"/>
    <x v="3"/>
    <x v="4"/>
    <n v="2026"/>
  </r>
  <r>
    <s v="INT-00521"/>
    <x v="157"/>
    <x v="1"/>
    <x v="12"/>
    <x v="0"/>
    <s v="Customer 444"/>
    <s v="Automation"/>
    <m/>
    <x v="1"/>
    <n v="0"/>
    <n v="0"/>
    <n v="0"/>
    <n v="1"/>
    <x v="60"/>
    <n v="7.7"/>
    <x v="1"/>
    <x v="5"/>
    <x v="0"/>
    <n v="2026"/>
  </r>
  <r>
    <s v="INT-00522"/>
    <x v="280"/>
    <x v="0"/>
    <x v="4"/>
    <x v="0"/>
    <s v="Customer 276"/>
    <s v="WhatsApp API"/>
    <s v="Outbound"/>
    <x v="0"/>
    <n v="1"/>
    <n v="51700"/>
    <n v="51700"/>
    <m/>
    <x v="140"/>
    <m/>
    <x v="0"/>
    <x v="0"/>
    <x v="10"/>
    <n v="2025"/>
  </r>
  <r>
    <s v="INT-00523"/>
    <x v="281"/>
    <x v="1"/>
    <x v="14"/>
    <x v="0"/>
    <s v="Customer 011"/>
    <s v="WhatsApp API"/>
    <m/>
    <x v="1"/>
    <n v="0"/>
    <n v="0"/>
    <n v="0"/>
    <n v="1"/>
    <x v="147"/>
    <n v="12.5"/>
    <x v="21"/>
    <x v="2"/>
    <x v="7"/>
    <n v="2026"/>
  </r>
  <r>
    <s v="INT-00524"/>
    <x v="45"/>
    <x v="1"/>
    <x v="14"/>
    <x v="1"/>
    <s v="Customer 253"/>
    <s v="Automation"/>
    <m/>
    <x v="1"/>
    <n v="0"/>
    <n v="0"/>
    <n v="0"/>
    <n v="1"/>
    <x v="7"/>
    <n v="15.3"/>
    <x v="6"/>
    <x v="1"/>
    <x v="6"/>
    <n v="2025"/>
  </r>
  <r>
    <s v="INT-00525"/>
    <x v="30"/>
    <x v="1"/>
    <x v="3"/>
    <x v="0"/>
    <s v="Customer 022"/>
    <s v="Analytics"/>
    <m/>
    <x v="1"/>
    <n v="0"/>
    <n v="0"/>
    <n v="0"/>
    <n v="1"/>
    <x v="62"/>
    <n v="5.0999999999999996"/>
    <x v="5"/>
    <x v="5"/>
    <x v="11"/>
    <n v="2026"/>
  </r>
  <r>
    <s v="INT-00526"/>
    <x v="33"/>
    <x v="0"/>
    <x v="5"/>
    <x v="0"/>
    <s v="Customer 090"/>
    <s v="Analytics"/>
    <s v="Partner"/>
    <x v="2"/>
    <n v="1"/>
    <n v="22400"/>
    <n v="0"/>
    <m/>
    <x v="50"/>
    <m/>
    <x v="0"/>
    <x v="3"/>
    <x v="4"/>
    <n v="2026"/>
  </r>
  <r>
    <s v="INT-00527"/>
    <x v="4"/>
    <x v="0"/>
    <x v="6"/>
    <x v="0"/>
    <s v="Customer 657"/>
    <s v="WhatsApp API"/>
    <s v="Outbound"/>
    <x v="4"/>
    <n v="1"/>
    <n v="10200"/>
    <n v="0"/>
    <m/>
    <x v="122"/>
    <m/>
    <x v="0"/>
    <x v="6"/>
    <x v="4"/>
    <n v="2026"/>
  </r>
  <r>
    <s v="INT-00528"/>
    <x v="282"/>
    <x v="0"/>
    <x v="4"/>
    <x v="3"/>
    <s v="Customer 357"/>
    <s v="WhatsApp API"/>
    <s v="Inbound"/>
    <x v="0"/>
    <n v="1"/>
    <n v="15800"/>
    <n v="15800"/>
    <m/>
    <x v="191"/>
    <m/>
    <x v="0"/>
    <x v="0"/>
    <x v="1"/>
    <n v="2026"/>
  </r>
  <r>
    <s v="INT-00529"/>
    <x v="12"/>
    <x v="0"/>
    <x v="6"/>
    <x v="4"/>
    <s v="Customer 240"/>
    <s v="WhatsApp API"/>
    <s v="Website"/>
    <x v="4"/>
    <n v="1"/>
    <n v="113400"/>
    <n v="0"/>
    <m/>
    <x v="93"/>
    <m/>
    <x v="0"/>
    <x v="6"/>
    <x v="2"/>
    <n v="2025"/>
  </r>
  <r>
    <s v="INT-00530"/>
    <x v="15"/>
    <x v="1"/>
    <x v="15"/>
    <x v="0"/>
    <s v="Customer 119"/>
    <s v="WhatsApp API"/>
    <m/>
    <x v="1"/>
    <n v="0"/>
    <n v="0"/>
    <n v="0"/>
    <n v="1"/>
    <x v="196"/>
    <n v="12.5"/>
    <x v="7"/>
    <x v="2"/>
    <x v="10"/>
    <n v="2025"/>
  </r>
  <r>
    <s v="INT-00531"/>
    <x v="244"/>
    <x v="1"/>
    <x v="8"/>
    <x v="0"/>
    <s v="Customer 382"/>
    <s v="CRM"/>
    <m/>
    <x v="1"/>
    <n v="0"/>
    <n v="0"/>
    <n v="0"/>
    <n v="1"/>
    <x v="197"/>
    <n v="9.8000000000000007"/>
    <x v="5"/>
    <x v="1"/>
    <x v="5"/>
    <n v="2026"/>
  </r>
  <r>
    <s v="INT-00532"/>
    <x v="100"/>
    <x v="1"/>
    <x v="2"/>
    <x v="1"/>
    <s v="Customer 145"/>
    <s v="Analytics"/>
    <m/>
    <x v="1"/>
    <n v="0"/>
    <n v="0"/>
    <n v="0"/>
    <n v="1"/>
    <x v="8"/>
    <n v="8"/>
    <x v="8"/>
    <x v="1"/>
    <x v="10"/>
    <n v="2025"/>
  </r>
  <r>
    <s v="INT-00533"/>
    <x v="231"/>
    <x v="1"/>
    <x v="1"/>
    <x v="0"/>
    <s v="Customer 444"/>
    <s v="CRM"/>
    <m/>
    <x v="1"/>
    <n v="0"/>
    <n v="0"/>
    <n v="0"/>
    <n v="1"/>
    <x v="2"/>
    <n v="11.6"/>
    <x v="25"/>
    <x v="1"/>
    <x v="2"/>
    <n v="2025"/>
  </r>
  <r>
    <s v="INT-00534"/>
    <x v="283"/>
    <x v="1"/>
    <x v="14"/>
    <x v="1"/>
    <s v="Customer 224"/>
    <s v="Analytics"/>
    <m/>
    <x v="1"/>
    <n v="0"/>
    <n v="0"/>
    <n v="0"/>
    <n v="1"/>
    <x v="148"/>
    <n v="3.4"/>
    <x v="18"/>
    <x v="1"/>
    <x v="10"/>
    <n v="2025"/>
  </r>
  <r>
    <s v="INT-00535"/>
    <x v="4"/>
    <x v="1"/>
    <x v="9"/>
    <x v="0"/>
    <s v="Customer 086"/>
    <s v="Analytics"/>
    <m/>
    <x v="1"/>
    <n v="0"/>
    <n v="0"/>
    <n v="0"/>
    <n v="1"/>
    <x v="164"/>
    <n v="20.2"/>
    <x v="1"/>
    <x v="5"/>
    <x v="4"/>
    <n v="2026"/>
  </r>
  <r>
    <s v="INT-00536"/>
    <x v="115"/>
    <x v="1"/>
    <x v="8"/>
    <x v="0"/>
    <s v="Customer 314"/>
    <s v="Analytics"/>
    <m/>
    <x v="1"/>
    <n v="0"/>
    <n v="0"/>
    <n v="0"/>
    <n v="1"/>
    <x v="24"/>
    <n v="3.9"/>
    <x v="4"/>
    <x v="9"/>
    <x v="3"/>
    <n v="2026"/>
  </r>
  <r>
    <s v="INT-00537"/>
    <x v="27"/>
    <x v="1"/>
    <x v="15"/>
    <x v="4"/>
    <s v="Customer 690"/>
    <s v="Analytics"/>
    <m/>
    <x v="1"/>
    <n v="0"/>
    <n v="0"/>
    <n v="0"/>
    <n v="1"/>
    <x v="48"/>
    <n v="7.8"/>
    <x v="8"/>
    <x v="1"/>
    <x v="11"/>
    <n v="2026"/>
  </r>
  <r>
    <s v="INT-00538"/>
    <x v="39"/>
    <x v="0"/>
    <x v="0"/>
    <x v="0"/>
    <s v="Customer 023"/>
    <s v="CRM"/>
    <s v="Referral"/>
    <x v="0"/>
    <n v="1"/>
    <n v="12900"/>
    <n v="12900"/>
    <m/>
    <x v="48"/>
    <m/>
    <x v="0"/>
    <x v="0"/>
    <x v="10"/>
    <n v="2025"/>
  </r>
  <r>
    <s v="INT-00539"/>
    <x v="284"/>
    <x v="0"/>
    <x v="5"/>
    <x v="0"/>
    <s v="Customer 044"/>
    <s v="Analytics"/>
    <s v="Referral"/>
    <x v="6"/>
    <n v="1"/>
    <n v="12400"/>
    <n v="0"/>
    <m/>
    <x v="166"/>
    <m/>
    <x v="0"/>
    <x v="8"/>
    <x v="5"/>
    <n v="2026"/>
  </r>
  <r>
    <s v="INT-00540"/>
    <x v="285"/>
    <x v="0"/>
    <x v="6"/>
    <x v="2"/>
    <s v="Customer 672"/>
    <s v="Automation"/>
    <s v="Outbound"/>
    <x v="4"/>
    <n v="1"/>
    <n v="23200"/>
    <n v="0"/>
    <m/>
    <x v="193"/>
    <m/>
    <x v="0"/>
    <x v="6"/>
    <x v="0"/>
    <n v="2026"/>
  </r>
  <r>
    <s v="INT-00541"/>
    <x v="196"/>
    <x v="1"/>
    <x v="3"/>
    <x v="4"/>
    <s v="Customer 204"/>
    <s v="Automation"/>
    <m/>
    <x v="1"/>
    <n v="0"/>
    <n v="0"/>
    <n v="0"/>
    <n v="1"/>
    <x v="115"/>
    <n v="2.4"/>
    <x v="21"/>
    <x v="1"/>
    <x v="4"/>
    <n v="2026"/>
  </r>
  <r>
    <s v="INT-00542"/>
    <x v="94"/>
    <x v="1"/>
    <x v="2"/>
    <x v="4"/>
    <s v="Customer 692"/>
    <s v="Automation"/>
    <m/>
    <x v="1"/>
    <n v="0"/>
    <n v="0"/>
    <n v="0"/>
    <n v="1"/>
    <x v="0"/>
    <n v="6.7"/>
    <x v="1"/>
    <x v="9"/>
    <x v="8"/>
    <n v="2026"/>
  </r>
  <r>
    <s v="INT-00543"/>
    <x v="42"/>
    <x v="0"/>
    <x v="13"/>
    <x v="0"/>
    <s v="Customer 676"/>
    <s v="WhatsApp API"/>
    <s v="Inbound"/>
    <x v="3"/>
    <n v="1"/>
    <n v="36900"/>
    <n v="0"/>
    <m/>
    <x v="13"/>
    <m/>
    <x v="0"/>
    <x v="4"/>
    <x v="11"/>
    <n v="2026"/>
  </r>
  <r>
    <s v="INT-00544"/>
    <x v="252"/>
    <x v="1"/>
    <x v="12"/>
    <x v="3"/>
    <s v="Customer 011"/>
    <s v="CRM"/>
    <m/>
    <x v="1"/>
    <n v="0"/>
    <n v="0"/>
    <n v="0"/>
    <n v="1"/>
    <x v="80"/>
    <n v="8.1"/>
    <x v="7"/>
    <x v="1"/>
    <x v="0"/>
    <n v="2026"/>
  </r>
  <r>
    <s v="INT-00545"/>
    <x v="153"/>
    <x v="1"/>
    <x v="12"/>
    <x v="0"/>
    <s v="Customer 080"/>
    <s v="Automation"/>
    <m/>
    <x v="1"/>
    <n v="0"/>
    <n v="0"/>
    <n v="0"/>
    <n v="1"/>
    <x v="118"/>
    <n v="2.6"/>
    <x v="4"/>
    <x v="1"/>
    <x v="0"/>
    <n v="2026"/>
  </r>
  <r>
    <s v="INT-00546"/>
    <x v="263"/>
    <x v="0"/>
    <x v="6"/>
    <x v="3"/>
    <s v="Customer 075"/>
    <s v="CRM"/>
    <s v="Inbound"/>
    <x v="0"/>
    <n v="1"/>
    <n v="22900"/>
    <n v="22900"/>
    <m/>
    <x v="16"/>
    <m/>
    <x v="0"/>
    <x v="0"/>
    <x v="4"/>
    <n v="2026"/>
  </r>
  <r>
    <s v="INT-00547"/>
    <x v="248"/>
    <x v="0"/>
    <x v="10"/>
    <x v="3"/>
    <s v="Customer 405"/>
    <s v="CRM"/>
    <s v="Website"/>
    <x v="2"/>
    <n v="1"/>
    <n v="16300"/>
    <n v="0"/>
    <m/>
    <x v="128"/>
    <m/>
    <x v="0"/>
    <x v="3"/>
    <x v="2"/>
    <n v="2025"/>
  </r>
  <r>
    <s v="INT-00548"/>
    <x v="138"/>
    <x v="1"/>
    <x v="8"/>
    <x v="0"/>
    <s v="Customer 615"/>
    <s v="Automation"/>
    <m/>
    <x v="1"/>
    <n v="0"/>
    <n v="0"/>
    <n v="0"/>
    <n v="1"/>
    <x v="84"/>
    <n v="32.4"/>
    <x v="23"/>
    <x v="2"/>
    <x v="6"/>
    <n v="2025"/>
  </r>
  <r>
    <s v="INT-00549"/>
    <x v="39"/>
    <x v="0"/>
    <x v="10"/>
    <x v="4"/>
    <s v="Customer 573"/>
    <s v="Analytics"/>
    <s v="Outbound"/>
    <x v="0"/>
    <n v="1"/>
    <n v="11600"/>
    <n v="11600"/>
    <m/>
    <x v="116"/>
    <m/>
    <x v="0"/>
    <x v="0"/>
    <x v="10"/>
    <n v="2025"/>
  </r>
  <r>
    <s v="INT-00550"/>
    <x v="168"/>
    <x v="1"/>
    <x v="8"/>
    <x v="0"/>
    <s v="Customer 092"/>
    <s v="CRM"/>
    <m/>
    <x v="1"/>
    <n v="0"/>
    <n v="0"/>
    <n v="0"/>
    <n v="1"/>
    <x v="11"/>
    <n v="7.5"/>
    <x v="13"/>
    <x v="1"/>
    <x v="8"/>
    <n v="2026"/>
  </r>
  <r>
    <s v="INT-00551"/>
    <x v="25"/>
    <x v="0"/>
    <x v="11"/>
    <x v="0"/>
    <s v="Customer 401"/>
    <s v="CRM"/>
    <s v="Inbound"/>
    <x v="5"/>
    <n v="1"/>
    <n v="78300"/>
    <n v="0"/>
    <m/>
    <x v="33"/>
    <m/>
    <x v="0"/>
    <x v="7"/>
    <x v="5"/>
    <n v="2026"/>
  </r>
  <r>
    <s v="INT-00552"/>
    <x v="286"/>
    <x v="1"/>
    <x v="14"/>
    <x v="0"/>
    <s v="Customer 676"/>
    <s v="Automation"/>
    <m/>
    <x v="1"/>
    <n v="0"/>
    <n v="0"/>
    <n v="0"/>
    <n v="1"/>
    <x v="1"/>
    <n v="3.2"/>
    <x v="5"/>
    <x v="5"/>
    <x v="4"/>
    <n v="2026"/>
  </r>
  <r>
    <s v="INT-00553"/>
    <x v="287"/>
    <x v="1"/>
    <x v="12"/>
    <x v="0"/>
    <s v="Customer 228"/>
    <s v="CRM"/>
    <m/>
    <x v="1"/>
    <n v="0"/>
    <n v="0"/>
    <n v="0"/>
    <n v="1"/>
    <x v="24"/>
    <n v="6.5"/>
    <x v="24"/>
    <x v="2"/>
    <x v="7"/>
    <n v="2026"/>
  </r>
  <r>
    <s v="INT-00554"/>
    <x v="24"/>
    <x v="1"/>
    <x v="12"/>
    <x v="4"/>
    <s v="Customer 275"/>
    <s v="Analytics"/>
    <m/>
    <x v="1"/>
    <n v="0"/>
    <n v="0"/>
    <n v="0"/>
    <n v="1"/>
    <x v="15"/>
    <n v="1.1000000000000001"/>
    <x v="19"/>
    <x v="2"/>
    <x v="4"/>
    <n v="2026"/>
  </r>
  <r>
    <s v="INT-00555"/>
    <x v="34"/>
    <x v="1"/>
    <x v="8"/>
    <x v="0"/>
    <s v="Customer 589"/>
    <s v="WhatsApp API"/>
    <m/>
    <x v="1"/>
    <n v="0"/>
    <n v="0"/>
    <n v="0"/>
    <n v="1"/>
    <x v="151"/>
    <n v="13.3"/>
    <x v="4"/>
    <x v="2"/>
    <x v="3"/>
    <n v="2026"/>
  </r>
  <r>
    <s v="INT-00556"/>
    <x v="147"/>
    <x v="0"/>
    <x v="10"/>
    <x v="3"/>
    <s v="Customer 012"/>
    <s v="Analytics"/>
    <s v="Website"/>
    <x v="2"/>
    <n v="1"/>
    <n v="69200"/>
    <n v="0"/>
    <m/>
    <x v="38"/>
    <m/>
    <x v="0"/>
    <x v="3"/>
    <x v="6"/>
    <n v="2025"/>
  </r>
  <r>
    <s v="INT-00557"/>
    <x v="186"/>
    <x v="0"/>
    <x v="4"/>
    <x v="0"/>
    <s v="Customer 203"/>
    <s v="CRM"/>
    <s v="Outbound"/>
    <x v="3"/>
    <n v="1"/>
    <n v="37900"/>
    <n v="0"/>
    <m/>
    <x v="123"/>
    <m/>
    <x v="0"/>
    <x v="4"/>
    <x v="4"/>
    <n v="2026"/>
  </r>
  <r>
    <s v="INT-00558"/>
    <x v="217"/>
    <x v="0"/>
    <x v="13"/>
    <x v="0"/>
    <s v="Customer 249"/>
    <s v="Automation"/>
    <s v="Inbound"/>
    <x v="4"/>
    <n v="1"/>
    <n v="23100"/>
    <n v="0"/>
    <m/>
    <x v="198"/>
    <m/>
    <x v="0"/>
    <x v="6"/>
    <x v="9"/>
    <n v="2025"/>
  </r>
  <r>
    <s v="INT-00559"/>
    <x v="288"/>
    <x v="1"/>
    <x v="2"/>
    <x v="0"/>
    <s v="Customer 051"/>
    <s v="CRM"/>
    <m/>
    <x v="1"/>
    <n v="0"/>
    <n v="0"/>
    <n v="0"/>
    <n v="1"/>
    <x v="16"/>
    <n v="3.7"/>
    <x v="5"/>
    <x v="1"/>
    <x v="3"/>
    <n v="2026"/>
  </r>
  <r>
    <s v="INT-00560"/>
    <x v="289"/>
    <x v="1"/>
    <x v="15"/>
    <x v="0"/>
    <s v="Customer 268"/>
    <s v="Automation"/>
    <m/>
    <x v="1"/>
    <n v="0"/>
    <n v="0"/>
    <n v="0"/>
    <n v="1"/>
    <x v="197"/>
    <n v="17.3"/>
    <x v="10"/>
    <x v="1"/>
    <x v="6"/>
    <n v="2025"/>
  </r>
  <r>
    <s v="INT-00561"/>
    <x v="128"/>
    <x v="1"/>
    <x v="9"/>
    <x v="0"/>
    <s v="Customer 128"/>
    <s v="WhatsApp API"/>
    <m/>
    <x v="1"/>
    <n v="0"/>
    <n v="0"/>
    <n v="0"/>
    <n v="1"/>
    <x v="63"/>
    <n v="6"/>
    <x v="5"/>
    <x v="1"/>
    <x v="11"/>
    <n v="2026"/>
  </r>
  <r>
    <s v="INT-00562"/>
    <x v="6"/>
    <x v="0"/>
    <x v="11"/>
    <x v="1"/>
    <s v="Customer 203"/>
    <s v="Automation"/>
    <s v="Inbound"/>
    <x v="6"/>
    <n v="1"/>
    <n v="19500"/>
    <n v="0"/>
    <m/>
    <x v="13"/>
    <m/>
    <x v="0"/>
    <x v="8"/>
    <x v="5"/>
    <n v="2026"/>
  </r>
  <r>
    <s v="INT-00563"/>
    <x v="104"/>
    <x v="0"/>
    <x v="6"/>
    <x v="0"/>
    <s v="Customer 600"/>
    <s v="WhatsApp API"/>
    <s v="Inbound"/>
    <x v="6"/>
    <n v="1"/>
    <n v="44600"/>
    <n v="0"/>
    <m/>
    <x v="27"/>
    <m/>
    <x v="0"/>
    <x v="8"/>
    <x v="2"/>
    <n v="2025"/>
  </r>
  <r>
    <s v="INT-00564"/>
    <x v="290"/>
    <x v="0"/>
    <x v="6"/>
    <x v="2"/>
    <s v="Customer 065"/>
    <s v="Automation"/>
    <s v="Outbound"/>
    <x v="2"/>
    <n v="1"/>
    <n v="13600"/>
    <n v="0"/>
    <m/>
    <x v="151"/>
    <m/>
    <x v="0"/>
    <x v="3"/>
    <x v="1"/>
    <n v="2026"/>
  </r>
  <r>
    <s v="INT-00565"/>
    <x v="50"/>
    <x v="0"/>
    <x v="0"/>
    <x v="0"/>
    <s v="Customer 641"/>
    <s v="WhatsApp API"/>
    <s v="Inbound"/>
    <x v="5"/>
    <n v="1"/>
    <n v="46000"/>
    <n v="0"/>
    <m/>
    <x v="23"/>
    <m/>
    <x v="0"/>
    <x v="7"/>
    <x v="1"/>
    <n v="2026"/>
  </r>
  <r>
    <s v="INT-00566"/>
    <x v="291"/>
    <x v="1"/>
    <x v="2"/>
    <x v="4"/>
    <s v="Customer 208"/>
    <s v="WhatsApp API"/>
    <m/>
    <x v="1"/>
    <n v="0"/>
    <n v="0"/>
    <n v="0"/>
    <n v="1"/>
    <x v="15"/>
    <n v="10.4"/>
    <x v="19"/>
    <x v="2"/>
    <x v="4"/>
    <n v="2026"/>
  </r>
  <r>
    <s v="INT-00567"/>
    <x v="292"/>
    <x v="0"/>
    <x v="0"/>
    <x v="2"/>
    <s v="Customer 698"/>
    <s v="WhatsApp API"/>
    <s v="Outbound"/>
    <x v="4"/>
    <n v="1"/>
    <n v="36600"/>
    <n v="0"/>
    <m/>
    <x v="78"/>
    <m/>
    <x v="0"/>
    <x v="6"/>
    <x v="9"/>
    <n v="2025"/>
  </r>
  <r>
    <s v="INT-00568"/>
    <x v="139"/>
    <x v="0"/>
    <x v="7"/>
    <x v="4"/>
    <s v="Customer 026"/>
    <s v="WhatsApp API"/>
    <s v="Outbound"/>
    <x v="2"/>
    <n v="1"/>
    <n v="9800"/>
    <n v="0"/>
    <m/>
    <x v="123"/>
    <m/>
    <x v="0"/>
    <x v="3"/>
    <x v="1"/>
    <n v="2026"/>
  </r>
  <r>
    <s v="INT-00569"/>
    <x v="293"/>
    <x v="1"/>
    <x v="12"/>
    <x v="0"/>
    <s v="Customer 091"/>
    <s v="WhatsApp API"/>
    <m/>
    <x v="1"/>
    <n v="0"/>
    <n v="0"/>
    <n v="0"/>
    <n v="1"/>
    <x v="108"/>
    <n v="12.7"/>
    <x v="7"/>
    <x v="2"/>
    <x v="0"/>
    <n v="2026"/>
  </r>
  <r>
    <s v="INT-00570"/>
    <x v="206"/>
    <x v="0"/>
    <x v="5"/>
    <x v="0"/>
    <s v="Customer 105"/>
    <s v="Automation"/>
    <s v="Website"/>
    <x v="0"/>
    <n v="1"/>
    <n v="11900"/>
    <n v="11900"/>
    <m/>
    <x v="199"/>
    <m/>
    <x v="0"/>
    <x v="0"/>
    <x v="7"/>
    <n v="2026"/>
  </r>
  <r>
    <s v="INT-00571"/>
    <x v="255"/>
    <x v="0"/>
    <x v="13"/>
    <x v="0"/>
    <s v="Customer 371"/>
    <s v="Automation"/>
    <s v="Website"/>
    <x v="3"/>
    <n v="1"/>
    <n v="19400"/>
    <n v="0"/>
    <m/>
    <x v="200"/>
    <m/>
    <x v="0"/>
    <x v="4"/>
    <x v="9"/>
    <n v="2025"/>
  </r>
  <r>
    <s v="INT-00572"/>
    <x v="140"/>
    <x v="1"/>
    <x v="12"/>
    <x v="0"/>
    <s v="Customer 381"/>
    <s v="Analytics"/>
    <m/>
    <x v="1"/>
    <n v="0"/>
    <n v="0"/>
    <n v="0"/>
    <n v="1"/>
    <x v="158"/>
    <n v="6.2"/>
    <x v="21"/>
    <x v="9"/>
    <x v="0"/>
    <n v="2026"/>
  </r>
  <r>
    <s v="INT-00573"/>
    <x v="248"/>
    <x v="0"/>
    <x v="13"/>
    <x v="3"/>
    <s v="Customer 402"/>
    <s v="Analytics"/>
    <s v="Inbound"/>
    <x v="6"/>
    <n v="1"/>
    <n v="25100"/>
    <n v="0"/>
    <m/>
    <x v="6"/>
    <m/>
    <x v="0"/>
    <x v="8"/>
    <x v="2"/>
    <n v="2025"/>
  </r>
  <r>
    <s v="INT-00574"/>
    <x v="7"/>
    <x v="1"/>
    <x v="3"/>
    <x v="2"/>
    <s v="Customer 042"/>
    <s v="WhatsApp API"/>
    <m/>
    <x v="1"/>
    <n v="0"/>
    <n v="0"/>
    <n v="0"/>
    <n v="1"/>
    <x v="65"/>
    <n v="7.6"/>
    <x v="12"/>
    <x v="5"/>
    <x v="3"/>
    <n v="2026"/>
  </r>
  <r>
    <s v="INT-00575"/>
    <x v="45"/>
    <x v="1"/>
    <x v="8"/>
    <x v="0"/>
    <s v="Customer 281"/>
    <s v="Automation"/>
    <m/>
    <x v="1"/>
    <n v="0"/>
    <n v="0"/>
    <n v="0"/>
    <n v="1"/>
    <x v="138"/>
    <n v="4.5"/>
    <x v="2"/>
    <x v="2"/>
    <x v="6"/>
    <n v="2025"/>
  </r>
  <r>
    <s v="INT-00576"/>
    <x v="150"/>
    <x v="1"/>
    <x v="3"/>
    <x v="3"/>
    <s v="Customer 062"/>
    <s v="WhatsApp API"/>
    <m/>
    <x v="1"/>
    <n v="0"/>
    <n v="0"/>
    <n v="0"/>
    <n v="1"/>
    <x v="11"/>
    <n v="2.9"/>
    <x v="11"/>
    <x v="2"/>
    <x v="1"/>
    <n v="2026"/>
  </r>
  <r>
    <s v="INT-00577"/>
    <x v="12"/>
    <x v="0"/>
    <x v="5"/>
    <x v="1"/>
    <s v="Customer 446"/>
    <s v="WhatsApp API"/>
    <s v="Inbound"/>
    <x v="6"/>
    <n v="1"/>
    <n v="36900"/>
    <n v="0"/>
    <m/>
    <x v="157"/>
    <m/>
    <x v="0"/>
    <x v="8"/>
    <x v="2"/>
    <n v="2025"/>
  </r>
  <r>
    <s v="INT-00578"/>
    <x v="292"/>
    <x v="1"/>
    <x v="15"/>
    <x v="0"/>
    <s v="Customer 522"/>
    <s v="CRM"/>
    <m/>
    <x v="1"/>
    <n v="0"/>
    <n v="0"/>
    <n v="0"/>
    <n v="1"/>
    <x v="13"/>
    <n v="15.5"/>
    <x v="5"/>
    <x v="2"/>
    <x v="9"/>
    <n v="2025"/>
  </r>
  <r>
    <s v="INT-00579"/>
    <x v="74"/>
    <x v="0"/>
    <x v="10"/>
    <x v="1"/>
    <s v="Customer 546"/>
    <s v="WhatsApp API"/>
    <s v="Website"/>
    <x v="2"/>
    <n v="1"/>
    <n v="12000"/>
    <n v="0"/>
    <m/>
    <x v="75"/>
    <m/>
    <x v="0"/>
    <x v="3"/>
    <x v="3"/>
    <n v="2026"/>
  </r>
  <r>
    <s v="INT-00580"/>
    <x v="115"/>
    <x v="0"/>
    <x v="11"/>
    <x v="0"/>
    <s v="Customer 540"/>
    <s v="CRM"/>
    <s v="Partner"/>
    <x v="3"/>
    <n v="1"/>
    <n v="16800"/>
    <n v="0"/>
    <m/>
    <x v="72"/>
    <m/>
    <x v="0"/>
    <x v="4"/>
    <x v="3"/>
    <n v="2026"/>
  </r>
  <r>
    <s v="INT-00581"/>
    <x v="172"/>
    <x v="0"/>
    <x v="13"/>
    <x v="4"/>
    <s v="Customer 099"/>
    <s v="Automation"/>
    <s v="Outbound"/>
    <x v="0"/>
    <n v="1"/>
    <n v="5500"/>
    <n v="5500"/>
    <m/>
    <x v="3"/>
    <m/>
    <x v="0"/>
    <x v="0"/>
    <x v="3"/>
    <n v="2026"/>
  </r>
  <r>
    <s v="INT-00582"/>
    <x v="241"/>
    <x v="1"/>
    <x v="12"/>
    <x v="0"/>
    <s v="Customer 479"/>
    <s v="Automation"/>
    <m/>
    <x v="1"/>
    <n v="0"/>
    <n v="0"/>
    <n v="0"/>
    <n v="1"/>
    <x v="80"/>
    <n v="4.7"/>
    <x v="6"/>
    <x v="5"/>
    <x v="5"/>
    <n v="2026"/>
  </r>
  <r>
    <s v="INT-00583"/>
    <x v="72"/>
    <x v="0"/>
    <x v="10"/>
    <x v="4"/>
    <s v="Customer 215"/>
    <s v="Analytics"/>
    <s v="Outbound"/>
    <x v="5"/>
    <n v="1"/>
    <n v="22200"/>
    <n v="0"/>
    <m/>
    <x v="148"/>
    <m/>
    <x v="0"/>
    <x v="7"/>
    <x v="1"/>
    <n v="2026"/>
  </r>
  <r>
    <s v="INT-00584"/>
    <x v="212"/>
    <x v="0"/>
    <x v="6"/>
    <x v="0"/>
    <s v="Customer 544"/>
    <s v="Analytics"/>
    <s v="Inbound"/>
    <x v="6"/>
    <n v="1"/>
    <n v="17200"/>
    <n v="0"/>
    <m/>
    <x v="43"/>
    <m/>
    <x v="0"/>
    <x v="8"/>
    <x v="3"/>
    <n v="2026"/>
  </r>
  <r>
    <s v="INT-00585"/>
    <x v="192"/>
    <x v="1"/>
    <x v="8"/>
    <x v="3"/>
    <s v="Customer 114"/>
    <s v="WhatsApp API"/>
    <m/>
    <x v="1"/>
    <n v="0"/>
    <n v="0"/>
    <n v="0"/>
    <n v="1"/>
    <x v="55"/>
    <n v="3.1"/>
    <x v="26"/>
    <x v="5"/>
    <x v="11"/>
    <n v="2026"/>
  </r>
  <r>
    <s v="INT-00586"/>
    <x v="27"/>
    <x v="0"/>
    <x v="5"/>
    <x v="1"/>
    <s v="Customer 623"/>
    <s v="Automation"/>
    <s v="Outbound"/>
    <x v="4"/>
    <n v="1"/>
    <n v="5000"/>
    <n v="0"/>
    <m/>
    <x v="75"/>
    <m/>
    <x v="0"/>
    <x v="6"/>
    <x v="11"/>
    <n v="2026"/>
  </r>
  <r>
    <s v="INT-00587"/>
    <x v="264"/>
    <x v="0"/>
    <x v="5"/>
    <x v="2"/>
    <s v="Customer 153"/>
    <s v="WhatsApp API"/>
    <s v="Referral"/>
    <x v="6"/>
    <n v="1"/>
    <n v="25600"/>
    <n v="0"/>
    <m/>
    <x v="61"/>
    <m/>
    <x v="0"/>
    <x v="8"/>
    <x v="11"/>
    <n v="2026"/>
  </r>
  <r>
    <s v="INT-00588"/>
    <x v="217"/>
    <x v="0"/>
    <x v="4"/>
    <x v="2"/>
    <s v="Customer 144"/>
    <s v="WhatsApp API"/>
    <s v="Partner"/>
    <x v="3"/>
    <n v="1"/>
    <n v="26400"/>
    <n v="0"/>
    <m/>
    <x v="18"/>
    <m/>
    <x v="0"/>
    <x v="4"/>
    <x v="9"/>
    <n v="2025"/>
  </r>
  <r>
    <s v="INT-00589"/>
    <x v="294"/>
    <x v="0"/>
    <x v="5"/>
    <x v="0"/>
    <s v="Customer 297"/>
    <s v="CRM"/>
    <s v="Inbound"/>
    <x v="0"/>
    <n v="1"/>
    <n v="42600"/>
    <n v="42600"/>
    <m/>
    <x v="197"/>
    <m/>
    <x v="0"/>
    <x v="0"/>
    <x v="5"/>
    <n v="2026"/>
  </r>
  <r>
    <s v="INT-00590"/>
    <x v="295"/>
    <x v="0"/>
    <x v="11"/>
    <x v="0"/>
    <s v="Customer 138"/>
    <s v="CRM"/>
    <s v="Partner"/>
    <x v="2"/>
    <n v="1"/>
    <n v="12400"/>
    <n v="0"/>
    <m/>
    <x v="8"/>
    <m/>
    <x v="0"/>
    <x v="3"/>
    <x v="3"/>
    <n v="2026"/>
  </r>
  <r>
    <s v="INT-00591"/>
    <x v="264"/>
    <x v="0"/>
    <x v="6"/>
    <x v="0"/>
    <s v="Customer 285"/>
    <s v="Automation"/>
    <s v="Website"/>
    <x v="2"/>
    <n v="1"/>
    <n v="24400"/>
    <n v="0"/>
    <m/>
    <x v="201"/>
    <m/>
    <x v="0"/>
    <x v="3"/>
    <x v="11"/>
    <n v="2026"/>
  </r>
  <r>
    <s v="INT-00592"/>
    <x v="194"/>
    <x v="1"/>
    <x v="9"/>
    <x v="0"/>
    <s v="Customer 136"/>
    <s v="Automation"/>
    <m/>
    <x v="1"/>
    <n v="0"/>
    <n v="0"/>
    <n v="0"/>
    <n v="1"/>
    <x v="44"/>
    <n v="3.1"/>
    <x v="5"/>
    <x v="1"/>
    <x v="8"/>
    <n v="2026"/>
  </r>
  <r>
    <s v="INT-00593"/>
    <x v="233"/>
    <x v="0"/>
    <x v="5"/>
    <x v="4"/>
    <s v="Customer 677"/>
    <s v="CRM"/>
    <s v="Inbound"/>
    <x v="6"/>
    <n v="1"/>
    <n v="11700"/>
    <n v="0"/>
    <m/>
    <x v="64"/>
    <m/>
    <x v="0"/>
    <x v="8"/>
    <x v="9"/>
    <n v="2025"/>
  </r>
  <r>
    <s v="INT-00594"/>
    <x v="296"/>
    <x v="0"/>
    <x v="5"/>
    <x v="2"/>
    <s v="Customer 684"/>
    <s v="Automation"/>
    <s v="Inbound"/>
    <x v="5"/>
    <n v="1"/>
    <n v="27500"/>
    <n v="0"/>
    <m/>
    <x v="187"/>
    <m/>
    <x v="0"/>
    <x v="7"/>
    <x v="3"/>
    <n v="2026"/>
  </r>
  <r>
    <s v="INT-00595"/>
    <x v="172"/>
    <x v="1"/>
    <x v="1"/>
    <x v="0"/>
    <s v="Customer 073"/>
    <s v="WhatsApp API"/>
    <m/>
    <x v="1"/>
    <n v="0"/>
    <n v="0"/>
    <n v="0"/>
    <n v="1"/>
    <x v="88"/>
    <n v="3"/>
    <x v="1"/>
    <x v="2"/>
    <x v="3"/>
    <n v="2026"/>
  </r>
  <r>
    <s v="INT-00596"/>
    <x v="128"/>
    <x v="0"/>
    <x v="13"/>
    <x v="0"/>
    <s v="Customer 077"/>
    <s v="Automation"/>
    <s v="Outbound"/>
    <x v="4"/>
    <n v="1"/>
    <n v="49700"/>
    <n v="0"/>
    <m/>
    <x v="196"/>
    <m/>
    <x v="0"/>
    <x v="6"/>
    <x v="11"/>
    <n v="2026"/>
  </r>
  <r>
    <s v="INT-00597"/>
    <x v="152"/>
    <x v="1"/>
    <x v="3"/>
    <x v="4"/>
    <s v="Customer 142"/>
    <s v="CRM"/>
    <m/>
    <x v="1"/>
    <n v="0"/>
    <n v="0"/>
    <n v="0"/>
    <n v="1"/>
    <x v="59"/>
    <n v="5.9"/>
    <x v="9"/>
    <x v="2"/>
    <x v="6"/>
    <n v="2025"/>
  </r>
  <r>
    <s v="INT-00598"/>
    <x v="173"/>
    <x v="0"/>
    <x v="6"/>
    <x v="3"/>
    <s v="Customer 656"/>
    <s v="Analytics"/>
    <s v="Inbound"/>
    <x v="3"/>
    <n v="1"/>
    <n v="46600"/>
    <n v="0"/>
    <m/>
    <x v="86"/>
    <m/>
    <x v="0"/>
    <x v="4"/>
    <x v="8"/>
    <n v="2026"/>
  </r>
  <r>
    <s v="INT-00599"/>
    <x v="102"/>
    <x v="0"/>
    <x v="0"/>
    <x v="2"/>
    <s v="Customer 063"/>
    <s v="WhatsApp API"/>
    <s v="Partner"/>
    <x v="2"/>
    <n v="1"/>
    <n v="20700"/>
    <n v="0"/>
    <m/>
    <x v="87"/>
    <m/>
    <x v="0"/>
    <x v="3"/>
    <x v="6"/>
    <n v="2025"/>
  </r>
  <r>
    <s v="INT-00600"/>
    <x v="297"/>
    <x v="0"/>
    <x v="0"/>
    <x v="1"/>
    <s v="Customer 604"/>
    <s v="Analytics"/>
    <s v="Referral"/>
    <x v="0"/>
    <n v="1"/>
    <n v="10900"/>
    <n v="10900"/>
    <m/>
    <x v="103"/>
    <m/>
    <x v="0"/>
    <x v="0"/>
    <x v="9"/>
    <n v="2025"/>
  </r>
  <r>
    <s v="INT-00601"/>
    <x v="46"/>
    <x v="0"/>
    <x v="0"/>
    <x v="0"/>
    <s v="Customer 249"/>
    <s v="CRM"/>
    <s v="Inbound"/>
    <x v="2"/>
    <n v="1"/>
    <n v="18900"/>
    <n v="0"/>
    <m/>
    <x v="177"/>
    <m/>
    <x v="0"/>
    <x v="3"/>
    <x v="2"/>
    <n v="2025"/>
  </r>
  <r>
    <s v="INT-00602"/>
    <x v="228"/>
    <x v="0"/>
    <x v="0"/>
    <x v="0"/>
    <s v="Customer 066"/>
    <s v="Analytics"/>
    <s v="Outbound"/>
    <x v="0"/>
    <n v="1"/>
    <n v="15300"/>
    <n v="15300"/>
    <m/>
    <x v="164"/>
    <m/>
    <x v="0"/>
    <x v="0"/>
    <x v="2"/>
    <n v="2025"/>
  </r>
  <r>
    <s v="INT-00603"/>
    <x v="4"/>
    <x v="0"/>
    <x v="5"/>
    <x v="1"/>
    <s v="Customer 246"/>
    <s v="Automation"/>
    <s v="Website"/>
    <x v="2"/>
    <n v="1"/>
    <n v="41400"/>
    <n v="0"/>
    <m/>
    <x v="120"/>
    <m/>
    <x v="0"/>
    <x v="3"/>
    <x v="4"/>
    <n v="2026"/>
  </r>
  <r>
    <s v="INT-00604"/>
    <x v="298"/>
    <x v="0"/>
    <x v="4"/>
    <x v="3"/>
    <s v="Customer 495"/>
    <s v="Automation"/>
    <s v="Outbound"/>
    <x v="0"/>
    <n v="1"/>
    <n v="37900"/>
    <n v="37900"/>
    <m/>
    <x v="80"/>
    <m/>
    <x v="0"/>
    <x v="0"/>
    <x v="11"/>
    <n v="2026"/>
  </r>
  <r>
    <s v="INT-00605"/>
    <x v="115"/>
    <x v="0"/>
    <x v="5"/>
    <x v="1"/>
    <s v="Customer 057"/>
    <s v="WhatsApp API"/>
    <s v="Outbound"/>
    <x v="3"/>
    <n v="1"/>
    <n v="9100"/>
    <n v="0"/>
    <m/>
    <x v="147"/>
    <m/>
    <x v="0"/>
    <x v="4"/>
    <x v="3"/>
    <n v="2026"/>
  </r>
  <r>
    <s v="INT-00606"/>
    <x v="105"/>
    <x v="0"/>
    <x v="6"/>
    <x v="0"/>
    <s v="Customer 329"/>
    <s v="WhatsApp API"/>
    <s v="Inbound"/>
    <x v="0"/>
    <n v="1"/>
    <n v="18500"/>
    <n v="18500"/>
    <m/>
    <x v="98"/>
    <m/>
    <x v="0"/>
    <x v="0"/>
    <x v="9"/>
    <n v="2025"/>
  </r>
  <r>
    <s v="INT-00607"/>
    <x v="62"/>
    <x v="0"/>
    <x v="5"/>
    <x v="1"/>
    <s v="Customer 653"/>
    <s v="CRM"/>
    <s v="Outbound"/>
    <x v="0"/>
    <n v="1"/>
    <n v="28500"/>
    <n v="28500"/>
    <m/>
    <x v="202"/>
    <m/>
    <x v="0"/>
    <x v="0"/>
    <x v="5"/>
    <n v="2026"/>
  </r>
  <r>
    <s v="INT-00608"/>
    <x v="247"/>
    <x v="0"/>
    <x v="4"/>
    <x v="0"/>
    <s v="Customer 640"/>
    <s v="WhatsApp API"/>
    <s v="Inbound"/>
    <x v="4"/>
    <n v="1"/>
    <n v="55200"/>
    <n v="0"/>
    <m/>
    <x v="69"/>
    <m/>
    <x v="0"/>
    <x v="6"/>
    <x v="3"/>
    <n v="2026"/>
  </r>
  <r>
    <s v="INT-00609"/>
    <x v="153"/>
    <x v="0"/>
    <x v="10"/>
    <x v="1"/>
    <s v="Customer 537"/>
    <s v="WhatsApp API"/>
    <s v="Referral"/>
    <x v="3"/>
    <n v="1"/>
    <n v="19000"/>
    <n v="0"/>
    <m/>
    <x v="166"/>
    <m/>
    <x v="0"/>
    <x v="4"/>
    <x v="0"/>
    <n v="2026"/>
  </r>
  <r>
    <s v="INT-00610"/>
    <x v="299"/>
    <x v="1"/>
    <x v="12"/>
    <x v="2"/>
    <s v="Customer 352"/>
    <s v="Automation"/>
    <m/>
    <x v="1"/>
    <n v="0"/>
    <n v="0"/>
    <n v="0"/>
    <n v="1"/>
    <x v="47"/>
    <n v="6.5"/>
    <x v="5"/>
    <x v="2"/>
    <x v="2"/>
    <n v="2025"/>
  </r>
  <r>
    <s v="INT-00611"/>
    <x v="91"/>
    <x v="0"/>
    <x v="0"/>
    <x v="4"/>
    <s v="Customer 630"/>
    <s v="Automation"/>
    <s v="Inbound"/>
    <x v="6"/>
    <n v="1"/>
    <n v="22600"/>
    <n v="0"/>
    <m/>
    <x v="39"/>
    <m/>
    <x v="0"/>
    <x v="8"/>
    <x v="3"/>
    <n v="2026"/>
  </r>
  <r>
    <s v="INT-00612"/>
    <x v="300"/>
    <x v="1"/>
    <x v="9"/>
    <x v="2"/>
    <s v="Customer 623"/>
    <s v="CRM"/>
    <m/>
    <x v="1"/>
    <n v="0"/>
    <n v="0"/>
    <n v="0"/>
    <n v="1"/>
    <x v="104"/>
    <n v="8.1"/>
    <x v="9"/>
    <x v="5"/>
    <x v="8"/>
    <n v="2026"/>
  </r>
  <r>
    <s v="INT-00613"/>
    <x v="58"/>
    <x v="1"/>
    <x v="14"/>
    <x v="0"/>
    <s v="Customer 580"/>
    <s v="CRM"/>
    <m/>
    <x v="1"/>
    <n v="0"/>
    <n v="0"/>
    <n v="0"/>
    <n v="1"/>
    <x v="29"/>
    <n v="9"/>
    <x v="13"/>
    <x v="5"/>
    <x v="11"/>
    <n v="2026"/>
  </r>
  <r>
    <s v="INT-00614"/>
    <x v="148"/>
    <x v="0"/>
    <x v="5"/>
    <x v="2"/>
    <s v="Customer 215"/>
    <s v="WhatsApp API"/>
    <s v="Website"/>
    <x v="2"/>
    <n v="1"/>
    <n v="8500"/>
    <n v="0"/>
    <m/>
    <x v="45"/>
    <m/>
    <x v="0"/>
    <x v="3"/>
    <x v="4"/>
    <n v="2026"/>
  </r>
  <r>
    <s v="INT-00615"/>
    <x v="247"/>
    <x v="1"/>
    <x v="8"/>
    <x v="4"/>
    <s v="Customer 011"/>
    <s v="CRM"/>
    <m/>
    <x v="1"/>
    <n v="0"/>
    <n v="0"/>
    <n v="0"/>
    <n v="1"/>
    <x v="31"/>
    <n v="8.4"/>
    <x v="14"/>
    <x v="1"/>
    <x v="3"/>
    <n v="2026"/>
  </r>
  <r>
    <s v="INT-00616"/>
    <x v="107"/>
    <x v="1"/>
    <x v="15"/>
    <x v="0"/>
    <s v="Customer 428"/>
    <s v="WhatsApp API"/>
    <m/>
    <x v="1"/>
    <n v="0"/>
    <n v="0"/>
    <n v="0"/>
    <n v="1"/>
    <x v="33"/>
    <n v="11.5"/>
    <x v="17"/>
    <x v="2"/>
    <x v="2"/>
    <n v="2025"/>
  </r>
  <r>
    <s v="INT-00617"/>
    <x v="152"/>
    <x v="0"/>
    <x v="5"/>
    <x v="2"/>
    <s v="Customer 522"/>
    <s v="Automation"/>
    <s v="Partner"/>
    <x v="6"/>
    <n v="1"/>
    <n v="27900"/>
    <n v="0"/>
    <m/>
    <x v="117"/>
    <m/>
    <x v="0"/>
    <x v="8"/>
    <x v="6"/>
    <n v="2025"/>
  </r>
  <r>
    <s v="INT-00618"/>
    <x v="301"/>
    <x v="0"/>
    <x v="11"/>
    <x v="3"/>
    <s v="Customer 393"/>
    <s v="WhatsApp API"/>
    <s v="Referral"/>
    <x v="5"/>
    <n v="1"/>
    <n v="13400"/>
    <n v="0"/>
    <m/>
    <x v="142"/>
    <m/>
    <x v="0"/>
    <x v="7"/>
    <x v="10"/>
    <n v="2025"/>
  </r>
  <r>
    <s v="INT-00619"/>
    <x v="257"/>
    <x v="1"/>
    <x v="15"/>
    <x v="1"/>
    <s v="Customer 435"/>
    <s v="CRM"/>
    <m/>
    <x v="1"/>
    <n v="0"/>
    <n v="0"/>
    <n v="0"/>
    <n v="1"/>
    <x v="44"/>
    <n v="4.5"/>
    <x v="14"/>
    <x v="2"/>
    <x v="1"/>
    <n v="2026"/>
  </r>
  <r>
    <s v="INT-00620"/>
    <x v="199"/>
    <x v="1"/>
    <x v="14"/>
    <x v="3"/>
    <s v="Customer 584"/>
    <s v="WhatsApp API"/>
    <m/>
    <x v="1"/>
    <n v="0"/>
    <n v="0"/>
    <n v="0"/>
    <n v="1"/>
    <x v="44"/>
    <n v="12"/>
    <x v="8"/>
    <x v="9"/>
    <x v="11"/>
    <n v="2026"/>
  </r>
  <r>
    <s v="INT-00621"/>
    <x v="130"/>
    <x v="0"/>
    <x v="6"/>
    <x v="1"/>
    <s v="Customer 180"/>
    <s v="Automation"/>
    <s v="Partner"/>
    <x v="0"/>
    <n v="1"/>
    <n v="17600"/>
    <n v="17600"/>
    <m/>
    <x v="202"/>
    <m/>
    <x v="0"/>
    <x v="0"/>
    <x v="1"/>
    <n v="2026"/>
  </r>
  <r>
    <s v="INT-00622"/>
    <x v="302"/>
    <x v="0"/>
    <x v="6"/>
    <x v="0"/>
    <s v="Customer 118"/>
    <s v="Automation"/>
    <s v="Inbound"/>
    <x v="4"/>
    <n v="1"/>
    <n v="7400"/>
    <n v="0"/>
    <m/>
    <x v="9"/>
    <m/>
    <x v="0"/>
    <x v="6"/>
    <x v="2"/>
    <n v="2025"/>
  </r>
  <r>
    <s v="INT-00623"/>
    <x v="303"/>
    <x v="0"/>
    <x v="6"/>
    <x v="0"/>
    <s v="Customer 468"/>
    <s v="Analytics"/>
    <s v="Inbound"/>
    <x v="4"/>
    <n v="1"/>
    <n v="102400"/>
    <n v="0"/>
    <m/>
    <x v="159"/>
    <m/>
    <x v="0"/>
    <x v="6"/>
    <x v="8"/>
    <n v="2026"/>
  </r>
  <r>
    <s v="INT-00624"/>
    <x v="202"/>
    <x v="0"/>
    <x v="5"/>
    <x v="0"/>
    <s v="Customer 186"/>
    <s v="Automation"/>
    <s v="Partner"/>
    <x v="2"/>
    <n v="1"/>
    <n v="9400"/>
    <n v="0"/>
    <m/>
    <x v="90"/>
    <m/>
    <x v="0"/>
    <x v="3"/>
    <x v="5"/>
    <n v="2026"/>
  </r>
  <r>
    <s v="INT-00625"/>
    <x v="273"/>
    <x v="1"/>
    <x v="3"/>
    <x v="0"/>
    <s v="Customer 538"/>
    <s v="Analytics"/>
    <m/>
    <x v="1"/>
    <n v="0"/>
    <n v="0"/>
    <n v="0"/>
    <n v="1"/>
    <x v="163"/>
    <n v="2.8"/>
    <x v="14"/>
    <x v="2"/>
    <x v="10"/>
    <n v="2025"/>
  </r>
  <r>
    <s v="INT-00626"/>
    <x v="222"/>
    <x v="0"/>
    <x v="13"/>
    <x v="0"/>
    <s v="Customer 123"/>
    <s v="WhatsApp API"/>
    <s v="Outbound"/>
    <x v="2"/>
    <n v="1"/>
    <n v="17700"/>
    <n v="0"/>
    <m/>
    <x v="49"/>
    <m/>
    <x v="0"/>
    <x v="3"/>
    <x v="6"/>
    <n v="2025"/>
  </r>
  <r>
    <s v="INT-00627"/>
    <x v="149"/>
    <x v="0"/>
    <x v="6"/>
    <x v="4"/>
    <s v="Customer 601"/>
    <s v="CRM"/>
    <s v="Outbound"/>
    <x v="0"/>
    <n v="1"/>
    <n v="18000"/>
    <n v="18000"/>
    <m/>
    <x v="186"/>
    <m/>
    <x v="0"/>
    <x v="0"/>
    <x v="5"/>
    <n v="2026"/>
  </r>
  <r>
    <s v="INT-00628"/>
    <x v="261"/>
    <x v="1"/>
    <x v="2"/>
    <x v="0"/>
    <s v="Customer 271"/>
    <s v="CRM"/>
    <m/>
    <x v="1"/>
    <n v="0"/>
    <n v="0"/>
    <n v="0"/>
    <n v="1"/>
    <x v="177"/>
    <n v="9.1"/>
    <x v="3"/>
    <x v="2"/>
    <x v="1"/>
    <n v="2026"/>
  </r>
  <r>
    <s v="INT-00629"/>
    <x v="281"/>
    <x v="0"/>
    <x v="11"/>
    <x v="3"/>
    <s v="Customer 261"/>
    <s v="Automation"/>
    <s v="Outbound"/>
    <x v="2"/>
    <n v="1"/>
    <n v="29600"/>
    <n v="0"/>
    <m/>
    <x v="17"/>
    <m/>
    <x v="0"/>
    <x v="3"/>
    <x v="7"/>
    <n v="2026"/>
  </r>
  <r>
    <s v="INT-00630"/>
    <x v="47"/>
    <x v="0"/>
    <x v="11"/>
    <x v="2"/>
    <s v="Customer 244"/>
    <s v="Analytics"/>
    <s v="Partner"/>
    <x v="6"/>
    <n v="1"/>
    <n v="31900"/>
    <n v="0"/>
    <m/>
    <x v="172"/>
    <m/>
    <x v="0"/>
    <x v="8"/>
    <x v="11"/>
    <n v="2026"/>
  </r>
  <r>
    <s v="INT-00631"/>
    <x v="57"/>
    <x v="1"/>
    <x v="12"/>
    <x v="3"/>
    <s v="Customer 221"/>
    <s v="WhatsApp API"/>
    <m/>
    <x v="1"/>
    <n v="0"/>
    <n v="0"/>
    <n v="0"/>
    <n v="1"/>
    <x v="138"/>
    <n v="2.1"/>
    <x v="8"/>
    <x v="2"/>
    <x v="4"/>
    <n v="2026"/>
  </r>
  <r>
    <s v="INT-00632"/>
    <x v="283"/>
    <x v="1"/>
    <x v="8"/>
    <x v="0"/>
    <s v="Customer 329"/>
    <s v="CRM"/>
    <m/>
    <x v="1"/>
    <n v="0"/>
    <n v="0"/>
    <n v="0"/>
    <n v="1"/>
    <x v="158"/>
    <n v="9"/>
    <x v="3"/>
    <x v="9"/>
    <x v="10"/>
    <n v="2025"/>
  </r>
  <r>
    <s v="INT-00633"/>
    <x v="41"/>
    <x v="0"/>
    <x v="6"/>
    <x v="1"/>
    <s v="Customer 356"/>
    <s v="Automation"/>
    <s v="Referral"/>
    <x v="3"/>
    <n v="1"/>
    <n v="174900"/>
    <n v="0"/>
    <m/>
    <x v="136"/>
    <m/>
    <x v="0"/>
    <x v="4"/>
    <x v="9"/>
    <n v="2025"/>
  </r>
  <r>
    <s v="INT-00634"/>
    <x v="193"/>
    <x v="0"/>
    <x v="0"/>
    <x v="1"/>
    <s v="Customer 306"/>
    <s v="CRM"/>
    <s v="Partner"/>
    <x v="4"/>
    <n v="1"/>
    <n v="6900"/>
    <n v="0"/>
    <m/>
    <x v="47"/>
    <m/>
    <x v="0"/>
    <x v="6"/>
    <x v="9"/>
    <n v="2025"/>
  </r>
  <r>
    <s v="INT-00635"/>
    <x v="166"/>
    <x v="0"/>
    <x v="13"/>
    <x v="3"/>
    <s v="Customer 533"/>
    <s v="CRM"/>
    <s v="Website"/>
    <x v="0"/>
    <n v="1"/>
    <n v="6100"/>
    <n v="6100"/>
    <m/>
    <x v="195"/>
    <m/>
    <x v="0"/>
    <x v="0"/>
    <x v="10"/>
    <n v="2025"/>
  </r>
  <r>
    <s v="INT-00636"/>
    <x v="259"/>
    <x v="0"/>
    <x v="11"/>
    <x v="0"/>
    <s v="Customer 640"/>
    <s v="CRM"/>
    <s v="Website"/>
    <x v="3"/>
    <n v="1"/>
    <n v="11200"/>
    <n v="0"/>
    <m/>
    <x v="8"/>
    <m/>
    <x v="0"/>
    <x v="4"/>
    <x v="1"/>
    <n v="2026"/>
  </r>
  <r>
    <s v="INT-00637"/>
    <x v="147"/>
    <x v="0"/>
    <x v="13"/>
    <x v="0"/>
    <s v="Customer 060"/>
    <s v="WhatsApp API"/>
    <s v="Website"/>
    <x v="4"/>
    <n v="1"/>
    <n v="8700"/>
    <n v="0"/>
    <m/>
    <x v="122"/>
    <m/>
    <x v="0"/>
    <x v="6"/>
    <x v="6"/>
    <n v="2025"/>
  </r>
  <r>
    <s v="INT-00638"/>
    <x v="147"/>
    <x v="0"/>
    <x v="5"/>
    <x v="0"/>
    <s v="Customer 431"/>
    <s v="Automation"/>
    <s v="Website"/>
    <x v="3"/>
    <n v="1"/>
    <n v="32600"/>
    <n v="0"/>
    <m/>
    <x v="75"/>
    <m/>
    <x v="0"/>
    <x v="4"/>
    <x v="6"/>
    <n v="2025"/>
  </r>
  <r>
    <s v="INT-00639"/>
    <x v="72"/>
    <x v="0"/>
    <x v="6"/>
    <x v="2"/>
    <s v="Customer 490"/>
    <s v="Automation"/>
    <s v="Website"/>
    <x v="2"/>
    <n v="1"/>
    <n v="7500"/>
    <n v="0"/>
    <m/>
    <x v="163"/>
    <m/>
    <x v="0"/>
    <x v="3"/>
    <x v="1"/>
    <n v="2026"/>
  </r>
  <r>
    <s v="INT-00640"/>
    <x v="8"/>
    <x v="0"/>
    <x v="7"/>
    <x v="0"/>
    <s v="Customer 434"/>
    <s v="WhatsApp API"/>
    <s v="Website"/>
    <x v="2"/>
    <n v="1"/>
    <n v="43300"/>
    <n v="0"/>
    <m/>
    <x v="85"/>
    <m/>
    <x v="0"/>
    <x v="3"/>
    <x v="6"/>
    <n v="2025"/>
  </r>
  <r>
    <s v="INT-00641"/>
    <x v="265"/>
    <x v="0"/>
    <x v="11"/>
    <x v="4"/>
    <s v="Customer 139"/>
    <s v="Automation"/>
    <s v="Inbound"/>
    <x v="5"/>
    <n v="1"/>
    <n v="10900"/>
    <n v="0"/>
    <m/>
    <x v="27"/>
    <m/>
    <x v="0"/>
    <x v="7"/>
    <x v="7"/>
    <n v="2026"/>
  </r>
  <r>
    <s v="INT-00642"/>
    <x v="243"/>
    <x v="0"/>
    <x v="4"/>
    <x v="0"/>
    <s v="Customer 382"/>
    <s v="CRM"/>
    <s v="Outbound"/>
    <x v="0"/>
    <n v="1"/>
    <n v="26800"/>
    <n v="26800"/>
    <m/>
    <x v="195"/>
    <m/>
    <x v="0"/>
    <x v="0"/>
    <x v="5"/>
    <n v="2026"/>
  </r>
  <r>
    <s v="INT-00643"/>
    <x v="138"/>
    <x v="0"/>
    <x v="10"/>
    <x v="2"/>
    <s v="Customer 219"/>
    <s v="CRM"/>
    <s v="Referral"/>
    <x v="5"/>
    <n v="1"/>
    <n v="22500"/>
    <n v="0"/>
    <m/>
    <x v="177"/>
    <m/>
    <x v="0"/>
    <x v="7"/>
    <x v="6"/>
    <n v="2025"/>
  </r>
  <r>
    <s v="INT-00644"/>
    <x v="304"/>
    <x v="0"/>
    <x v="11"/>
    <x v="0"/>
    <s v="Customer 473"/>
    <s v="WhatsApp API"/>
    <s v="Inbound"/>
    <x v="0"/>
    <n v="1"/>
    <n v="37200"/>
    <n v="37200"/>
    <m/>
    <x v="114"/>
    <m/>
    <x v="0"/>
    <x v="0"/>
    <x v="2"/>
    <n v="2025"/>
  </r>
  <r>
    <s v="INT-00645"/>
    <x v="75"/>
    <x v="0"/>
    <x v="0"/>
    <x v="4"/>
    <s v="Customer 486"/>
    <s v="Automation"/>
    <s v="Referral"/>
    <x v="4"/>
    <n v="1"/>
    <n v="26100"/>
    <n v="0"/>
    <m/>
    <x v="64"/>
    <m/>
    <x v="0"/>
    <x v="6"/>
    <x v="9"/>
    <n v="2025"/>
  </r>
  <r>
    <s v="INT-00646"/>
    <x v="305"/>
    <x v="1"/>
    <x v="9"/>
    <x v="0"/>
    <s v="Customer 570"/>
    <s v="Automation"/>
    <m/>
    <x v="1"/>
    <n v="0"/>
    <n v="0"/>
    <n v="0"/>
    <n v="1"/>
    <x v="119"/>
    <n v="15.9"/>
    <x v="11"/>
    <x v="2"/>
    <x v="7"/>
    <n v="2026"/>
  </r>
  <r>
    <s v="INT-00647"/>
    <x v="306"/>
    <x v="1"/>
    <x v="3"/>
    <x v="0"/>
    <s v="Customer 649"/>
    <s v="WhatsApp API"/>
    <m/>
    <x v="1"/>
    <n v="0"/>
    <n v="0"/>
    <n v="0"/>
    <n v="1"/>
    <x v="7"/>
    <n v="8.4"/>
    <x v="4"/>
    <x v="2"/>
    <x v="7"/>
    <n v="2026"/>
  </r>
  <r>
    <s v="INT-00648"/>
    <x v="101"/>
    <x v="1"/>
    <x v="9"/>
    <x v="4"/>
    <s v="Customer 337"/>
    <s v="CRM"/>
    <m/>
    <x v="1"/>
    <n v="0"/>
    <n v="0"/>
    <n v="0"/>
    <n v="1"/>
    <x v="46"/>
    <n v="12.6"/>
    <x v="5"/>
    <x v="9"/>
    <x v="3"/>
    <n v="2026"/>
  </r>
  <r>
    <s v="INT-00649"/>
    <x v="307"/>
    <x v="1"/>
    <x v="9"/>
    <x v="0"/>
    <s v="Customer 573"/>
    <s v="WhatsApp API"/>
    <m/>
    <x v="1"/>
    <n v="0"/>
    <n v="0"/>
    <n v="0"/>
    <n v="1"/>
    <x v="55"/>
    <n v="10.7"/>
    <x v="2"/>
    <x v="2"/>
    <x v="6"/>
    <n v="2025"/>
  </r>
  <r>
    <s v="INT-00650"/>
    <x v="308"/>
    <x v="0"/>
    <x v="0"/>
    <x v="0"/>
    <s v="Customer 688"/>
    <s v="WhatsApp API"/>
    <s v="Referral"/>
    <x v="0"/>
    <n v="1"/>
    <n v="17400"/>
    <n v="17400"/>
    <m/>
    <x v="203"/>
    <m/>
    <x v="0"/>
    <x v="0"/>
    <x v="8"/>
    <n v="2026"/>
  </r>
  <r>
    <s v="INT-00651"/>
    <x v="185"/>
    <x v="0"/>
    <x v="7"/>
    <x v="1"/>
    <s v="Customer 134"/>
    <s v="CRM"/>
    <s v="Inbound"/>
    <x v="0"/>
    <n v="1"/>
    <n v="5300"/>
    <n v="5300"/>
    <m/>
    <x v="65"/>
    <m/>
    <x v="0"/>
    <x v="0"/>
    <x v="4"/>
    <n v="2026"/>
  </r>
  <r>
    <s v="INT-00652"/>
    <x v="102"/>
    <x v="0"/>
    <x v="11"/>
    <x v="2"/>
    <s v="Customer 216"/>
    <s v="CRM"/>
    <s v="Inbound"/>
    <x v="2"/>
    <n v="1"/>
    <n v="65100"/>
    <n v="0"/>
    <m/>
    <x v="167"/>
    <m/>
    <x v="0"/>
    <x v="3"/>
    <x v="6"/>
    <n v="2025"/>
  </r>
  <r>
    <s v="INT-00653"/>
    <x v="134"/>
    <x v="1"/>
    <x v="1"/>
    <x v="1"/>
    <s v="Customer 533"/>
    <s v="WhatsApp API"/>
    <m/>
    <x v="1"/>
    <n v="0"/>
    <n v="0"/>
    <n v="0"/>
    <n v="1"/>
    <x v="204"/>
    <n v="11.1"/>
    <x v="12"/>
    <x v="9"/>
    <x v="8"/>
    <n v="2026"/>
  </r>
  <r>
    <s v="INT-00654"/>
    <x v="190"/>
    <x v="1"/>
    <x v="3"/>
    <x v="0"/>
    <s v="Customer 051"/>
    <s v="WhatsApp API"/>
    <m/>
    <x v="1"/>
    <n v="0"/>
    <n v="0"/>
    <n v="0"/>
    <n v="1"/>
    <x v="173"/>
    <n v="3.3"/>
    <x v="26"/>
    <x v="9"/>
    <x v="9"/>
    <n v="2025"/>
  </r>
  <r>
    <s v="INT-00655"/>
    <x v="309"/>
    <x v="0"/>
    <x v="6"/>
    <x v="0"/>
    <s v="Customer 501"/>
    <s v="CRM"/>
    <s v="Inbound"/>
    <x v="5"/>
    <n v="1"/>
    <n v="13500"/>
    <n v="0"/>
    <m/>
    <x v="56"/>
    <m/>
    <x v="0"/>
    <x v="7"/>
    <x v="1"/>
    <n v="2026"/>
  </r>
  <r>
    <s v="INT-00656"/>
    <x v="221"/>
    <x v="0"/>
    <x v="4"/>
    <x v="3"/>
    <s v="Customer 388"/>
    <s v="WhatsApp API"/>
    <s v="Inbound"/>
    <x v="2"/>
    <n v="1"/>
    <n v="13100"/>
    <n v="0"/>
    <m/>
    <x v="162"/>
    <m/>
    <x v="0"/>
    <x v="3"/>
    <x v="5"/>
    <n v="2026"/>
  </r>
  <r>
    <s v="INT-00657"/>
    <x v="310"/>
    <x v="0"/>
    <x v="13"/>
    <x v="1"/>
    <s v="Customer 452"/>
    <s v="CRM"/>
    <s v="Website"/>
    <x v="5"/>
    <n v="1"/>
    <n v="95700"/>
    <n v="0"/>
    <m/>
    <x v="205"/>
    <m/>
    <x v="0"/>
    <x v="7"/>
    <x v="4"/>
    <n v="2026"/>
  </r>
  <r>
    <s v="INT-00658"/>
    <x v="292"/>
    <x v="0"/>
    <x v="4"/>
    <x v="3"/>
    <s v="Customer 451"/>
    <s v="CRM"/>
    <s v="Partner"/>
    <x v="5"/>
    <n v="1"/>
    <n v="15600"/>
    <n v="0"/>
    <m/>
    <x v="206"/>
    <m/>
    <x v="0"/>
    <x v="7"/>
    <x v="9"/>
    <n v="2025"/>
  </r>
  <r>
    <s v="INT-00659"/>
    <x v="3"/>
    <x v="1"/>
    <x v="14"/>
    <x v="3"/>
    <s v="Customer 333"/>
    <s v="Automation"/>
    <m/>
    <x v="1"/>
    <n v="0"/>
    <n v="0"/>
    <n v="0"/>
    <n v="1"/>
    <x v="196"/>
    <n v="14.9"/>
    <x v="16"/>
    <x v="1"/>
    <x v="3"/>
    <n v="2026"/>
  </r>
  <r>
    <s v="INT-00660"/>
    <x v="6"/>
    <x v="1"/>
    <x v="12"/>
    <x v="0"/>
    <s v="Customer 031"/>
    <s v="WhatsApp API"/>
    <m/>
    <x v="1"/>
    <n v="0"/>
    <n v="0"/>
    <n v="0"/>
    <n v="1"/>
    <x v="88"/>
    <n v="7.5"/>
    <x v="1"/>
    <x v="2"/>
    <x v="5"/>
    <n v="2026"/>
  </r>
  <r>
    <s v="INT-00661"/>
    <x v="144"/>
    <x v="0"/>
    <x v="7"/>
    <x v="0"/>
    <s v="Customer 412"/>
    <s v="WhatsApp API"/>
    <s v="Outbound"/>
    <x v="0"/>
    <n v="1"/>
    <n v="32200"/>
    <n v="32200"/>
    <m/>
    <x v="153"/>
    <m/>
    <x v="0"/>
    <x v="0"/>
    <x v="6"/>
    <n v="2025"/>
  </r>
  <r>
    <s v="INT-00662"/>
    <x v="199"/>
    <x v="1"/>
    <x v="3"/>
    <x v="0"/>
    <s v="Customer 470"/>
    <s v="CRM"/>
    <m/>
    <x v="1"/>
    <n v="0"/>
    <n v="0"/>
    <n v="0"/>
    <n v="1"/>
    <x v="138"/>
    <n v="11.2"/>
    <x v="13"/>
    <x v="5"/>
    <x v="11"/>
    <n v="2026"/>
  </r>
  <r>
    <s v="INT-00663"/>
    <x v="280"/>
    <x v="1"/>
    <x v="15"/>
    <x v="0"/>
    <s v="Customer 482"/>
    <s v="Analytics"/>
    <m/>
    <x v="1"/>
    <n v="0"/>
    <n v="0"/>
    <n v="0"/>
    <n v="1"/>
    <x v="101"/>
    <n v="14.1"/>
    <x v="2"/>
    <x v="1"/>
    <x v="10"/>
    <n v="2025"/>
  </r>
  <r>
    <s v="INT-00664"/>
    <x v="282"/>
    <x v="0"/>
    <x v="11"/>
    <x v="0"/>
    <s v="Customer 685"/>
    <s v="Automation"/>
    <s v="Partner"/>
    <x v="2"/>
    <n v="1"/>
    <n v="6600"/>
    <n v="0"/>
    <m/>
    <x v="88"/>
    <m/>
    <x v="0"/>
    <x v="3"/>
    <x v="1"/>
    <n v="2026"/>
  </r>
  <r>
    <s v="INT-00665"/>
    <x v="51"/>
    <x v="0"/>
    <x v="10"/>
    <x v="0"/>
    <s v="Customer 643"/>
    <s v="WhatsApp API"/>
    <s v="Outbound"/>
    <x v="4"/>
    <n v="1"/>
    <n v="11700"/>
    <n v="0"/>
    <m/>
    <x v="185"/>
    <m/>
    <x v="0"/>
    <x v="6"/>
    <x v="6"/>
    <n v="2025"/>
  </r>
  <r>
    <s v="INT-00666"/>
    <x v="226"/>
    <x v="0"/>
    <x v="6"/>
    <x v="4"/>
    <s v="Customer 653"/>
    <s v="CRM"/>
    <s v="Inbound"/>
    <x v="3"/>
    <n v="1"/>
    <n v="59400"/>
    <n v="0"/>
    <m/>
    <x v="26"/>
    <m/>
    <x v="0"/>
    <x v="4"/>
    <x v="0"/>
    <n v="2026"/>
  </r>
  <r>
    <s v="INT-00667"/>
    <x v="56"/>
    <x v="0"/>
    <x v="5"/>
    <x v="0"/>
    <s v="Customer 448"/>
    <s v="CRM"/>
    <s v="Inbound"/>
    <x v="0"/>
    <n v="1"/>
    <n v="14800"/>
    <n v="14800"/>
    <m/>
    <x v="187"/>
    <m/>
    <x v="0"/>
    <x v="0"/>
    <x v="5"/>
    <n v="2026"/>
  </r>
  <r>
    <s v="INT-00668"/>
    <x v="177"/>
    <x v="0"/>
    <x v="4"/>
    <x v="4"/>
    <s v="Customer 490"/>
    <s v="CRM"/>
    <s v="Inbound"/>
    <x v="0"/>
    <n v="1"/>
    <n v="41400"/>
    <n v="41400"/>
    <m/>
    <x v="12"/>
    <m/>
    <x v="0"/>
    <x v="0"/>
    <x v="1"/>
    <n v="2026"/>
  </r>
  <r>
    <s v="INT-00669"/>
    <x v="311"/>
    <x v="0"/>
    <x v="7"/>
    <x v="4"/>
    <s v="Customer 087"/>
    <s v="WhatsApp API"/>
    <s v="Referral"/>
    <x v="0"/>
    <n v="1"/>
    <n v="6300"/>
    <n v="6300"/>
    <m/>
    <x v="39"/>
    <m/>
    <x v="0"/>
    <x v="0"/>
    <x v="4"/>
    <n v="2026"/>
  </r>
  <r>
    <s v="INT-00670"/>
    <x v="170"/>
    <x v="0"/>
    <x v="6"/>
    <x v="0"/>
    <s v="Customer 640"/>
    <s v="CRM"/>
    <s v="Website"/>
    <x v="0"/>
    <n v="1"/>
    <n v="25800"/>
    <n v="25800"/>
    <m/>
    <x v="114"/>
    <m/>
    <x v="0"/>
    <x v="0"/>
    <x v="7"/>
    <n v="2026"/>
  </r>
  <r>
    <s v="INT-00671"/>
    <x v="312"/>
    <x v="0"/>
    <x v="7"/>
    <x v="4"/>
    <s v="Customer 268"/>
    <s v="CRM"/>
    <s v="Partner"/>
    <x v="0"/>
    <n v="1"/>
    <n v="20300"/>
    <n v="20300"/>
    <m/>
    <x v="186"/>
    <m/>
    <x v="0"/>
    <x v="0"/>
    <x v="6"/>
    <n v="2025"/>
  </r>
  <r>
    <s v="INT-00672"/>
    <x v="300"/>
    <x v="1"/>
    <x v="2"/>
    <x v="2"/>
    <s v="Customer 592"/>
    <s v="WhatsApp API"/>
    <m/>
    <x v="1"/>
    <n v="0"/>
    <n v="0"/>
    <n v="0"/>
    <n v="1"/>
    <x v="72"/>
    <n v="7.3"/>
    <x v="18"/>
    <x v="5"/>
    <x v="8"/>
    <n v="2026"/>
  </r>
  <r>
    <s v="INT-00673"/>
    <x v="117"/>
    <x v="0"/>
    <x v="0"/>
    <x v="2"/>
    <s v="Customer 661"/>
    <s v="CRM"/>
    <s v="Inbound"/>
    <x v="4"/>
    <n v="1"/>
    <n v="39000"/>
    <n v="0"/>
    <m/>
    <x v="39"/>
    <m/>
    <x v="0"/>
    <x v="6"/>
    <x v="10"/>
    <n v="2025"/>
  </r>
  <r>
    <s v="INT-00674"/>
    <x v="14"/>
    <x v="0"/>
    <x v="7"/>
    <x v="0"/>
    <s v="Customer 637"/>
    <s v="WhatsApp API"/>
    <s v="Referral"/>
    <x v="5"/>
    <n v="1"/>
    <n v="15400"/>
    <n v="0"/>
    <m/>
    <x v="48"/>
    <m/>
    <x v="0"/>
    <x v="7"/>
    <x v="9"/>
    <n v="2025"/>
  </r>
  <r>
    <s v="INT-00675"/>
    <x v="47"/>
    <x v="0"/>
    <x v="6"/>
    <x v="0"/>
    <s v="Customer 338"/>
    <s v="Analytics"/>
    <s v="Referral"/>
    <x v="2"/>
    <n v="1"/>
    <n v="53100"/>
    <n v="0"/>
    <m/>
    <x v="116"/>
    <m/>
    <x v="0"/>
    <x v="3"/>
    <x v="11"/>
    <n v="2026"/>
  </r>
  <r>
    <s v="INT-00676"/>
    <x v="94"/>
    <x v="1"/>
    <x v="14"/>
    <x v="1"/>
    <s v="Customer 495"/>
    <s v="Automation"/>
    <m/>
    <x v="1"/>
    <n v="0"/>
    <n v="0"/>
    <n v="0"/>
    <n v="1"/>
    <x v="134"/>
    <n v="5.9"/>
    <x v="9"/>
    <x v="1"/>
    <x v="8"/>
    <n v="2026"/>
  </r>
  <r>
    <s v="INT-00677"/>
    <x v="20"/>
    <x v="0"/>
    <x v="5"/>
    <x v="0"/>
    <s v="Customer 541"/>
    <s v="Analytics"/>
    <s v="Inbound"/>
    <x v="5"/>
    <n v="1"/>
    <n v="33900"/>
    <n v="0"/>
    <m/>
    <x v="53"/>
    <m/>
    <x v="0"/>
    <x v="7"/>
    <x v="3"/>
    <n v="2026"/>
  </r>
  <r>
    <s v="INT-00678"/>
    <x v="230"/>
    <x v="0"/>
    <x v="0"/>
    <x v="2"/>
    <s v="Customer 377"/>
    <s v="Analytics"/>
    <s v="Referral"/>
    <x v="2"/>
    <n v="1"/>
    <n v="10300"/>
    <n v="0"/>
    <m/>
    <x v="21"/>
    <m/>
    <x v="0"/>
    <x v="3"/>
    <x v="8"/>
    <n v="2026"/>
  </r>
  <r>
    <s v="INT-00679"/>
    <x v="23"/>
    <x v="1"/>
    <x v="12"/>
    <x v="4"/>
    <s v="Customer 173"/>
    <s v="WhatsApp API"/>
    <m/>
    <x v="1"/>
    <n v="0"/>
    <n v="0"/>
    <n v="0"/>
    <n v="1"/>
    <x v="164"/>
    <n v="3.7"/>
    <x v="4"/>
    <x v="1"/>
    <x v="6"/>
    <n v="2025"/>
  </r>
  <r>
    <s v="INT-00680"/>
    <x v="313"/>
    <x v="1"/>
    <x v="9"/>
    <x v="0"/>
    <s v="Customer 610"/>
    <s v="CRM"/>
    <m/>
    <x v="1"/>
    <n v="0"/>
    <n v="0"/>
    <n v="0"/>
    <n v="1"/>
    <x v="25"/>
    <n v="26.5"/>
    <x v="4"/>
    <x v="2"/>
    <x v="11"/>
    <n v="2026"/>
  </r>
  <r>
    <s v="INT-00681"/>
    <x v="243"/>
    <x v="1"/>
    <x v="2"/>
    <x v="2"/>
    <s v="Customer 480"/>
    <s v="CRM"/>
    <m/>
    <x v="1"/>
    <n v="0"/>
    <n v="0"/>
    <n v="0"/>
    <n v="1"/>
    <x v="84"/>
    <n v="8.9"/>
    <x v="5"/>
    <x v="1"/>
    <x v="5"/>
    <n v="2026"/>
  </r>
  <r>
    <s v="INT-00682"/>
    <x v="314"/>
    <x v="0"/>
    <x v="13"/>
    <x v="2"/>
    <s v="Customer 095"/>
    <s v="Automation"/>
    <s v="Inbound"/>
    <x v="0"/>
    <n v="1"/>
    <n v="15300"/>
    <n v="15300"/>
    <m/>
    <x v="3"/>
    <m/>
    <x v="0"/>
    <x v="0"/>
    <x v="8"/>
    <n v="2026"/>
  </r>
  <r>
    <s v="INT-00683"/>
    <x v="168"/>
    <x v="0"/>
    <x v="13"/>
    <x v="0"/>
    <s v="Customer 208"/>
    <s v="Analytics"/>
    <s v="Referral"/>
    <x v="2"/>
    <n v="1"/>
    <n v="41100"/>
    <n v="0"/>
    <m/>
    <x v="207"/>
    <m/>
    <x v="0"/>
    <x v="3"/>
    <x v="8"/>
    <n v="2026"/>
  </r>
  <r>
    <s v="INT-00684"/>
    <x v="21"/>
    <x v="1"/>
    <x v="15"/>
    <x v="1"/>
    <s v="Customer 427"/>
    <s v="WhatsApp API"/>
    <m/>
    <x v="1"/>
    <n v="0"/>
    <n v="0"/>
    <n v="0"/>
    <n v="1"/>
    <x v="60"/>
    <n v="11.8"/>
    <x v="14"/>
    <x v="5"/>
    <x v="6"/>
    <n v="2025"/>
  </r>
  <r>
    <s v="INT-00685"/>
    <x v="208"/>
    <x v="1"/>
    <x v="9"/>
    <x v="2"/>
    <s v="Customer 542"/>
    <s v="CRM"/>
    <m/>
    <x v="1"/>
    <n v="0"/>
    <n v="0"/>
    <n v="0"/>
    <n v="1"/>
    <x v="25"/>
    <n v="12.5"/>
    <x v="5"/>
    <x v="5"/>
    <x v="0"/>
    <n v="2026"/>
  </r>
  <r>
    <s v="INT-00686"/>
    <x v="0"/>
    <x v="1"/>
    <x v="8"/>
    <x v="1"/>
    <s v="Customer 147"/>
    <s v="WhatsApp API"/>
    <m/>
    <x v="1"/>
    <n v="0"/>
    <n v="0"/>
    <n v="0"/>
    <n v="1"/>
    <x v="168"/>
    <n v="22.9"/>
    <x v="6"/>
    <x v="9"/>
    <x v="0"/>
    <n v="2026"/>
  </r>
  <r>
    <s v="INT-00687"/>
    <x v="54"/>
    <x v="1"/>
    <x v="12"/>
    <x v="0"/>
    <s v="Customer 077"/>
    <s v="CRM"/>
    <m/>
    <x v="1"/>
    <n v="0"/>
    <n v="0"/>
    <n v="0"/>
    <n v="1"/>
    <x v="70"/>
    <n v="10.6"/>
    <x v="5"/>
    <x v="1"/>
    <x v="7"/>
    <n v="2026"/>
  </r>
  <r>
    <s v="INT-00688"/>
    <x v="98"/>
    <x v="0"/>
    <x v="7"/>
    <x v="4"/>
    <s v="Customer 478"/>
    <s v="CRM"/>
    <s v="Inbound"/>
    <x v="2"/>
    <n v="1"/>
    <n v="6200"/>
    <n v="0"/>
    <m/>
    <x v="208"/>
    <m/>
    <x v="0"/>
    <x v="3"/>
    <x v="4"/>
    <n v="2026"/>
  </r>
  <r>
    <s v="INT-00689"/>
    <x v="291"/>
    <x v="1"/>
    <x v="14"/>
    <x v="3"/>
    <s v="Customer 027"/>
    <s v="Analytics"/>
    <m/>
    <x v="1"/>
    <n v="0"/>
    <n v="0"/>
    <n v="0"/>
    <n v="1"/>
    <x v="13"/>
    <n v="7.6"/>
    <x v="11"/>
    <x v="1"/>
    <x v="4"/>
    <n v="2026"/>
  </r>
  <r>
    <s v="INT-00690"/>
    <x v="180"/>
    <x v="0"/>
    <x v="5"/>
    <x v="0"/>
    <s v="Customer 450"/>
    <s v="WhatsApp API"/>
    <s v="Inbound"/>
    <x v="0"/>
    <n v="1"/>
    <n v="27600"/>
    <n v="27600"/>
    <m/>
    <x v="9"/>
    <m/>
    <x v="0"/>
    <x v="0"/>
    <x v="1"/>
    <n v="2026"/>
  </r>
  <r>
    <s v="INT-00691"/>
    <x v="43"/>
    <x v="0"/>
    <x v="4"/>
    <x v="4"/>
    <s v="Customer 456"/>
    <s v="CRM"/>
    <s v="Website"/>
    <x v="0"/>
    <n v="1"/>
    <n v="14200"/>
    <n v="14200"/>
    <m/>
    <x v="152"/>
    <m/>
    <x v="0"/>
    <x v="0"/>
    <x v="5"/>
    <n v="2026"/>
  </r>
  <r>
    <s v="INT-00692"/>
    <x v="45"/>
    <x v="0"/>
    <x v="7"/>
    <x v="2"/>
    <s v="Customer 632"/>
    <s v="WhatsApp API"/>
    <s v="Outbound"/>
    <x v="6"/>
    <n v="1"/>
    <n v="26200"/>
    <n v="0"/>
    <m/>
    <x v="98"/>
    <m/>
    <x v="0"/>
    <x v="8"/>
    <x v="6"/>
    <n v="2025"/>
  </r>
  <r>
    <s v="INT-00693"/>
    <x v="10"/>
    <x v="0"/>
    <x v="4"/>
    <x v="3"/>
    <s v="Customer 420"/>
    <s v="Automation"/>
    <s v="Outbound"/>
    <x v="5"/>
    <n v="1"/>
    <n v="167900"/>
    <n v="0"/>
    <m/>
    <x v="156"/>
    <m/>
    <x v="0"/>
    <x v="7"/>
    <x v="2"/>
    <n v="2025"/>
  </r>
  <r>
    <s v="INT-00694"/>
    <x v="4"/>
    <x v="0"/>
    <x v="6"/>
    <x v="1"/>
    <s v="Customer 070"/>
    <s v="WhatsApp API"/>
    <s v="Inbound"/>
    <x v="3"/>
    <n v="1"/>
    <n v="40400"/>
    <n v="0"/>
    <m/>
    <x v="80"/>
    <m/>
    <x v="0"/>
    <x v="4"/>
    <x v="4"/>
    <n v="2026"/>
  </r>
  <r>
    <s v="INT-00695"/>
    <x v="43"/>
    <x v="0"/>
    <x v="6"/>
    <x v="1"/>
    <s v="Customer 529"/>
    <s v="WhatsApp API"/>
    <s v="Inbound"/>
    <x v="3"/>
    <n v="1"/>
    <n v="22600"/>
    <n v="0"/>
    <m/>
    <x v="209"/>
    <m/>
    <x v="0"/>
    <x v="4"/>
    <x v="5"/>
    <n v="2026"/>
  </r>
  <r>
    <s v="INT-00696"/>
    <x v="268"/>
    <x v="1"/>
    <x v="15"/>
    <x v="0"/>
    <s v="Customer 517"/>
    <s v="CRM"/>
    <m/>
    <x v="1"/>
    <n v="0"/>
    <n v="0"/>
    <n v="0"/>
    <n v="1"/>
    <x v="65"/>
    <n v="17.7"/>
    <x v="5"/>
    <x v="2"/>
    <x v="11"/>
    <n v="2026"/>
  </r>
  <r>
    <s v="INT-00697"/>
    <x v="74"/>
    <x v="0"/>
    <x v="4"/>
    <x v="0"/>
    <s v="Customer 228"/>
    <s v="CRM"/>
    <s v="Referral"/>
    <x v="6"/>
    <n v="1"/>
    <n v="37300"/>
    <n v="0"/>
    <m/>
    <x v="41"/>
    <m/>
    <x v="0"/>
    <x v="8"/>
    <x v="3"/>
    <n v="2026"/>
  </r>
  <r>
    <s v="INT-00698"/>
    <x v="164"/>
    <x v="1"/>
    <x v="3"/>
    <x v="3"/>
    <s v="Customer 253"/>
    <s v="WhatsApp API"/>
    <m/>
    <x v="1"/>
    <n v="0"/>
    <n v="0"/>
    <n v="0"/>
    <n v="1"/>
    <x v="37"/>
    <n v="2.9"/>
    <x v="18"/>
    <x v="9"/>
    <x v="1"/>
    <n v="2026"/>
  </r>
  <r>
    <s v="INT-00699"/>
    <x v="30"/>
    <x v="0"/>
    <x v="0"/>
    <x v="0"/>
    <s v="Customer 070"/>
    <s v="CRM"/>
    <s v="Inbound"/>
    <x v="6"/>
    <n v="1"/>
    <n v="37900"/>
    <n v="0"/>
    <m/>
    <x v="49"/>
    <m/>
    <x v="0"/>
    <x v="8"/>
    <x v="11"/>
    <n v="2026"/>
  </r>
  <r>
    <s v="INT-00700"/>
    <x v="63"/>
    <x v="0"/>
    <x v="4"/>
    <x v="0"/>
    <s v="Customer 402"/>
    <s v="WhatsApp API"/>
    <s v="Outbound"/>
    <x v="4"/>
    <n v="1"/>
    <n v="30800"/>
    <n v="0"/>
    <m/>
    <x v="159"/>
    <m/>
    <x v="0"/>
    <x v="6"/>
    <x v="4"/>
    <n v="2026"/>
  </r>
  <r>
    <s v="INT-00701"/>
    <x v="127"/>
    <x v="0"/>
    <x v="4"/>
    <x v="4"/>
    <s v="Customer 530"/>
    <s v="Automation"/>
    <s v="Outbound"/>
    <x v="4"/>
    <n v="1"/>
    <n v="18100"/>
    <n v="0"/>
    <m/>
    <x v="80"/>
    <m/>
    <x v="0"/>
    <x v="6"/>
    <x v="0"/>
    <n v="2026"/>
  </r>
  <r>
    <s v="INT-00702"/>
    <x v="315"/>
    <x v="0"/>
    <x v="0"/>
    <x v="0"/>
    <s v="Customer 502"/>
    <s v="Automation"/>
    <s v="Outbound"/>
    <x v="6"/>
    <n v="1"/>
    <n v="8300"/>
    <n v="0"/>
    <m/>
    <x v="130"/>
    <m/>
    <x v="0"/>
    <x v="8"/>
    <x v="7"/>
    <n v="2026"/>
  </r>
  <r>
    <s v="INT-00703"/>
    <x v="251"/>
    <x v="0"/>
    <x v="0"/>
    <x v="0"/>
    <s v="Customer 617"/>
    <s v="Automation"/>
    <s v="Inbound"/>
    <x v="3"/>
    <n v="1"/>
    <n v="43100"/>
    <n v="0"/>
    <m/>
    <x v="48"/>
    <m/>
    <x v="0"/>
    <x v="4"/>
    <x v="11"/>
    <n v="2026"/>
  </r>
  <r>
    <s v="INT-00704"/>
    <x v="123"/>
    <x v="0"/>
    <x v="4"/>
    <x v="0"/>
    <s v="Customer 676"/>
    <s v="Automation"/>
    <s v="Outbound"/>
    <x v="0"/>
    <n v="1"/>
    <n v="31400"/>
    <n v="31400"/>
    <m/>
    <x v="55"/>
    <m/>
    <x v="0"/>
    <x v="0"/>
    <x v="3"/>
    <n v="2026"/>
  </r>
  <r>
    <s v="INT-00705"/>
    <x v="127"/>
    <x v="0"/>
    <x v="5"/>
    <x v="0"/>
    <s v="Customer 234"/>
    <s v="Automation"/>
    <s v="Outbound"/>
    <x v="5"/>
    <n v="1"/>
    <n v="6500"/>
    <n v="0"/>
    <m/>
    <x v="112"/>
    <m/>
    <x v="0"/>
    <x v="7"/>
    <x v="0"/>
    <n v="2026"/>
  </r>
  <r>
    <s v="INT-00706"/>
    <x v="60"/>
    <x v="1"/>
    <x v="1"/>
    <x v="4"/>
    <s v="Customer 646"/>
    <s v="Analytics"/>
    <m/>
    <x v="1"/>
    <n v="0"/>
    <n v="0"/>
    <n v="0"/>
    <n v="1"/>
    <x v="32"/>
    <n v="3.2"/>
    <x v="7"/>
    <x v="2"/>
    <x v="5"/>
    <n v="2026"/>
  </r>
  <r>
    <s v="INT-00707"/>
    <x v="316"/>
    <x v="0"/>
    <x v="4"/>
    <x v="1"/>
    <s v="Customer 647"/>
    <s v="WhatsApp API"/>
    <s v="Outbound"/>
    <x v="5"/>
    <n v="1"/>
    <n v="7900"/>
    <n v="0"/>
    <m/>
    <x v="121"/>
    <m/>
    <x v="0"/>
    <x v="7"/>
    <x v="8"/>
    <n v="2026"/>
  </r>
  <r>
    <s v="INT-00708"/>
    <x v="193"/>
    <x v="1"/>
    <x v="15"/>
    <x v="0"/>
    <s v="Customer 166"/>
    <s v="WhatsApp API"/>
    <m/>
    <x v="1"/>
    <n v="0"/>
    <n v="0"/>
    <n v="0"/>
    <n v="1"/>
    <x v="37"/>
    <n v="10.6"/>
    <x v="11"/>
    <x v="2"/>
    <x v="9"/>
    <n v="2025"/>
  </r>
  <r>
    <s v="INT-00709"/>
    <x v="301"/>
    <x v="0"/>
    <x v="4"/>
    <x v="0"/>
    <s v="Customer 241"/>
    <s v="CRM"/>
    <s v="Inbound"/>
    <x v="0"/>
    <n v="1"/>
    <n v="45300"/>
    <n v="45300"/>
    <m/>
    <x v="170"/>
    <m/>
    <x v="0"/>
    <x v="0"/>
    <x v="10"/>
    <n v="2025"/>
  </r>
  <r>
    <s v="INT-00710"/>
    <x v="317"/>
    <x v="1"/>
    <x v="8"/>
    <x v="1"/>
    <s v="Customer 609"/>
    <s v="Automation"/>
    <m/>
    <x v="1"/>
    <n v="0"/>
    <n v="0"/>
    <n v="0"/>
    <n v="1"/>
    <x v="179"/>
    <n v="5"/>
    <x v="14"/>
    <x v="2"/>
    <x v="9"/>
    <n v="2025"/>
  </r>
  <r>
    <s v="INT-00711"/>
    <x v="249"/>
    <x v="1"/>
    <x v="9"/>
    <x v="1"/>
    <s v="Customer 604"/>
    <s v="Automation"/>
    <m/>
    <x v="1"/>
    <n v="0"/>
    <n v="0"/>
    <n v="0"/>
    <n v="1"/>
    <x v="43"/>
    <n v="5.4"/>
    <x v="14"/>
    <x v="9"/>
    <x v="4"/>
    <n v="2026"/>
  </r>
  <r>
    <s v="INT-00712"/>
    <x v="8"/>
    <x v="1"/>
    <x v="15"/>
    <x v="0"/>
    <s v="Customer 413"/>
    <s v="CRM"/>
    <m/>
    <x v="1"/>
    <n v="0"/>
    <n v="0"/>
    <n v="0"/>
    <n v="1"/>
    <x v="23"/>
    <n v="23.3"/>
    <x v="5"/>
    <x v="9"/>
    <x v="6"/>
    <n v="2025"/>
  </r>
  <r>
    <s v="INT-00713"/>
    <x v="95"/>
    <x v="0"/>
    <x v="4"/>
    <x v="0"/>
    <s v="Customer 067"/>
    <s v="WhatsApp API"/>
    <s v="Inbound"/>
    <x v="3"/>
    <n v="1"/>
    <n v="9900"/>
    <n v="0"/>
    <m/>
    <x v="53"/>
    <m/>
    <x v="0"/>
    <x v="4"/>
    <x v="6"/>
    <n v="2025"/>
  </r>
  <r>
    <s v="INT-00714"/>
    <x v="256"/>
    <x v="0"/>
    <x v="10"/>
    <x v="1"/>
    <s v="Customer 621"/>
    <s v="CRM"/>
    <s v="Outbound"/>
    <x v="3"/>
    <n v="1"/>
    <n v="159300"/>
    <n v="0"/>
    <m/>
    <x v="167"/>
    <m/>
    <x v="0"/>
    <x v="4"/>
    <x v="4"/>
    <n v="2026"/>
  </r>
  <r>
    <s v="INT-00715"/>
    <x v="271"/>
    <x v="0"/>
    <x v="0"/>
    <x v="0"/>
    <s v="Customer 266"/>
    <s v="CRM"/>
    <s v="Partner"/>
    <x v="2"/>
    <n v="1"/>
    <n v="27600"/>
    <n v="0"/>
    <m/>
    <x v="139"/>
    <m/>
    <x v="0"/>
    <x v="3"/>
    <x v="1"/>
    <n v="2026"/>
  </r>
  <r>
    <s v="INT-00716"/>
    <x v="318"/>
    <x v="1"/>
    <x v="8"/>
    <x v="3"/>
    <s v="Customer 311"/>
    <s v="CRM"/>
    <m/>
    <x v="1"/>
    <n v="0"/>
    <n v="0"/>
    <n v="0"/>
    <n v="1"/>
    <x v="9"/>
    <n v="4.9000000000000004"/>
    <x v="4"/>
    <x v="2"/>
    <x v="7"/>
    <n v="2026"/>
  </r>
  <r>
    <s v="INT-00717"/>
    <x v="319"/>
    <x v="1"/>
    <x v="15"/>
    <x v="1"/>
    <s v="Customer 208"/>
    <s v="Analytics"/>
    <m/>
    <x v="1"/>
    <n v="0"/>
    <n v="0"/>
    <n v="0"/>
    <n v="1"/>
    <x v="210"/>
    <n v="4.5"/>
    <x v="8"/>
    <x v="5"/>
    <x v="3"/>
    <n v="2026"/>
  </r>
  <r>
    <s v="INT-00718"/>
    <x v="274"/>
    <x v="1"/>
    <x v="3"/>
    <x v="0"/>
    <s v="Customer 640"/>
    <s v="CRM"/>
    <m/>
    <x v="1"/>
    <n v="0"/>
    <n v="0"/>
    <n v="0"/>
    <n v="1"/>
    <x v="71"/>
    <n v="21"/>
    <x v="3"/>
    <x v="1"/>
    <x v="9"/>
    <n v="2025"/>
  </r>
  <r>
    <s v="INT-00719"/>
    <x v="259"/>
    <x v="0"/>
    <x v="13"/>
    <x v="3"/>
    <s v="Customer 115"/>
    <s v="Analytics"/>
    <s v="Inbound"/>
    <x v="4"/>
    <n v="1"/>
    <n v="40500"/>
    <n v="0"/>
    <m/>
    <x v="209"/>
    <m/>
    <x v="0"/>
    <x v="6"/>
    <x v="1"/>
    <n v="2026"/>
  </r>
  <r>
    <s v="INT-00720"/>
    <x v="109"/>
    <x v="1"/>
    <x v="8"/>
    <x v="4"/>
    <s v="Customer 091"/>
    <s v="CRM"/>
    <m/>
    <x v="1"/>
    <n v="0"/>
    <n v="0"/>
    <n v="0"/>
    <n v="1"/>
    <x v="197"/>
    <n v="11.4"/>
    <x v="3"/>
    <x v="2"/>
    <x v="3"/>
    <n v="2026"/>
  </r>
  <r>
    <s v="INT-00721"/>
    <x v="316"/>
    <x v="1"/>
    <x v="14"/>
    <x v="1"/>
    <s v="Customer 553"/>
    <s v="CRM"/>
    <m/>
    <x v="1"/>
    <n v="0"/>
    <n v="0"/>
    <n v="0"/>
    <n v="1"/>
    <x v="142"/>
    <n v="4.5999999999999996"/>
    <x v="9"/>
    <x v="2"/>
    <x v="8"/>
    <n v="2026"/>
  </r>
  <r>
    <s v="INT-00722"/>
    <x v="249"/>
    <x v="0"/>
    <x v="6"/>
    <x v="0"/>
    <s v="Customer 249"/>
    <s v="Automation"/>
    <s v="Inbound"/>
    <x v="0"/>
    <n v="1"/>
    <n v="17000"/>
    <n v="17000"/>
    <m/>
    <x v="72"/>
    <m/>
    <x v="0"/>
    <x v="0"/>
    <x v="4"/>
    <n v="2026"/>
  </r>
  <r>
    <s v="INT-00723"/>
    <x v="305"/>
    <x v="0"/>
    <x v="5"/>
    <x v="0"/>
    <s v="Customer 279"/>
    <s v="Automation"/>
    <s v="Inbound"/>
    <x v="3"/>
    <n v="1"/>
    <n v="16200"/>
    <n v="0"/>
    <m/>
    <x v="116"/>
    <m/>
    <x v="0"/>
    <x v="4"/>
    <x v="7"/>
    <n v="2026"/>
  </r>
  <r>
    <s v="INT-00724"/>
    <x v="211"/>
    <x v="1"/>
    <x v="1"/>
    <x v="2"/>
    <s v="Customer 675"/>
    <s v="Automation"/>
    <m/>
    <x v="1"/>
    <n v="0"/>
    <n v="0"/>
    <n v="0"/>
    <n v="1"/>
    <x v="163"/>
    <n v="33.5"/>
    <x v="4"/>
    <x v="2"/>
    <x v="0"/>
    <n v="2026"/>
  </r>
  <r>
    <s v="INT-00725"/>
    <x v="317"/>
    <x v="1"/>
    <x v="2"/>
    <x v="0"/>
    <s v="Customer 643"/>
    <s v="Automation"/>
    <m/>
    <x v="1"/>
    <n v="0"/>
    <n v="0"/>
    <n v="0"/>
    <n v="1"/>
    <x v="101"/>
    <n v="5.4"/>
    <x v="11"/>
    <x v="1"/>
    <x v="9"/>
    <n v="2025"/>
  </r>
  <r>
    <s v="INT-00726"/>
    <x v="138"/>
    <x v="1"/>
    <x v="14"/>
    <x v="1"/>
    <s v="Customer 071"/>
    <s v="CRM"/>
    <m/>
    <x v="1"/>
    <n v="0"/>
    <n v="0"/>
    <n v="0"/>
    <n v="1"/>
    <x v="57"/>
    <n v="16.600000000000001"/>
    <x v="17"/>
    <x v="1"/>
    <x v="6"/>
    <n v="2025"/>
  </r>
  <r>
    <s v="INT-00727"/>
    <x v="317"/>
    <x v="0"/>
    <x v="5"/>
    <x v="0"/>
    <s v="Customer 082"/>
    <s v="CRM"/>
    <s v="Website"/>
    <x v="5"/>
    <n v="1"/>
    <n v="15000"/>
    <n v="0"/>
    <m/>
    <x v="109"/>
    <m/>
    <x v="0"/>
    <x v="7"/>
    <x v="9"/>
    <n v="2025"/>
  </r>
  <r>
    <s v="INT-00728"/>
    <x v="129"/>
    <x v="1"/>
    <x v="9"/>
    <x v="3"/>
    <s v="Customer 026"/>
    <s v="CRM"/>
    <m/>
    <x v="1"/>
    <n v="0"/>
    <n v="0"/>
    <n v="0"/>
    <n v="1"/>
    <x v="65"/>
    <n v="12.7"/>
    <x v="7"/>
    <x v="2"/>
    <x v="5"/>
    <n v="2026"/>
  </r>
  <r>
    <s v="INT-00729"/>
    <x v="220"/>
    <x v="0"/>
    <x v="4"/>
    <x v="0"/>
    <s v="Customer 595"/>
    <s v="Analytics"/>
    <s v="Website"/>
    <x v="0"/>
    <n v="1"/>
    <n v="13600"/>
    <n v="13600"/>
    <m/>
    <x v="160"/>
    <m/>
    <x v="0"/>
    <x v="0"/>
    <x v="2"/>
    <n v="2025"/>
  </r>
  <r>
    <s v="INT-00730"/>
    <x v="115"/>
    <x v="0"/>
    <x v="11"/>
    <x v="4"/>
    <s v="Customer 476"/>
    <s v="CRM"/>
    <s v="Referral"/>
    <x v="5"/>
    <n v="1"/>
    <n v="55600"/>
    <n v="0"/>
    <m/>
    <x v="136"/>
    <m/>
    <x v="0"/>
    <x v="7"/>
    <x v="3"/>
    <n v="2026"/>
  </r>
  <r>
    <s v="INT-00731"/>
    <x v="89"/>
    <x v="0"/>
    <x v="5"/>
    <x v="0"/>
    <s v="Customer 049"/>
    <s v="WhatsApp API"/>
    <s v="Outbound"/>
    <x v="2"/>
    <n v="1"/>
    <n v="71700"/>
    <n v="0"/>
    <m/>
    <x v="211"/>
    <m/>
    <x v="0"/>
    <x v="3"/>
    <x v="10"/>
    <n v="2025"/>
  </r>
  <r>
    <s v="INT-00732"/>
    <x v="32"/>
    <x v="1"/>
    <x v="15"/>
    <x v="0"/>
    <s v="Customer 698"/>
    <s v="Automation"/>
    <m/>
    <x v="1"/>
    <n v="0"/>
    <n v="0"/>
    <n v="0"/>
    <n v="1"/>
    <x v="12"/>
    <n v="16.5"/>
    <x v="11"/>
    <x v="9"/>
    <x v="2"/>
    <n v="2025"/>
  </r>
  <r>
    <s v="INT-00733"/>
    <x v="320"/>
    <x v="1"/>
    <x v="9"/>
    <x v="2"/>
    <s v="Customer 097"/>
    <s v="Automation"/>
    <m/>
    <x v="1"/>
    <n v="0"/>
    <n v="0"/>
    <n v="0"/>
    <n v="1"/>
    <x v="89"/>
    <n v="28.9"/>
    <x v="7"/>
    <x v="1"/>
    <x v="1"/>
    <n v="2026"/>
  </r>
  <r>
    <s v="INT-00734"/>
    <x v="264"/>
    <x v="0"/>
    <x v="13"/>
    <x v="0"/>
    <s v="Customer 074"/>
    <s v="CRM"/>
    <s v="Website"/>
    <x v="6"/>
    <n v="1"/>
    <n v="7800"/>
    <n v="0"/>
    <m/>
    <x v="90"/>
    <m/>
    <x v="0"/>
    <x v="8"/>
    <x v="11"/>
    <n v="2026"/>
  </r>
  <r>
    <s v="INT-00735"/>
    <x v="174"/>
    <x v="0"/>
    <x v="7"/>
    <x v="0"/>
    <s v="Customer 584"/>
    <s v="WhatsApp API"/>
    <s v="Website"/>
    <x v="6"/>
    <n v="1"/>
    <n v="78900"/>
    <n v="0"/>
    <m/>
    <x v="207"/>
    <m/>
    <x v="0"/>
    <x v="8"/>
    <x v="11"/>
    <n v="2026"/>
  </r>
  <r>
    <s v="INT-00736"/>
    <x v="321"/>
    <x v="1"/>
    <x v="15"/>
    <x v="0"/>
    <s v="Customer 427"/>
    <s v="Automation"/>
    <m/>
    <x v="1"/>
    <n v="0"/>
    <n v="0"/>
    <n v="0"/>
    <n v="1"/>
    <x v="101"/>
    <n v="13.9"/>
    <x v="14"/>
    <x v="2"/>
    <x v="9"/>
    <n v="2025"/>
  </r>
  <r>
    <s v="INT-00737"/>
    <x v="298"/>
    <x v="0"/>
    <x v="11"/>
    <x v="4"/>
    <s v="Customer 274"/>
    <s v="CRM"/>
    <s v="Referral"/>
    <x v="0"/>
    <n v="1"/>
    <n v="11000"/>
    <n v="11000"/>
    <m/>
    <x v="62"/>
    <m/>
    <x v="0"/>
    <x v="0"/>
    <x v="11"/>
    <n v="2026"/>
  </r>
  <r>
    <s v="INT-00738"/>
    <x v="184"/>
    <x v="1"/>
    <x v="1"/>
    <x v="3"/>
    <s v="Customer 061"/>
    <s v="CRM"/>
    <m/>
    <x v="1"/>
    <n v="0"/>
    <n v="0"/>
    <n v="0"/>
    <n v="1"/>
    <x v="22"/>
    <n v="7.8"/>
    <x v="19"/>
    <x v="2"/>
    <x v="3"/>
    <n v="2026"/>
  </r>
  <r>
    <s v="INT-00739"/>
    <x v="286"/>
    <x v="0"/>
    <x v="4"/>
    <x v="0"/>
    <s v="Customer 253"/>
    <s v="WhatsApp API"/>
    <s v="Referral"/>
    <x v="5"/>
    <n v="1"/>
    <n v="5900"/>
    <n v="0"/>
    <m/>
    <x v="7"/>
    <m/>
    <x v="0"/>
    <x v="7"/>
    <x v="4"/>
    <n v="2026"/>
  </r>
  <r>
    <s v="INT-00740"/>
    <x v="110"/>
    <x v="0"/>
    <x v="0"/>
    <x v="3"/>
    <s v="Customer 378"/>
    <s v="Analytics"/>
    <s v="Outbound"/>
    <x v="2"/>
    <n v="1"/>
    <n v="7000"/>
    <n v="0"/>
    <m/>
    <x v="12"/>
    <m/>
    <x v="0"/>
    <x v="3"/>
    <x v="11"/>
    <n v="2026"/>
  </r>
  <r>
    <s v="INT-00741"/>
    <x v="40"/>
    <x v="0"/>
    <x v="5"/>
    <x v="2"/>
    <s v="Customer 132"/>
    <s v="CRM"/>
    <s v="Website"/>
    <x v="0"/>
    <n v="1"/>
    <n v="50200"/>
    <n v="50200"/>
    <m/>
    <x v="68"/>
    <m/>
    <x v="0"/>
    <x v="0"/>
    <x v="11"/>
    <n v="2026"/>
  </r>
  <r>
    <s v="INT-00742"/>
    <x v="94"/>
    <x v="0"/>
    <x v="6"/>
    <x v="4"/>
    <s v="Customer 019"/>
    <s v="Automation"/>
    <s v="Outbound"/>
    <x v="5"/>
    <n v="1"/>
    <n v="22000"/>
    <n v="0"/>
    <m/>
    <x v="4"/>
    <m/>
    <x v="0"/>
    <x v="7"/>
    <x v="8"/>
    <n v="2026"/>
  </r>
  <r>
    <s v="INT-00743"/>
    <x v="307"/>
    <x v="1"/>
    <x v="14"/>
    <x v="0"/>
    <s v="Customer 403"/>
    <s v="WhatsApp API"/>
    <m/>
    <x v="1"/>
    <n v="0"/>
    <n v="0"/>
    <n v="0"/>
    <n v="1"/>
    <x v="32"/>
    <n v="10.4"/>
    <x v="23"/>
    <x v="2"/>
    <x v="6"/>
    <n v="2025"/>
  </r>
  <r>
    <s v="INT-00744"/>
    <x v="42"/>
    <x v="0"/>
    <x v="4"/>
    <x v="2"/>
    <s v="Customer 646"/>
    <s v="Automation"/>
    <s v="Inbound"/>
    <x v="3"/>
    <n v="1"/>
    <n v="15800"/>
    <n v="0"/>
    <m/>
    <x v="126"/>
    <m/>
    <x v="0"/>
    <x v="4"/>
    <x v="11"/>
    <n v="2026"/>
  </r>
  <r>
    <s v="INT-00745"/>
    <x v="273"/>
    <x v="0"/>
    <x v="0"/>
    <x v="0"/>
    <s v="Customer 316"/>
    <s v="CRM"/>
    <s v="Outbound"/>
    <x v="6"/>
    <n v="1"/>
    <n v="14100"/>
    <n v="0"/>
    <m/>
    <x v="22"/>
    <m/>
    <x v="0"/>
    <x v="8"/>
    <x v="10"/>
    <n v="2025"/>
  </r>
  <r>
    <s v="INT-00746"/>
    <x v="149"/>
    <x v="1"/>
    <x v="2"/>
    <x v="2"/>
    <s v="Customer 416"/>
    <s v="WhatsApp API"/>
    <m/>
    <x v="1"/>
    <n v="0"/>
    <n v="0"/>
    <n v="0"/>
    <n v="1"/>
    <x v="91"/>
    <n v="4.0999999999999996"/>
    <x v="1"/>
    <x v="1"/>
    <x v="5"/>
    <n v="2026"/>
  </r>
  <r>
    <s v="INT-00747"/>
    <x v="156"/>
    <x v="0"/>
    <x v="11"/>
    <x v="0"/>
    <s v="Customer 034"/>
    <s v="CRM"/>
    <s v="Inbound"/>
    <x v="0"/>
    <n v="1"/>
    <n v="22700"/>
    <n v="22700"/>
    <m/>
    <x v="22"/>
    <m/>
    <x v="0"/>
    <x v="0"/>
    <x v="9"/>
    <n v="2025"/>
  </r>
  <r>
    <s v="INT-00748"/>
    <x v="284"/>
    <x v="0"/>
    <x v="11"/>
    <x v="0"/>
    <s v="Customer 378"/>
    <s v="Automation"/>
    <s v="Inbound"/>
    <x v="5"/>
    <n v="1"/>
    <n v="17400"/>
    <n v="0"/>
    <m/>
    <x v="101"/>
    <m/>
    <x v="0"/>
    <x v="7"/>
    <x v="5"/>
    <n v="2026"/>
  </r>
  <r>
    <s v="INT-00749"/>
    <x v="13"/>
    <x v="1"/>
    <x v="12"/>
    <x v="0"/>
    <s v="Customer 271"/>
    <s v="CRM"/>
    <m/>
    <x v="1"/>
    <n v="0"/>
    <n v="0"/>
    <n v="0"/>
    <n v="1"/>
    <x v="60"/>
    <n v="2.1"/>
    <x v="10"/>
    <x v="2"/>
    <x v="8"/>
    <n v="2026"/>
  </r>
  <r>
    <s v="INT-00750"/>
    <x v="322"/>
    <x v="1"/>
    <x v="8"/>
    <x v="0"/>
    <s v="Customer 309"/>
    <s v="Analytics"/>
    <m/>
    <x v="1"/>
    <n v="0"/>
    <n v="0"/>
    <n v="0"/>
    <n v="1"/>
    <x v="173"/>
    <n v="3.2"/>
    <x v="5"/>
    <x v="9"/>
    <x v="8"/>
    <n v="2026"/>
  </r>
  <r>
    <s v="INT-00751"/>
    <x v="110"/>
    <x v="0"/>
    <x v="13"/>
    <x v="0"/>
    <s v="Customer 293"/>
    <s v="Analytics"/>
    <s v="Referral"/>
    <x v="0"/>
    <n v="1"/>
    <n v="49000"/>
    <n v="49000"/>
    <m/>
    <x v="12"/>
    <m/>
    <x v="0"/>
    <x v="0"/>
    <x v="11"/>
    <n v="2026"/>
  </r>
  <r>
    <s v="INT-00752"/>
    <x v="61"/>
    <x v="1"/>
    <x v="3"/>
    <x v="4"/>
    <s v="Customer 128"/>
    <s v="CRM"/>
    <m/>
    <x v="1"/>
    <n v="0"/>
    <n v="0"/>
    <n v="0"/>
    <n v="1"/>
    <x v="103"/>
    <n v="3.3"/>
    <x v="1"/>
    <x v="5"/>
    <x v="3"/>
    <n v="2026"/>
  </r>
  <r>
    <s v="INT-00753"/>
    <x v="199"/>
    <x v="1"/>
    <x v="14"/>
    <x v="0"/>
    <s v="Customer 634"/>
    <s v="WhatsApp API"/>
    <m/>
    <x v="1"/>
    <n v="0"/>
    <n v="0"/>
    <n v="0"/>
    <n v="1"/>
    <x v="47"/>
    <n v="9.1"/>
    <x v="5"/>
    <x v="2"/>
    <x v="11"/>
    <n v="2026"/>
  </r>
  <r>
    <s v="INT-00754"/>
    <x v="60"/>
    <x v="0"/>
    <x v="13"/>
    <x v="0"/>
    <s v="Customer 649"/>
    <s v="CRM"/>
    <s v="Inbound"/>
    <x v="5"/>
    <n v="1"/>
    <n v="40500"/>
    <n v="0"/>
    <m/>
    <x v="140"/>
    <m/>
    <x v="0"/>
    <x v="7"/>
    <x v="5"/>
    <n v="2026"/>
  </r>
  <r>
    <s v="INT-00755"/>
    <x v="293"/>
    <x v="0"/>
    <x v="7"/>
    <x v="1"/>
    <s v="Customer 499"/>
    <s v="Analytics"/>
    <s v="Inbound"/>
    <x v="0"/>
    <n v="1"/>
    <n v="20100"/>
    <n v="20100"/>
    <m/>
    <x v="199"/>
    <m/>
    <x v="0"/>
    <x v="0"/>
    <x v="0"/>
    <n v="2026"/>
  </r>
  <r>
    <s v="INT-00756"/>
    <x v="54"/>
    <x v="1"/>
    <x v="3"/>
    <x v="0"/>
    <s v="Customer 069"/>
    <s v="Automation"/>
    <m/>
    <x v="1"/>
    <n v="0"/>
    <n v="0"/>
    <n v="0"/>
    <n v="1"/>
    <x v="100"/>
    <n v="20.100000000000001"/>
    <x v="3"/>
    <x v="2"/>
    <x v="7"/>
    <n v="2026"/>
  </r>
  <r>
    <s v="INT-00757"/>
    <x v="261"/>
    <x v="1"/>
    <x v="12"/>
    <x v="0"/>
    <s v="Customer 618"/>
    <s v="WhatsApp API"/>
    <m/>
    <x v="1"/>
    <n v="0"/>
    <n v="0"/>
    <n v="0"/>
    <n v="1"/>
    <x v="75"/>
    <n v="8.6"/>
    <x v="5"/>
    <x v="1"/>
    <x v="1"/>
    <n v="2026"/>
  </r>
  <r>
    <s v="INT-00758"/>
    <x v="254"/>
    <x v="0"/>
    <x v="7"/>
    <x v="0"/>
    <s v="Customer 415"/>
    <s v="WhatsApp API"/>
    <s v="Outbound"/>
    <x v="6"/>
    <n v="1"/>
    <n v="10400"/>
    <n v="0"/>
    <m/>
    <x v="79"/>
    <m/>
    <x v="0"/>
    <x v="8"/>
    <x v="8"/>
    <n v="2026"/>
  </r>
  <r>
    <s v="INT-00759"/>
    <x v="323"/>
    <x v="1"/>
    <x v="9"/>
    <x v="3"/>
    <s v="Customer 252"/>
    <s v="WhatsApp API"/>
    <m/>
    <x v="1"/>
    <n v="0"/>
    <n v="0"/>
    <n v="0"/>
    <n v="1"/>
    <x v="59"/>
    <n v="2"/>
    <x v="23"/>
    <x v="9"/>
    <x v="3"/>
    <n v="2026"/>
  </r>
  <r>
    <s v="INT-00760"/>
    <x v="98"/>
    <x v="1"/>
    <x v="1"/>
    <x v="2"/>
    <s v="Customer 664"/>
    <s v="WhatsApp API"/>
    <m/>
    <x v="1"/>
    <n v="0"/>
    <n v="0"/>
    <n v="0"/>
    <n v="1"/>
    <x v="36"/>
    <n v="6.5"/>
    <x v="2"/>
    <x v="5"/>
    <x v="4"/>
    <n v="2026"/>
  </r>
  <r>
    <s v="INT-00761"/>
    <x v="221"/>
    <x v="0"/>
    <x v="5"/>
    <x v="0"/>
    <s v="Customer 584"/>
    <s v="WhatsApp API"/>
    <s v="Outbound"/>
    <x v="0"/>
    <n v="1"/>
    <n v="25900"/>
    <n v="25900"/>
    <m/>
    <x v="104"/>
    <m/>
    <x v="0"/>
    <x v="0"/>
    <x v="5"/>
    <n v="2026"/>
  </r>
  <r>
    <s v="INT-00762"/>
    <x v="16"/>
    <x v="0"/>
    <x v="11"/>
    <x v="0"/>
    <s v="Customer 417"/>
    <s v="Automation"/>
    <s v="Inbound"/>
    <x v="5"/>
    <n v="1"/>
    <n v="57900"/>
    <n v="0"/>
    <m/>
    <x v="72"/>
    <m/>
    <x v="0"/>
    <x v="7"/>
    <x v="8"/>
    <n v="2026"/>
  </r>
  <r>
    <s v="INT-00763"/>
    <x v="324"/>
    <x v="0"/>
    <x v="10"/>
    <x v="1"/>
    <s v="Customer 683"/>
    <s v="WhatsApp API"/>
    <s v="Website"/>
    <x v="6"/>
    <n v="1"/>
    <n v="9300"/>
    <n v="0"/>
    <m/>
    <x v="105"/>
    <m/>
    <x v="0"/>
    <x v="8"/>
    <x v="11"/>
    <n v="2026"/>
  </r>
  <r>
    <s v="INT-00764"/>
    <x v="102"/>
    <x v="1"/>
    <x v="12"/>
    <x v="0"/>
    <s v="Customer 024"/>
    <s v="WhatsApp API"/>
    <m/>
    <x v="1"/>
    <n v="0"/>
    <n v="0"/>
    <n v="0"/>
    <n v="1"/>
    <x v="178"/>
    <n v="19.100000000000001"/>
    <x v="12"/>
    <x v="9"/>
    <x v="6"/>
    <n v="2025"/>
  </r>
  <r>
    <s v="INT-00765"/>
    <x v="31"/>
    <x v="0"/>
    <x v="0"/>
    <x v="1"/>
    <s v="Customer 583"/>
    <s v="WhatsApp API"/>
    <s v="Inbound"/>
    <x v="0"/>
    <n v="1"/>
    <n v="43300"/>
    <n v="43300"/>
    <m/>
    <x v="124"/>
    <m/>
    <x v="0"/>
    <x v="0"/>
    <x v="4"/>
    <n v="2026"/>
  </r>
  <r>
    <s v="INT-00766"/>
    <x v="232"/>
    <x v="1"/>
    <x v="15"/>
    <x v="0"/>
    <s v="Customer 610"/>
    <s v="CRM"/>
    <m/>
    <x v="1"/>
    <n v="0"/>
    <n v="0"/>
    <n v="0"/>
    <n v="1"/>
    <x v="29"/>
    <n v="3.9"/>
    <x v="18"/>
    <x v="2"/>
    <x v="10"/>
    <n v="2025"/>
  </r>
  <r>
    <s v="INT-00767"/>
    <x v="186"/>
    <x v="1"/>
    <x v="14"/>
    <x v="1"/>
    <s v="Customer 092"/>
    <s v="Analytics"/>
    <m/>
    <x v="1"/>
    <n v="0"/>
    <n v="0"/>
    <n v="0"/>
    <n v="1"/>
    <x v="85"/>
    <n v="8.3000000000000007"/>
    <x v="6"/>
    <x v="5"/>
    <x v="4"/>
    <n v="2026"/>
  </r>
  <r>
    <s v="INT-00768"/>
    <x v="271"/>
    <x v="1"/>
    <x v="12"/>
    <x v="3"/>
    <s v="Customer 371"/>
    <s v="CRM"/>
    <m/>
    <x v="1"/>
    <n v="0"/>
    <n v="0"/>
    <n v="0"/>
    <n v="1"/>
    <x v="60"/>
    <n v="4.3"/>
    <x v="20"/>
    <x v="1"/>
    <x v="1"/>
    <n v="2026"/>
  </r>
  <r>
    <s v="INT-00769"/>
    <x v="47"/>
    <x v="0"/>
    <x v="11"/>
    <x v="4"/>
    <s v="Customer 170"/>
    <s v="WhatsApp API"/>
    <s v="Referral"/>
    <x v="2"/>
    <n v="1"/>
    <n v="23100"/>
    <n v="0"/>
    <m/>
    <x v="22"/>
    <m/>
    <x v="0"/>
    <x v="3"/>
    <x v="11"/>
    <n v="2026"/>
  </r>
  <r>
    <s v="INT-00770"/>
    <x v="116"/>
    <x v="1"/>
    <x v="9"/>
    <x v="3"/>
    <s v="Customer 547"/>
    <s v="Automation"/>
    <m/>
    <x v="1"/>
    <n v="0"/>
    <n v="0"/>
    <n v="0"/>
    <n v="1"/>
    <x v="174"/>
    <n v="5.9"/>
    <x v="16"/>
    <x v="2"/>
    <x v="5"/>
    <n v="2026"/>
  </r>
  <r>
    <s v="INT-00771"/>
    <x v="319"/>
    <x v="0"/>
    <x v="10"/>
    <x v="0"/>
    <s v="Customer 654"/>
    <s v="CRM"/>
    <s v="Inbound"/>
    <x v="3"/>
    <n v="1"/>
    <n v="37600"/>
    <n v="0"/>
    <m/>
    <x v="196"/>
    <m/>
    <x v="0"/>
    <x v="4"/>
    <x v="3"/>
    <n v="2026"/>
  </r>
  <r>
    <s v="INT-00772"/>
    <x v="95"/>
    <x v="1"/>
    <x v="2"/>
    <x v="2"/>
    <s v="Customer 589"/>
    <s v="Analytics"/>
    <m/>
    <x v="1"/>
    <n v="0"/>
    <n v="0"/>
    <n v="0"/>
    <n v="1"/>
    <x v="70"/>
    <n v="2.4"/>
    <x v="14"/>
    <x v="2"/>
    <x v="6"/>
    <n v="2025"/>
  </r>
  <r>
    <s v="INT-00773"/>
    <x v="285"/>
    <x v="0"/>
    <x v="10"/>
    <x v="0"/>
    <s v="Customer 475"/>
    <s v="CRM"/>
    <s v="Outbound"/>
    <x v="6"/>
    <n v="1"/>
    <n v="10600"/>
    <n v="0"/>
    <m/>
    <x v="104"/>
    <m/>
    <x v="0"/>
    <x v="8"/>
    <x v="0"/>
    <n v="2026"/>
  </r>
  <r>
    <s v="INT-00774"/>
    <x v="252"/>
    <x v="0"/>
    <x v="5"/>
    <x v="4"/>
    <s v="Customer 648"/>
    <s v="Automation"/>
    <s v="Inbound"/>
    <x v="0"/>
    <n v="1"/>
    <n v="84900"/>
    <n v="84900"/>
    <m/>
    <x v="128"/>
    <m/>
    <x v="0"/>
    <x v="0"/>
    <x v="0"/>
    <n v="2026"/>
  </r>
  <r>
    <s v="INT-00775"/>
    <x v="254"/>
    <x v="1"/>
    <x v="2"/>
    <x v="0"/>
    <s v="Customer 457"/>
    <s v="CRM"/>
    <m/>
    <x v="1"/>
    <n v="0"/>
    <n v="0"/>
    <n v="0"/>
    <n v="1"/>
    <x v="123"/>
    <n v="6.8"/>
    <x v="19"/>
    <x v="2"/>
    <x v="8"/>
    <n v="2026"/>
  </r>
  <r>
    <s v="INT-00776"/>
    <x v="38"/>
    <x v="0"/>
    <x v="4"/>
    <x v="2"/>
    <s v="Customer 552"/>
    <s v="WhatsApp API"/>
    <s v="Outbound"/>
    <x v="5"/>
    <n v="1"/>
    <n v="17600"/>
    <n v="0"/>
    <m/>
    <x v="185"/>
    <m/>
    <x v="0"/>
    <x v="7"/>
    <x v="0"/>
    <n v="2026"/>
  </r>
  <r>
    <s v="INT-00777"/>
    <x v="325"/>
    <x v="0"/>
    <x v="6"/>
    <x v="0"/>
    <s v="Customer 300"/>
    <s v="CRM"/>
    <s v="Inbound"/>
    <x v="5"/>
    <n v="1"/>
    <n v="13700"/>
    <n v="0"/>
    <m/>
    <x v="212"/>
    <m/>
    <x v="0"/>
    <x v="7"/>
    <x v="10"/>
    <n v="2025"/>
  </r>
  <r>
    <s v="INT-00778"/>
    <x v="79"/>
    <x v="1"/>
    <x v="3"/>
    <x v="4"/>
    <s v="Customer 303"/>
    <s v="CRM"/>
    <m/>
    <x v="1"/>
    <n v="0"/>
    <n v="0"/>
    <n v="0"/>
    <n v="1"/>
    <x v="19"/>
    <n v="12.2"/>
    <x v="3"/>
    <x v="2"/>
    <x v="0"/>
    <n v="2026"/>
  </r>
  <r>
    <s v="INT-00779"/>
    <x v="220"/>
    <x v="1"/>
    <x v="2"/>
    <x v="0"/>
    <s v="Customer 573"/>
    <s v="Analytics"/>
    <m/>
    <x v="1"/>
    <n v="0"/>
    <n v="0"/>
    <n v="0"/>
    <n v="1"/>
    <x v="182"/>
    <n v="11.7"/>
    <x v="18"/>
    <x v="2"/>
    <x v="2"/>
    <n v="2025"/>
  </r>
  <r>
    <s v="INT-00780"/>
    <x v="24"/>
    <x v="1"/>
    <x v="12"/>
    <x v="4"/>
    <s v="Customer 391"/>
    <s v="CRM"/>
    <m/>
    <x v="1"/>
    <n v="0"/>
    <n v="0"/>
    <n v="0"/>
    <n v="1"/>
    <x v="13"/>
    <n v="3.9"/>
    <x v="2"/>
    <x v="1"/>
    <x v="4"/>
    <n v="2026"/>
  </r>
  <r>
    <s v="INT-00781"/>
    <x v="157"/>
    <x v="1"/>
    <x v="1"/>
    <x v="2"/>
    <s v="Customer 373"/>
    <s v="Analytics"/>
    <m/>
    <x v="1"/>
    <n v="0"/>
    <n v="0"/>
    <n v="0"/>
    <n v="1"/>
    <x v="68"/>
    <n v="3.7"/>
    <x v="23"/>
    <x v="9"/>
    <x v="0"/>
    <n v="2026"/>
  </r>
  <r>
    <s v="INT-00782"/>
    <x v="265"/>
    <x v="0"/>
    <x v="5"/>
    <x v="0"/>
    <s v="Customer 236"/>
    <s v="WhatsApp API"/>
    <s v="Outbound"/>
    <x v="6"/>
    <n v="1"/>
    <n v="10200"/>
    <n v="0"/>
    <m/>
    <x v="210"/>
    <m/>
    <x v="0"/>
    <x v="8"/>
    <x v="7"/>
    <n v="2026"/>
  </r>
  <r>
    <s v="INT-00783"/>
    <x v="245"/>
    <x v="0"/>
    <x v="11"/>
    <x v="0"/>
    <s v="Customer 646"/>
    <s v="CRM"/>
    <s v="Outbound"/>
    <x v="2"/>
    <n v="1"/>
    <n v="15900"/>
    <n v="0"/>
    <m/>
    <x v="77"/>
    <m/>
    <x v="0"/>
    <x v="3"/>
    <x v="10"/>
    <n v="2025"/>
  </r>
  <r>
    <s v="INT-00784"/>
    <x v="55"/>
    <x v="0"/>
    <x v="13"/>
    <x v="2"/>
    <s v="Customer 655"/>
    <s v="WhatsApp API"/>
    <s v="Outbound"/>
    <x v="4"/>
    <n v="1"/>
    <n v="17500"/>
    <n v="0"/>
    <m/>
    <x v="62"/>
    <m/>
    <x v="0"/>
    <x v="6"/>
    <x v="3"/>
    <n v="2026"/>
  </r>
  <r>
    <s v="INT-00785"/>
    <x v="67"/>
    <x v="0"/>
    <x v="4"/>
    <x v="0"/>
    <s v="Customer 076"/>
    <s v="Automation"/>
    <s v="Referral"/>
    <x v="0"/>
    <n v="1"/>
    <n v="17200"/>
    <n v="17200"/>
    <m/>
    <x v="28"/>
    <m/>
    <x v="0"/>
    <x v="0"/>
    <x v="6"/>
    <n v="2025"/>
  </r>
  <r>
    <s v="INT-00786"/>
    <x v="255"/>
    <x v="1"/>
    <x v="9"/>
    <x v="0"/>
    <s v="Customer 052"/>
    <s v="WhatsApp API"/>
    <m/>
    <x v="1"/>
    <n v="0"/>
    <n v="0"/>
    <n v="0"/>
    <n v="1"/>
    <x v="104"/>
    <n v="4.7"/>
    <x v="10"/>
    <x v="2"/>
    <x v="9"/>
    <n v="2025"/>
  </r>
  <r>
    <s v="INT-00787"/>
    <x v="321"/>
    <x v="1"/>
    <x v="9"/>
    <x v="3"/>
    <s v="Customer 464"/>
    <s v="WhatsApp API"/>
    <m/>
    <x v="1"/>
    <n v="0"/>
    <n v="0"/>
    <n v="0"/>
    <n v="1"/>
    <x v="68"/>
    <n v="3.4"/>
    <x v="8"/>
    <x v="2"/>
    <x v="9"/>
    <n v="2025"/>
  </r>
  <r>
    <s v="INT-00788"/>
    <x v="80"/>
    <x v="0"/>
    <x v="11"/>
    <x v="2"/>
    <s v="Customer 043"/>
    <s v="WhatsApp API"/>
    <s v="Inbound"/>
    <x v="2"/>
    <n v="1"/>
    <n v="8500"/>
    <n v="0"/>
    <m/>
    <x v="13"/>
    <m/>
    <x v="0"/>
    <x v="3"/>
    <x v="7"/>
    <n v="2026"/>
  </r>
  <r>
    <s v="INT-00789"/>
    <x v="235"/>
    <x v="0"/>
    <x v="13"/>
    <x v="3"/>
    <s v="Customer 299"/>
    <s v="CRM"/>
    <s v="Inbound"/>
    <x v="3"/>
    <n v="1"/>
    <n v="18700"/>
    <n v="0"/>
    <m/>
    <x v="1"/>
    <m/>
    <x v="0"/>
    <x v="4"/>
    <x v="5"/>
    <n v="2026"/>
  </r>
  <r>
    <s v="INT-00790"/>
    <x v="302"/>
    <x v="1"/>
    <x v="2"/>
    <x v="0"/>
    <s v="Customer 612"/>
    <s v="CRM"/>
    <m/>
    <x v="1"/>
    <n v="0"/>
    <n v="0"/>
    <n v="0"/>
    <n v="1"/>
    <x v="80"/>
    <n v="5.4"/>
    <x v="19"/>
    <x v="1"/>
    <x v="2"/>
    <n v="2025"/>
  </r>
  <r>
    <s v="INT-00791"/>
    <x v="297"/>
    <x v="0"/>
    <x v="7"/>
    <x v="2"/>
    <s v="Customer 412"/>
    <s v="WhatsApp API"/>
    <s v="Website"/>
    <x v="0"/>
    <n v="1"/>
    <n v="19200"/>
    <n v="19200"/>
    <m/>
    <x v="33"/>
    <m/>
    <x v="0"/>
    <x v="0"/>
    <x v="9"/>
    <n v="2025"/>
  </r>
  <r>
    <s v="INT-00792"/>
    <x v="326"/>
    <x v="1"/>
    <x v="15"/>
    <x v="4"/>
    <s v="Customer 030"/>
    <s v="Analytics"/>
    <m/>
    <x v="1"/>
    <n v="0"/>
    <n v="0"/>
    <n v="0"/>
    <n v="1"/>
    <x v="48"/>
    <n v="4.7"/>
    <x v="11"/>
    <x v="2"/>
    <x v="1"/>
    <n v="2026"/>
  </r>
  <r>
    <s v="INT-00793"/>
    <x v="192"/>
    <x v="0"/>
    <x v="11"/>
    <x v="1"/>
    <s v="Customer 047"/>
    <s v="Analytics"/>
    <s v="Partner"/>
    <x v="3"/>
    <n v="1"/>
    <n v="25800"/>
    <n v="0"/>
    <m/>
    <x v="61"/>
    <m/>
    <x v="0"/>
    <x v="4"/>
    <x v="11"/>
    <n v="2026"/>
  </r>
  <r>
    <s v="INT-00794"/>
    <x v="121"/>
    <x v="1"/>
    <x v="8"/>
    <x v="3"/>
    <s v="Customer 410"/>
    <s v="WhatsApp API"/>
    <m/>
    <x v="1"/>
    <n v="0"/>
    <n v="0"/>
    <n v="0"/>
    <n v="1"/>
    <x v="196"/>
    <n v="7.6"/>
    <x v="10"/>
    <x v="5"/>
    <x v="2"/>
    <n v="2025"/>
  </r>
  <r>
    <s v="INT-00795"/>
    <x v="327"/>
    <x v="0"/>
    <x v="10"/>
    <x v="4"/>
    <s v="Customer 089"/>
    <s v="WhatsApp API"/>
    <s v="Inbound"/>
    <x v="2"/>
    <n v="1"/>
    <n v="29700"/>
    <n v="0"/>
    <m/>
    <x v="186"/>
    <m/>
    <x v="0"/>
    <x v="3"/>
    <x v="6"/>
    <n v="2025"/>
  </r>
  <r>
    <s v="INT-00796"/>
    <x v="165"/>
    <x v="1"/>
    <x v="2"/>
    <x v="0"/>
    <s v="Customer 619"/>
    <s v="Automation"/>
    <m/>
    <x v="1"/>
    <n v="0"/>
    <n v="0"/>
    <n v="0"/>
    <n v="1"/>
    <x v="119"/>
    <n v="20.100000000000001"/>
    <x v="1"/>
    <x v="1"/>
    <x v="0"/>
    <n v="2026"/>
  </r>
  <r>
    <s v="INT-00797"/>
    <x v="313"/>
    <x v="1"/>
    <x v="3"/>
    <x v="0"/>
    <s v="Customer 132"/>
    <s v="WhatsApp API"/>
    <m/>
    <x v="1"/>
    <n v="0"/>
    <n v="0"/>
    <n v="0"/>
    <n v="1"/>
    <x v="61"/>
    <n v="10"/>
    <x v="5"/>
    <x v="5"/>
    <x v="11"/>
    <n v="2026"/>
  </r>
  <r>
    <s v="INT-00798"/>
    <x v="328"/>
    <x v="1"/>
    <x v="1"/>
    <x v="0"/>
    <s v="Customer 395"/>
    <s v="WhatsApp API"/>
    <m/>
    <x v="1"/>
    <n v="0"/>
    <n v="0"/>
    <n v="0"/>
    <n v="1"/>
    <x v="72"/>
    <n v="2.2999999999999998"/>
    <x v="1"/>
    <x v="2"/>
    <x v="8"/>
    <n v="2026"/>
  </r>
  <r>
    <s v="INT-00799"/>
    <x v="123"/>
    <x v="1"/>
    <x v="8"/>
    <x v="3"/>
    <s v="Customer 035"/>
    <s v="WhatsApp API"/>
    <m/>
    <x v="1"/>
    <n v="0"/>
    <n v="0"/>
    <n v="0"/>
    <n v="1"/>
    <x v="70"/>
    <n v="51.2"/>
    <x v="5"/>
    <x v="5"/>
    <x v="3"/>
    <n v="2026"/>
  </r>
  <r>
    <s v="INT-00800"/>
    <x v="306"/>
    <x v="1"/>
    <x v="9"/>
    <x v="0"/>
    <s v="Customer 087"/>
    <s v="CRM"/>
    <m/>
    <x v="1"/>
    <n v="0"/>
    <n v="0"/>
    <n v="0"/>
    <n v="1"/>
    <x v="121"/>
    <n v="7.7"/>
    <x v="13"/>
    <x v="5"/>
    <x v="7"/>
    <n v="2026"/>
  </r>
  <r>
    <s v="INT-00801"/>
    <x v="162"/>
    <x v="1"/>
    <x v="15"/>
    <x v="0"/>
    <s v="Customer 543"/>
    <s v="WhatsApp API"/>
    <m/>
    <x v="1"/>
    <n v="0"/>
    <n v="0"/>
    <n v="0"/>
    <n v="1"/>
    <x v="154"/>
    <n v="12.7"/>
    <x v="17"/>
    <x v="1"/>
    <x v="2"/>
    <n v="2025"/>
  </r>
  <r>
    <s v="INT-00802"/>
    <x v="78"/>
    <x v="0"/>
    <x v="0"/>
    <x v="0"/>
    <s v="Customer 401"/>
    <s v="WhatsApp API"/>
    <s v="Referral"/>
    <x v="0"/>
    <n v="1"/>
    <n v="18900"/>
    <n v="18900"/>
    <m/>
    <x v="196"/>
    <m/>
    <x v="0"/>
    <x v="0"/>
    <x v="6"/>
    <n v="2025"/>
  </r>
  <r>
    <s v="INT-00803"/>
    <x v="23"/>
    <x v="1"/>
    <x v="15"/>
    <x v="0"/>
    <s v="Customer 300"/>
    <s v="Automation"/>
    <m/>
    <x v="1"/>
    <n v="0"/>
    <n v="0"/>
    <n v="0"/>
    <n v="1"/>
    <x v="128"/>
    <n v="6.1"/>
    <x v="14"/>
    <x v="5"/>
    <x v="6"/>
    <n v="2025"/>
  </r>
  <r>
    <s v="INT-00804"/>
    <x v="162"/>
    <x v="1"/>
    <x v="8"/>
    <x v="0"/>
    <s v="Customer 332"/>
    <s v="WhatsApp API"/>
    <m/>
    <x v="1"/>
    <n v="0"/>
    <n v="0"/>
    <n v="0"/>
    <n v="1"/>
    <x v="127"/>
    <n v="10.7"/>
    <x v="5"/>
    <x v="5"/>
    <x v="2"/>
    <n v="2025"/>
  </r>
  <r>
    <s v="INT-00805"/>
    <x v="119"/>
    <x v="0"/>
    <x v="5"/>
    <x v="4"/>
    <s v="Customer 603"/>
    <s v="CRM"/>
    <s v="Outbound"/>
    <x v="0"/>
    <n v="1"/>
    <n v="13900"/>
    <n v="13900"/>
    <m/>
    <x v="198"/>
    <m/>
    <x v="0"/>
    <x v="0"/>
    <x v="10"/>
    <n v="2025"/>
  </r>
  <r>
    <s v="INT-00806"/>
    <x v="87"/>
    <x v="1"/>
    <x v="1"/>
    <x v="2"/>
    <s v="Customer 545"/>
    <s v="Automation"/>
    <m/>
    <x v="1"/>
    <n v="0"/>
    <n v="0"/>
    <n v="0"/>
    <n v="1"/>
    <x v="164"/>
    <n v="2"/>
    <x v="3"/>
    <x v="1"/>
    <x v="10"/>
    <n v="2025"/>
  </r>
  <r>
    <s v="INT-00807"/>
    <x v="150"/>
    <x v="1"/>
    <x v="1"/>
    <x v="2"/>
    <s v="Customer 286"/>
    <s v="Automation"/>
    <m/>
    <x v="1"/>
    <n v="0"/>
    <n v="0"/>
    <n v="0"/>
    <n v="1"/>
    <x v="55"/>
    <n v="3.6"/>
    <x v="14"/>
    <x v="9"/>
    <x v="1"/>
    <n v="2026"/>
  </r>
  <r>
    <s v="INT-00808"/>
    <x v="151"/>
    <x v="1"/>
    <x v="2"/>
    <x v="0"/>
    <s v="Customer 586"/>
    <s v="WhatsApp API"/>
    <m/>
    <x v="1"/>
    <n v="0"/>
    <n v="0"/>
    <n v="0"/>
    <n v="1"/>
    <x v="51"/>
    <n v="6.7"/>
    <x v="9"/>
    <x v="2"/>
    <x v="9"/>
    <n v="2025"/>
  </r>
  <r>
    <s v="INT-00809"/>
    <x v="78"/>
    <x v="0"/>
    <x v="10"/>
    <x v="0"/>
    <s v="Customer 623"/>
    <s v="CRM"/>
    <s v="Inbound"/>
    <x v="6"/>
    <n v="1"/>
    <n v="5700"/>
    <n v="0"/>
    <m/>
    <x v="157"/>
    <m/>
    <x v="0"/>
    <x v="8"/>
    <x v="6"/>
    <n v="2025"/>
  </r>
  <r>
    <s v="INT-00810"/>
    <x v="251"/>
    <x v="0"/>
    <x v="7"/>
    <x v="4"/>
    <s v="Customer 325"/>
    <s v="Automation"/>
    <s v="Partner"/>
    <x v="0"/>
    <n v="1"/>
    <n v="34500"/>
    <n v="34500"/>
    <m/>
    <x v="213"/>
    <m/>
    <x v="0"/>
    <x v="0"/>
    <x v="11"/>
    <n v="2026"/>
  </r>
  <r>
    <s v="INT-00811"/>
    <x v="307"/>
    <x v="1"/>
    <x v="14"/>
    <x v="1"/>
    <s v="Customer 420"/>
    <s v="CRM"/>
    <m/>
    <x v="1"/>
    <n v="0"/>
    <n v="0"/>
    <n v="0"/>
    <n v="1"/>
    <x v="4"/>
    <n v="5.7"/>
    <x v="7"/>
    <x v="9"/>
    <x v="6"/>
    <n v="2025"/>
  </r>
  <r>
    <s v="INT-00812"/>
    <x v="31"/>
    <x v="1"/>
    <x v="14"/>
    <x v="0"/>
    <s v="Customer 235"/>
    <s v="CRM"/>
    <m/>
    <x v="1"/>
    <n v="0"/>
    <n v="0"/>
    <n v="0"/>
    <n v="1"/>
    <x v="71"/>
    <n v="8.8000000000000007"/>
    <x v="14"/>
    <x v="1"/>
    <x v="4"/>
    <n v="2026"/>
  </r>
  <r>
    <s v="INT-00813"/>
    <x v="102"/>
    <x v="0"/>
    <x v="5"/>
    <x v="4"/>
    <s v="Customer 524"/>
    <s v="CRM"/>
    <s v="Partner"/>
    <x v="5"/>
    <n v="1"/>
    <n v="6200"/>
    <n v="0"/>
    <m/>
    <x v="48"/>
    <m/>
    <x v="0"/>
    <x v="7"/>
    <x v="6"/>
    <n v="2025"/>
  </r>
  <r>
    <s v="INT-00814"/>
    <x v="208"/>
    <x v="1"/>
    <x v="15"/>
    <x v="1"/>
    <s v="Customer 447"/>
    <s v="Automation"/>
    <m/>
    <x v="1"/>
    <n v="0"/>
    <n v="0"/>
    <n v="0"/>
    <n v="1"/>
    <x v="214"/>
    <n v="3.4"/>
    <x v="1"/>
    <x v="2"/>
    <x v="0"/>
    <n v="2026"/>
  </r>
  <r>
    <s v="INT-00815"/>
    <x v="329"/>
    <x v="1"/>
    <x v="9"/>
    <x v="4"/>
    <s v="Customer 419"/>
    <s v="CRM"/>
    <m/>
    <x v="1"/>
    <n v="0"/>
    <n v="0"/>
    <n v="0"/>
    <n v="1"/>
    <x v="43"/>
    <n v="4.5999999999999996"/>
    <x v="19"/>
    <x v="2"/>
    <x v="1"/>
    <n v="2026"/>
  </r>
  <r>
    <s v="INT-00816"/>
    <x v="330"/>
    <x v="0"/>
    <x v="11"/>
    <x v="0"/>
    <s v="Customer 468"/>
    <s v="CRM"/>
    <s v="Outbound"/>
    <x v="0"/>
    <n v="1"/>
    <n v="5000"/>
    <n v="5000"/>
    <m/>
    <x v="8"/>
    <m/>
    <x v="0"/>
    <x v="0"/>
    <x v="10"/>
    <n v="2025"/>
  </r>
  <r>
    <s v="INT-00817"/>
    <x v="183"/>
    <x v="1"/>
    <x v="14"/>
    <x v="1"/>
    <s v="Customer 020"/>
    <s v="CRM"/>
    <m/>
    <x v="1"/>
    <n v="0"/>
    <n v="0"/>
    <n v="0"/>
    <n v="1"/>
    <x v="11"/>
    <n v="9.9"/>
    <x v="13"/>
    <x v="5"/>
    <x v="10"/>
    <n v="2025"/>
  </r>
  <r>
    <s v="INT-00818"/>
    <x v="224"/>
    <x v="0"/>
    <x v="10"/>
    <x v="1"/>
    <s v="Customer 078"/>
    <s v="Automation"/>
    <s v="Referral"/>
    <x v="4"/>
    <n v="1"/>
    <n v="11000"/>
    <n v="0"/>
    <m/>
    <x v="167"/>
    <m/>
    <x v="0"/>
    <x v="6"/>
    <x v="2"/>
    <n v="2025"/>
  </r>
  <r>
    <s v="INT-00819"/>
    <x v="315"/>
    <x v="0"/>
    <x v="13"/>
    <x v="0"/>
    <s v="Customer 423"/>
    <s v="CRM"/>
    <s v="Referral"/>
    <x v="5"/>
    <n v="1"/>
    <n v="12600"/>
    <n v="0"/>
    <m/>
    <x v="161"/>
    <m/>
    <x v="0"/>
    <x v="7"/>
    <x v="7"/>
    <n v="2026"/>
  </r>
  <r>
    <s v="INT-00820"/>
    <x v="139"/>
    <x v="0"/>
    <x v="5"/>
    <x v="0"/>
    <s v="Customer 198"/>
    <s v="CRM"/>
    <s v="Inbound"/>
    <x v="2"/>
    <n v="1"/>
    <n v="30100"/>
    <n v="0"/>
    <m/>
    <x v="212"/>
    <m/>
    <x v="0"/>
    <x v="3"/>
    <x v="1"/>
    <n v="2026"/>
  </r>
  <r>
    <s v="INT-00821"/>
    <x v="110"/>
    <x v="1"/>
    <x v="9"/>
    <x v="1"/>
    <s v="Customer 365"/>
    <s v="CRM"/>
    <m/>
    <x v="1"/>
    <n v="0"/>
    <n v="0"/>
    <n v="0"/>
    <n v="1"/>
    <x v="172"/>
    <n v="11.2"/>
    <x v="9"/>
    <x v="2"/>
    <x v="11"/>
    <n v="2026"/>
  </r>
  <r>
    <s v="INT-00822"/>
    <x v="34"/>
    <x v="0"/>
    <x v="13"/>
    <x v="1"/>
    <s v="Customer 478"/>
    <s v="CRM"/>
    <s v="Website"/>
    <x v="0"/>
    <n v="1"/>
    <n v="25500"/>
    <n v="25500"/>
    <m/>
    <x v="199"/>
    <m/>
    <x v="0"/>
    <x v="0"/>
    <x v="3"/>
    <n v="2026"/>
  </r>
  <r>
    <s v="INT-00823"/>
    <x v="55"/>
    <x v="0"/>
    <x v="0"/>
    <x v="0"/>
    <s v="Customer 689"/>
    <s v="CRM"/>
    <s v="Outbound"/>
    <x v="5"/>
    <n v="1"/>
    <n v="33000"/>
    <n v="0"/>
    <m/>
    <x v="36"/>
    <m/>
    <x v="0"/>
    <x v="7"/>
    <x v="3"/>
    <n v="2026"/>
  </r>
  <r>
    <s v="INT-00824"/>
    <x v="245"/>
    <x v="0"/>
    <x v="10"/>
    <x v="0"/>
    <s v="Customer 447"/>
    <s v="WhatsApp API"/>
    <s v="Inbound"/>
    <x v="6"/>
    <n v="1"/>
    <n v="31200"/>
    <n v="0"/>
    <m/>
    <x v="137"/>
    <m/>
    <x v="0"/>
    <x v="8"/>
    <x v="10"/>
    <n v="2025"/>
  </r>
  <r>
    <s v="INT-00825"/>
    <x v="321"/>
    <x v="0"/>
    <x v="10"/>
    <x v="1"/>
    <s v="Customer 003"/>
    <s v="WhatsApp API"/>
    <s v="Referral"/>
    <x v="5"/>
    <n v="1"/>
    <n v="33200"/>
    <n v="0"/>
    <m/>
    <x v="172"/>
    <m/>
    <x v="0"/>
    <x v="7"/>
    <x v="9"/>
    <n v="2025"/>
  </r>
  <r>
    <s v="INT-00826"/>
    <x v="201"/>
    <x v="1"/>
    <x v="8"/>
    <x v="0"/>
    <s v="Customer 487"/>
    <s v="WhatsApp API"/>
    <m/>
    <x v="1"/>
    <n v="0"/>
    <n v="0"/>
    <n v="0"/>
    <n v="1"/>
    <x v="154"/>
    <n v="5.6"/>
    <x v="19"/>
    <x v="1"/>
    <x v="7"/>
    <n v="2026"/>
  </r>
  <r>
    <s v="INT-00827"/>
    <x v="4"/>
    <x v="0"/>
    <x v="10"/>
    <x v="0"/>
    <s v="Customer 016"/>
    <s v="Automation"/>
    <s v="Referral"/>
    <x v="0"/>
    <n v="1"/>
    <n v="13700"/>
    <n v="13700"/>
    <m/>
    <x v="138"/>
    <m/>
    <x v="0"/>
    <x v="0"/>
    <x v="4"/>
    <n v="2026"/>
  </r>
  <r>
    <s v="INT-00828"/>
    <x v="99"/>
    <x v="0"/>
    <x v="10"/>
    <x v="1"/>
    <s v="Customer 231"/>
    <s v="CRM"/>
    <s v="Inbound"/>
    <x v="4"/>
    <n v="1"/>
    <n v="17600"/>
    <n v="0"/>
    <m/>
    <x v="103"/>
    <m/>
    <x v="0"/>
    <x v="6"/>
    <x v="10"/>
    <n v="2025"/>
  </r>
  <r>
    <s v="INT-00829"/>
    <x v="42"/>
    <x v="1"/>
    <x v="14"/>
    <x v="0"/>
    <s v="Customer 653"/>
    <s v="Automation"/>
    <m/>
    <x v="1"/>
    <n v="0"/>
    <n v="0"/>
    <n v="0"/>
    <n v="1"/>
    <x v="179"/>
    <n v="17.8"/>
    <x v="5"/>
    <x v="5"/>
    <x v="11"/>
    <n v="2026"/>
  </r>
  <r>
    <s v="INT-00830"/>
    <x v="296"/>
    <x v="0"/>
    <x v="6"/>
    <x v="0"/>
    <s v="Customer 282"/>
    <s v="Automation"/>
    <s v="Website"/>
    <x v="5"/>
    <n v="1"/>
    <n v="118500"/>
    <n v="0"/>
    <m/>
    <x v="215"/>
    <m/>
    <x v="0"/>
    <x v="7"/>
    <x v="3"/>
    <n v="2026"/>
  </r>
  <r>
    <s v="INT-00831"/>
    <x v="211"/>
    <x v="0"/>
    <x v="11"/>
    <x v="2"/>
    <s v="Customer 601"/>
    <s v="Automation"/>
    <s v="Website"/>
    <x v="4"/>
    <n v="1"/>
    <n v="5000"/>
    <n v="0"/>
    <m/>
    <x v="216"/>
    <m/>
    <x v="0"/>
    <x v="6"/>
    <x v="0"/>
    <n v="2026"/>
  </r>
  <r>
    <s v="INT-00832"/>
    <x v="328"/>
    <x v="0"/>
    <x v="4"/>
    <x v="4"/>
    <s v="Customer 646"/>
    <s v="Analytics"/>
    <s v="Inbound"/>
    <x v="2"/>
    <n v="1"/>
    <n v="13900"/>
    <n v="0"/>
    <m/>
    <x v="156"/>
    <m/>
    <x v="0"/>
    <x v="3"/>
    <x v="8"/>
    <n v="2026"/>
  </r>
  <r>
    <s v="INT-00833"/>
    <x v="238"/>
    <x v="0"/>
    <x v="5"/>
    <x v="2"/>
    <s v="Customer 040"/>
    <s v="WhatsApp API"/>
    <s v="Website"/>
    <x v="2"/>
    <n v="1"/>
    <n v="15100"/>
    <n v="0"/>
    <m/>
    <x v="9"/>
    <m/>
    <x v="0"/>
    <x v="3"/>
    <x v="11"/>
    <n v="2026"/>
  </r>
  <r>
    <s v="INT-00834"/>
    <x v="43"/>
    <x v="0"/>
    <x v="0"/>
    <x v="0"/>
    <s v="Customer 430"/>
    <s v="CRM"/>
    <s v="Website"/>
    <x v="6"/>
    <n v="1"/>
    <n v="6100"/>
    <n v="0"/>
    <m/>
    <x v="41"/>
    <m/>
    <x v="0"/>
    <x v="8"/>
    <x v="5"/>
    <n v="2026"/>
  </r>
  <r>
    <s v="INT-00835"/>
    <x v="186"/>
    <x v="0"/>
    <x v="0"/>
    <x v="0"/>
    <s v="Customer 263"/>
    <s v="CRM"/>
    <s v="Outbound"/>
    <x v="0"/>
    <n v="1"/>
    <n v="30600"/>
    <n v="30600"/>
    <m/>
    <x v="217"/>
    <m/>
    <x v="0"/>
    <x v="0"/>
    <x v="4"/>
    <n v="2026"/>
  </r>
  <r>
    <s v="INT-00836"/>
    <x v="11"/>
    <x v="0"/>
    <x v="10"/>
    <x v="0"/>
    <s v="Customer 502"/>
    <s v="WhatsApp API"/>
    <s v="Inbound"/>
    <x v="0"/>
    <n v="1"/>
    <n v="24600"/>
    <n v="24600"/>
    <m/>
    <x v="16"/>
    <m/>
    <x v="0"/>
    <x v="0"/>
    <x v="7"/>
    <n v="2026"/>
  </r>
  <r>
    <s v="INT-00837"/>
    <x v="20"/>
    <x v="1"/>
    <x v="3"/>
    <x v="0"/>
    <s v="Customer 580"/>
    <s v="WhatsApp API"/>
    <m/>
    <x v="1"/>
    <n v="0"/>
    <n v="0"/>
    <n v="0"/>
    <n v="1"/>
    <x v="160"/>
    <n v="4.5999999999999996"/>
    <x v="5"/>
    <x v="9"/>
    <x v="3"/>
    <n v="2026"/>
  </r>
  <r>
    <s v="INT-00838"/>
    <x v="242"/>
    <x v="0"/>
    <x v="5"/>
    <x v="2"/>
    <s v="Customer 647"/>
    <s v="Automation"/>
    <s v="Outbound"/>
    <x v="0"/>
    <n v="1"/>
    <n v="14800"/>
    <n v="14800"/>
    <m/>
    <x v="218"/>
    <m/>
    <x v="0"/>
    <x v="0"/>
    <x v="8"/>
    <n v="2026"/>
  </r>
  <r>
    <s v="INT-00839"/>
    <x v="143"/>
    <x v="1"/>
    <x v="1"/>
    <x v="4"/>
    <s v="Customer 012"/>
    <s v="Automation"/>
    <m/>
    <x v="1"/>
    <n v="0"/>
    <n v="0"/>
    <n v="0"/>
    <n v="1"/>
    <x v="33"/>
    <n v="26.6"/>
    <x v="4"/>
    <x v="2"/>
    <x v="9"/>
    <n v="2025"/>
  </r>
  <r>
    <s v="INT-00840"/>
    <x v="198"/>
    <x v="1"/>
    <x v="9"/>
    <x v="2"/>
    <s v="Customer 132"/>
    <s v="WhatsApp API"/>
    <m/>
    <x v="1"/>
    <n v="0"/>
    <n v="0"/>
    <n v="0"/>
    <n v="1"/>
    <x v="79"/>
    <n v="2"/>
    <x v="26"/>
    <x v="2"/>
    <x v="7"/>
    <n v="2026"/>
  </r>
  <r>
    <s v="INT-00841"/>
    <x v="103"/>
    <x v="0"/>
    <x v="4"/>
    <x v="0"/>
    <s v="Customer 369"/>
    <s v="WhatsApp API"/>
    <s v="Website"/>
    <x v="4"/>
    <n v="1"/>
    <n v="9400"/>
    <n v="0"/>
    <m/>
    <x v="40"/>
    <m/>
    <x v="0"/>
    <x v="6"/>
    <x v="2"/>
    <n v="2025"/>
  </r>
  <r>
    <s v="INT-00842"/>
    <x v="287"/>
    <x v="1"/>
    <x v="12"/>
    <x v="0"/>
    <s v="Customer 145"/>
    <s v="Automation"/>
    <m/>
    <x v="1"/>
    <n v="0"/>
    <n v="0"/>
    <n v="0"/>
    <n v="1"/>
    <x v="146"/>
    <n v="8.1"/>
    <x v="1"/>
    <x v="5"/>
    <x v="7"/>
    <n v="2026"/>
  </r>
  <r>
    <s v="INT-00843"/>
    <x v="311"/>
    <x v="0"/>
    <x v="6"/>
    <x v="0"/>
    <s v="Customer 407"/>
    <s v="Analytics"/>
    <s v="Inbound"/>
    <x v="2"/>
    <n v="1"/>
    <n v="18600"/>
    <n v="0"/>
    <m/>
    <x v="123"/>
    <m/>
    <x v="0"/>
    <x v="3"/>
    <x v="4"/>
    <n v="2026"/>
  </r>
  <r>
    <s v="INT-00844"/>
    <x v="51"/>
    <x v="1"/>
    <x v="2"/>
    <x v="1"/>
    <s v="Customer 196"/>
    <s v="CRM"/>
    <m/>
    <x v="1"/>
    <n v="0"/>
    <n v="0"/>
    <n v="0"/>
    <n v="1"/>
    <x v="210"/>
    <n v="4.0999999999999996"/>
    <x v="24"/>
    <x v="9"/>
    <x v="6"/>
    <n v="2025"/>
  </r>
  <r>
    <s v="INT-00845"/>
    <x v="236"/>
    <x v="0"/>
    <x v="10"/>
    <x v="4"/>
    <s v="Customer 317"/>
    <s v="WhatsApp API"/>
    <s v="Outbound"/>
    <x v="4"/>
    <n v="1"/>
    <n v="44500"/>
    <n v="0"/>
    <m/>
    <x v="170"/>
    <m/>
    <x v="0"/>
    <x v="6"/>
    <x v="8"/>
    <n v="2026"/>
  </r>
  <r>
    <s v="INT-00846"/>
    <x v="316"/>
    <x v="0"/>
    <x v="6"/>
    <x v="0"/>
    <s v="Customer 274"/>
    <s v="Automation"/>
    <s v="Outbound"/>
    <x v="2"/>
    <n v="1"/>
    <n v="63800"/>
    <n v="0"/>
    <m/>
    <x v="219"/>
    <m/>
    <x v="0"/>
    <x v="3"/>
    <x v="8"/>
    <n v="2026"/>
  </r>
  <r>
    <s v="INT-00847"/>
    <x v="256"/>
    <x v="0"/>
    <x v="6"/>
    <x v="3"/>
    <s v="Customer 264"/>
    <s v="CRM"/>
    <s v="Outbound"/>
    <x v="0"/>
    <n v="1"/>
    <n v="32500"/>
    <n v="32500"/>
    <m/>
    <x v="209"/>
    <m/>
    <x v="0"/>
    <x v="0"/>
    <x v="4"/>
    <n v="2026"/>
  </r>
  <r>
    <s v="INT-00848"/>
    <x v="118"/>
    <x v="1"/>
    <x v="2"/>
    <x v="0"/>
    <s v="Customer 053"/>
    <s v="Automation"/>
    <m/>
    <x v="1"/>
    <n v="0"/>
    <n v="0"/>
    <n v="0"/>
    <n v="1"/>
    <x v="160"/>
    <n v="0.9"/>
    <x v="13"/>
    <x v="2"/>
    <x v="6"/>
    <n v="2025"/>
  </r>
  <r>
    <s v="INT-00849"/>
    <x v="34"/>
    <x v="0"/>
    <x v="6"/>
    <x v="3"/>
    <s v="Customer 447"/>
    <s v="WhatsApp API"/>
    <s v="Inbound"/>
    <x v="3"/>
    <n v="1"/>
    <n v="29600"/>
    <n v="0"/>
    <m/>
    <x v="28"/>
    <m/>
    <x v="0"/>
    <x v="4"/>
    <x v="3"/>
    <n v="2026"/>
  </r>
  <r>
    <s v="INT-00850"/>
    <x v="247"/>
    <x v="1"/>
    <x v="1"/>
    <x v="2"/>
    <s v="Customer 432"/>
    <s v="Automation"/>
    <m/>
    <x v="1"/>
    <n v="0"/>
    <n v="0"/>
    <n v="0"/>
    <n v="1"/>
    <x v="114"/>
    <n v="3.6"/>
    <x v="7"/>
    <x v="2"/>
    <x v="3"/>
    <n v="2026"/>
  </r>
  <r>
    <s v="INT-00851"/>
    <x v="158"/>
    <x v="0"/>
    <x v="4"/>
    <x v="1"/>
    <s v="Customer 389"/>
    <s v="Analytics"/>
    <s v="Outbound"/>
    <x v="6"/>
    <n v="1"/>
    <n v="9000"/>
    <n v="0"/>
    <m/>
    <x v="151"/>
    <m/>
    <x v="0"/>
    <x v="8"/>
    <x v="0"/>
    <n v="2026"/>
  </r>
  <r>
    <s v="INT-00852"/>
    <x v="298"/>
    <x v="1"/>
    <x v="9"/>
    <x v="4"/>
    <s v="Customer 360"/>
    <s v="CRM"/>
    <m/>
    <x v="1"/>
    <n v="0"/>
    <n v="0"/>
    <n v="0"/>
    <n v="1"/>
    <x v="119"/>
    <n v="20.3"/>
    <x v="5"/>
    <x v="5"/>
    <x v="11"/>
    <n v="2026"/>
  </r>
  <r>
    <s v="INT-00853"/>
    <x v="291"/>
    <x v="0"/>
    <x v="0"/>
    <x v="0"/>
    <s v="Customer 663"/>
    <s v="Analytics"/>
    <s v="Outbound"/>
    <x v="0"/>
    <n v="1"/>
    <n v="24000"/>
    <n v="24000"/>
    <m/>
    <x v="84"/>
    <m/>
    <x v="0"/>
    <x v="0"/>
    <x v="4"/>
    <n v="2026"/>
  </r>
  <r>
    <s v="INT-00854"/>
    <x v="280"/>
    <x v="1"/>
    <x v="15"/>
    <x v="2"/>
    <s v="Customer 247"/>
    <s v="WhatsApp API"/>
    <m/>
    <x v="1"/>
    <n v="0"/>
    <n v="0"/>
    <n v="0"/>
    <n v="1"/>
    <x v="49"/>
    <n v="5.5"/>
    <x v="25"/>
    <x v="2"/>
    <x v="10"/>
    <n v="2025"/>
  </r>
  <r>
    <s v="INT-00855"/>
    <x v="258"/>
    <x v="0"/>
    <x v="11"/>
    <x v="0"/>
    <s v="Customer 648"/>
    <s v="Analytics"/>
    <s v="Website"/>
    <x v="2"/>
    <n v="1"/>
    <n v="38600"/>
    <n v="0"/>
    <m/>
    <x v="80"/>
    <m/>
    <x v="0"/>
    <x v="3"/>
    <x v="2"/>
    <n v="2025"/>
  </r>
  <r>
    <s v="INT-00856"/>
    <x v="331"/>
    <x v="0"/>
    <x v="7"/>
    <x v="2"/>
    <s v="Customer 368"/>
    <s v="Analytics"/>
    <s v="Referral"/>
    <x v="6"/>
    <n v="1"/>
    <n v="27500"/>
    <n v="0"/>
    <m/>
    <x v="220"/>
    <m/>
    <x v="0"/>
    <x v="8"/>
    <x v="5"/>
    <n v="2026"/>
  </r>
  <r>
    <s v="INT-00857"/>
    <x v="43"/>
    <x v="0"/>
    <x v="6"/>
    <x v="4"/>
    <s v="Customer 308"/>
    <s v="WhatsApp API"/>
    <s v="Website"/>
    <x v="0"/>
    <n v="1"/>
    <n v="18800"/>
    <n v="18800"/>
    <m/>
    <x v="202"/>
    <m/>
    <x v="0"/>
    <x v="0"/>
    <x v="5"/>
    <n v="2026"/>
  </r>
  <r>
    <s v="INT-00858"/>
    <x v="327"/>
    <x v="0"/>
    <x v="6"/>
    <x v="4"/>
    <s v="Customer 581"/>
    <s v="Automation"/>
    <s v="Outbound"/>
    <x v="2"/>
    <n v="1"/>
    <n v="5000"/>
    <n v="0"/>
    <m/>
    <x v="177"/>
    <m/>
    <x v="0"/>
    <x v="3"/>
    <x v="6"/>
    <n v="2025"/>
  </r>
  <r>
    <s v="INT-00859"/>
    <x v="332"/>
    <x v="1"/>
    <x v="15"/>
    <x v="0"/>
    <s v="Customer 236"/>
    <s v="CRM"/>
    <m/>
    <x v="1"/>
    <n v="0"/>
    <n v="0"/>
    <n v="0"/>
    <n v="1"/>
    <x v="61"/>
    <n v="7.1"/>
    <x v="14"/>
    <x v="1"/>
    <x v="4"/>
    <n v="2026"/>
  </r>
  <r>
    <s v="INT-00860"/>
    <x v="333"/>
    <x v="0"/>
    <x v="13"/>
    <x v="0"/>
    <s v="Customer 124"/>
    <s v="CRM"/>
    <s v="Referral"/>
    <x v="5"/>
    <n v="1"/>
    <n v="9500"/>
    <n v="0"/>
    <m/>
    <x v="205"/>
    <m/>
    <x v="0"/>
    <x v="7"/>
    <x v="8"/>
    <n v="2026"/>
  </r>
  <r>
    <s v="INT-00861"/>
    <x v="51"/>
    <x v="1"/>
    <x v="2"/>
    <x v="1"/>
    <s v="Customer 107"/>
    <s v="CRM"/>
    <m/>
    <x v="1"/>
    <n v="0"/>
    <n v="0"/>
    <n v="0"/>
    <n v="1"/>
    <x v="68"/>
    <n v="11.6"/>
    <x v="7"/>
    <x v="2"/>
    <x v="6"/>
    <n v="2025"/>
  </r>
  <r>
    <s v="INT-00862"/>
    <x v="53"/>
    <x v="0"/>
    <x v="13"/>
    <x v="0"/>
    <s v="Customer 003"/>
    <s v="Automation"/>
    <s v="Inbound"/>
    <x v="4"/>
    <n v="1"/>
    <n v="15800"/>
    <n v="0"/>
    <m/>
    <x v="31"/>
    <m/>
    <x v="0"/>
    <x v="6"/>
    <x v="8"/>
    <n v="2026"/>
  </r>
  <r>
    <s v="INT-00863"/>
    <x v="334"/>
    <x v="0"/>
    <x v="6"/>
    <x v="0"/>
    <s v="Customer 118"/>
    <s v="Automation"/>
    <s v="Referral"/>
    <x v="0"/>
    <n v="1"/>
    <n v="37800"/>
    <n v="37800"/>
    <m/>
    <x v="83"/>
    <m/>
    <x v="0"/>
    <x v="0"/>
    <x v="5"/>
    <n v="2026"/>
  </r>
  <r>
    <s v="INT-00864"/>
    <x v="320"/>
    <x v="0"/>
    <x v="0"/>
    <x v="4"/>
    <s v="Customer 624"/>
    <s v="CRM"/>
    <s v="Partner"/>
    <x v="4"/>
    <n v="1"/>
    <n v="86200"/>
    <n v="0"/>
    <m/>
    <x v="211"/>
    <m/>
    <x v="0"/>
    <x v="6"/>
    <x v="1"/>
    <n v="2026"/>
  </r>
  <r>
    <s v="INT-00865"/>
    <x v="177"/>
    <x v="0"/>
    <x v="6"/>
    <x v="0"/>
    <s v="Customer 325"/>
    <s v="CRM"/>
    <s v="Partner"/>
    <x v="2"/>
    <n v="1"/>
    <n v="42400"/>
    <n v="0"/>
    <m/>
    <x v="206"/>
    <m/>
    <x v="0"/>
    <x v="3"/>
    <x v="1"/>
    <n v="2026"/>
  </r>
  <r>
    <s v="INT-00866"/>
    <x v="15"/>
    <x v="1"/>
    <x v="8"/>
    <x v="2"/>
    <s v="Customer 490"/>
    <s v="WhatsApp API"/>
    <m/>
    <x v="1"/>
    <n v="0"/>
    <n v="0"/>
    <n v="0"/>
    <n v="1"/>
    <x v="172"/>
    <n v="6.5"/>
    <x v="4"/>
    <x v="5"/>
    <x v="10"/>
    <n v="2025"/>
  </r>
  <r>
    <s v="INT-00867"/>
    <x v="143"/>
    <x v="0"/>
    <x v="7"/>
    <x v="1"/>
    <s v="Customer 396"/>
    <s v="WhatsApp API"/>
    <s v="Website"/>
    <x v="3"/>
    <n v="1"/>
    <n v="58000"/>
    <n v="0"/>
    <m/>
    <x v="35"/>
    <m/>
    <x v="0"/>
    <x v="4"/>
    <x v="9"/>
    <n v="2025"/>
  </r>
  <r>
    <s v="INT-00868"/>
    <x v="135"/>
    <x v="0"/>
    <x v="7"/>
    <x v="0"/>
    <s v="Customer 472"/>
    <s v="WhatsApp API"/>
    <s v="Inbound"/>
    <x v="2"/>
    <n v="1"/>
    <n v="18500"/>
    <n v="0"/>
    <m/>
    <x v="112"/>
    <m/>
    <x v="0"/>
    <x v="3"/>
    <x v="7"/>
    <n v="2026"/>
  </r>
  <r>
    <s v="INT-00869"/>
    <x v="286"/>
    <x v="1"/>
    <x v="1"/>
    <x v="2"/>
    <s v="Customer 214"/>
    <s v="WhatsApp API"/>
    <m/>
    <x v="1"/>
    <n v="0"/>
    <n v="0"/>
    <n v="0"/>
    <n v="1"/>
    <x v="146"/>
    <n v="1.1000000000000001"/>
    <x v="2"/>
    <x v="2"/>
    <x v="4"/>
    <n v="2026"/>
  </r>
  <r>
    <s v="INT-00870"/>
    <x v="203"/>
    <x v="1"/>
    <x v="9"/>
    <x v="0"/>
    <s v="Customer 636"/>
    <s v="CRM"/>
    <m/>
    <x v="1"/>
    <n v="0"/>
    <n v="0"/>
    <n v="0"/>
    <n v="1"/>
    <x v="204"/>
    <n v="4.5999999999999996"/>
    <x v="7"/>
    <x v="2"/>
    <x v="4"/>
    <n v="2026"/>
  </r>
  <r>
    <s v="INT-00871"/>
    <x v="302"/>
    <x v="0"/>
    <x v="0"/>
    <x v="3"/>
    <s v="Customer 360"/>
    <s v="Automation"/>
    <s v="Inbound"/>
    <x v="2"/>
    <n v="1"/>
    <n v="51100"/>
    <n v="0"/>
    <m/>
    <x v="111"/>
    <m/>
    <x v="0"/>
    <x v="3"/>
    <x v="2"/>
    <n v="2025"/>
  </r>
  <r>
    <s v="INT-00872"/>
    <x v="335"/>
    <x v="0"/>
    <x v="7"/>
    <x v="1"/>
    <s v="Customer 128"/>
    <s v="CRM"/>
    <s v="Inbound"/>
    <x v="3"/>
    <n v="1"/>
    <n v="10300"/>
    <n v="0"/>
    <m/>
    <x v="221"/>
    <m/>
    <x v="0"/>
    <x v="4"/>
    <x v="10"/>
    <n v="2025"/>
  </r>
  <r>
    <s v="INT-00873"/>
    <x v="195"/>
    <x v="1"/>
    <x v="12"/>
    <x v="0"/>
    <s v="Customer 568"/>
    <s v="Analytics"/>
    <m/>
    <x v="1"/>
    <n v="0"/>
    <n v="0"/>
    <n v="0"/>
    <n v="1"/>
    <x v="196"/>
    <n v="7.6"/>
    <x v="2"/>
    <x v="1"/>
    <x v="9"/>
    <n v="2025"/>
  </r>
  <r>
    <s v="INT-00874"/>
    <x v="110"/>
    <x v="0"/>
    <x v="4"/>
    <x v="0"/>
    <s v="Customer 010"/>
    <s v="WhatsApp API"/>
    <s v="Website"/>
    <x v="0"/>
    <n v="1"/>
    <n v="45900"/>
    <n v="45900"/>
    <m/>
    <x v="33"/>
    <m/>
    <x v="0"/>
    <x v="0"/>
    <x v="11"/>
    <n v="2026"/>
  </r>
  <r>
    <s v="INT-00875"/>
    <x v="285"/>
    <x v="0"/>
    <x v="0"/>
    <x v="1"/>
    <s v="Customer 397"/>
    <s v="WhatsApp API"/>
    <s v="Outbound"/>
    <x v="2"/>
    <n v="1"/>
    <n v="51400"/>
    <n v="0"/>
    <m/>
    <x v="121"/>
    <m/>
    <x v="0"/>
    <x v="3"/>
    <x v="0"/>
    <n v="2026"/>
  </r>
  <r>
    <s v="INT-00876"/>
    <x v="162"/>
    <x v="0"/>
    <x v="4"/>
    <x v="3"/>
    <s v="Customer 484"/>
    <s v="WhatsApp API"/>
    <s v="Inbound"/>
    <x v="0"/>
    <n v="1"/>
    <n v="66000"/>
    <n v="66000"/>
    <m/>
    <x v="30"/>
    <m/>
    <x v="0"/>
    <x v="0"/>
    <x v="2"/>
    <n v="2025"/>
  </r>
  <r>
    <s v="INT-00877"/>
    <x v="301"/>
    <x v="1"/>
    <x v="15"/>
    <x v="0"/>
    <s v="Customer 384"/>
    <s v="WhatsApp API"/>
    <m/>
    <x v="1"/>
    <n v="0"/>
    <n v="0"/>
    <n v="0"/>
    <n v="1"/>
    <x v="164"/>
    <n v="4.8"/>
    <x v="17"/>
    <x v="2"/>
    <x v="10"/>
    <n v="2025"/>
  </r>
  <r>
    <s v="INT-00878"/>
    <x v="154"/>
    <x v="1"/>
    <x v="2"/>
    <x v="2"/>
    <s v="Customer 180"/>
    <s v="CRM"/>
    <m/>
    <x v="1"/>
    <n v="0"/>
    <n v="0"/>
    <n v="0"/>
    <n v="1"/>
    <x v="80"/>
    <n v="3.2"/>
    <x v="5"/>
    <x v="9"/>
    <x v="10"/>
    <n v="2025"/>
  </r>
  <r>
    <s v="INT-00879"/>
    <x v="323"/>
    <x v="0"/>
    <x v="6"/>
    <x v="4"/>
    <s v="Customer 272"/>
    <s v="WhatsApp API"/>
    <s v="Partner"/>
    <x v="3"/>
    <n v="1"/>
    <n v="9200"/>
    <n v="0"/>
    <m/>
    <x v="130"/>
    <m/>
    <x v="0"/>
    <x v="4"/>
    <x v="3"/>
    <n v="2026"/>
  </r>
  <r>
    <s v="INT-00880"/>
    <x v="203"/>
    <x v="0"/>
    <x v="13"/>
    <x v="2"/>
    <s v="Customer 185"/>
    <s v="WhatsApp API"/>
    <s v="Inbound"/>
    <x v="5"/>
    <n v="1"/>
    <n v="7100"/>
    <n v="0"/>
    <m/>
    <x v="196"/>
    <m/>
    <x v="0"/>
    <x v="7"/>
    <x v="4"/>
    <n v="2026"/>
  </r>
  <r>
    <s v="INT-00881"/>
    <x v="183"/>
    <x v="0"/>
    <x v="13"/>
    <x v="0"/>
    <s v="Customer 568"/>
    <s v="WhatsApp API"/>
    <s v="Website"/>
    <x v="2"/>
    <n v="1"/>
    <n v="34700"/>
    <n v="0"/>
    <m/>
    <x v="189"/>
    <m/>
    <x v="0"/>
    <x v="3"/>
    <x v="10"/>
    <n v="2025"/>
  </r>
  <r>
    <s v="INT-00882"/>
    <x v="182"/>
    <x v="1"/>
    <x v="8"/>
    <x v="2"/>
    <s v="Customer 144"/>
    <s v="CRM"/>
    <m/>
    <x v="1"/>
    <n v="0"/>
    <n v="0"/>
    <n v="0"/>
    <n v="1"/>
    <x v="117"/>
    <n v="6.3"/>
    <x v="17"/>
    <x v="2"/>
    <x v="6"/>
    <n v="2025"/>
  </r>
  <r>
    <s v="INT-00883"/>
    <x v="240"/>
    <x v="0"/>
    <x v="5"/>
    <x v="1"/>
    <s v="Customer 662"/>
    <s v="CRM"/>
    <s v="Website"/>
    <x v="3"/>
    <n v="1"/>
    <n v="27900"/>
    <n v="0"/>
    <m/>
    <x v="5"/>
    <m/>
    <x v="0"/>
    <x v="4"/>
    <x v="11"/>
    <n v="2026"/>
  </r>
  <r>
    <s v="INT-00884"/>
    <x v="310"/>
    <x v="0"/>
    <x v="7"/>
    <x v="0"/>
    <s v="Customer 060"/>
    <s v="Automation"/>
    <s v="Website"/>
    <x v="6"/>
    <n v="1"/>
    <n v="10200"/>
    <n v="0"/>
    <m/>
    <x v="145"/>
    <m/>
    <x v="0"/>
    <x v="8"/>
    <x v="4"/>
    <n v="2026"/>
  </r>
  <r>
    <s v="INT-00885"/>
    <x v="51"/>
    <x v="1"/>
    <x v="2"/>
    <x v="0"/>
    <s v="Customer 204"/>
    <s v="WhatsApp API"/>
    <m/>
    <x v="1"/>
    <n v="0"/>
    <n v="0"/>
    <n v="0"/>
    <n v="1"/>
    <x v="1"/>
    <n v="11"/>
    <x v="5"/>
    <x v="2"/>
    <x v="6"/>
    <n v="2025"/>
  </r>
  <r>
    <s v="INT-00886"/>
    <x v="111"/>
    <x v="0"/>
    <x v="4"/>
    <x v="0"/>
    <s v="Customer 155"/>
    <s v="WhatsApp API"/>
    <s v="Referral"/>
    <x v="4"/>
    <n v="1"/>
    <n v="26000"/>
    <n v="0"/>
    <m/>
    <x v="187"/>
    <m/>
    <x v="0"/>
    <x v="6"/>
    <x v="11"/>
    <n v="2026"/>
  </r>
  <r>
    <s v="INT-00887"/>
    <x v="149"/>
    <x v="1"/>
    <x v="15"/>
    <x v="1"/>
    <s v="Customer 493"/>
    <s v="CRM"/>
    <m/>
    <x v="1"/>
    <n v="0"/>
    <n v="0"/>
    <n v="0"/>
    <n v="1"/>
    <x v="121"/>
    <n v="10.9"/>
    <x v="5"/>
    <x v="2"/>
    <x v="5"/>
    <n v="2026"/>
  </r>
  <r>
    <s v="INT-00888"/>
    <x v="336"/>
    <x v="0"/>
    <x v="0"/>
    <x v="0"/>
    <s v="Customer 249"/>
    <s v="WhatsApp API"/>
    <s v="Inbound"/>
    <x v="2"/>
    <n v="1"/>
    <n v="32400"/>
    <n v="0"/>
    <m/>
    <x v="115"/>
    <m/>
    <x v="0"/>
    <x v="3"/>
    <x v="8"/>
    <n v="2026"/>
  </r>
  <r>
    <s v="INT-00889"/>
    <x v="74"/>
    <x v="0"/>
    <x v="0"/>
    <x v="0"/>
    <s v="Customer 350"/>
    <s v="CRM"/>
    <s v="Inbound"/>
    <x v="4"/>
    <n v="1"/>
    <n v="5900"/>
    <n v="0"/>
    <m/>
    <x v="34"/>
    <m/>
    <x v="0"/>
    <x v="6"/>
    <x v="3"/>
    <n v="2026"/>
  </r>
  <r>
    <s v="INT-00890"/>
    <x v="298"/>
    <x v="0"/>
    <x v="6"/>
    <x v="2"/>
    <s v="Customer 561"/>
    <s v="Analytics"/>
    <s v="Outbound"/>
    <x v="0"/>
    <n v="1"/>
    <n v="14900"/>
    <n v="14900"/>
    <m/>
    <x v="213"/>
    <m/>
    <x v="0"/>
    <x v="0"/>
    <x v="11"/>
    <n v="2026"/>
  </r>
  <r>
    <s v="INT-00891"/>
    <x v="199"/>
    <x v="1"/>
    <x v="9"/>
    <x v="3"/>
    <s v="Customer 482"/>
    <s v="WhatsApp API"/>
    <m/>
    <x v="1"/>
    <n v="0"/>
    <n v="0"/>
    <n v="0"/>
    <n v="1"/>
    <x v="201"/>
    <n v="13.9"/>
    <x v="19"/>
    <x v="2"/>
    <x v="11"/>
    <n v="2026"/>
  </r>
  <r>
    <s v="INT-00892"/>
    <x v="73"/>
    <x v="1"/>
    <x v="12"/>
    <x v="3"/>
    <s v="Customer 427"/>
    <s v="Automation"/>
    <m/>
    <x v="1"/>
    <n v="0"/>
    <n v="0"/>
    <n v="0"/>
    <n v="1"/>
    <x v="210"/>
    <n v="10.3"/>
    <x v="5"/>
    <x v="9"/>
    <x v="5"/>
    <n v="2026"/>
  </r>
  <r>
    <s v="INT-00893"/>
    <x v="242"/>
    <x v="1"/>
    <x v="14"/>
    <x v="0"/>
    <s v="Customer 112"/>
    <s v="WhatsApp API"/>
    <m/>
    <x v="1"/>
    <n v="0"/>
    <n v="0"/>
    <n v="0"/>
    <n v="1"/>
    <x v="135"/>
    <n v="7.6"/>
    <x v="16"/>
    <x v="5"/>
    <x v="8"/>
    <n v="2026"/>
  </r>
  <r>
    <s v="INT-00894"/>
    <x v="226"/>
    <x v="0"/>
    <x v="4"/>
    <x v="0"/>
    <s v="Customer 180"/>
    <s v="WhatsApp API"/>
    <s v="Outbound"/>
    <x v="3"/>
    <n v="1"/>
    <n v="19400"/>
    <n v="0"/>
    <m/>
    <x v="16"/>
    <m/>
    <x v="0"/>
    <x v="4"/>
    <x v="0"/>
    <n v="2026"/>
  </r>
  <r>
    <s v="INT-00895"/>
    <x v="194"/>
    <x v="1"/>
    <x v="9"/>
    <x v="0"/>
    <s v="Customer 409"/>
    <s v="Analytics"/>
    <m/>
    <x v="1"/>
    <n v="0"/>
    <n v="0"/>
    <n v="0"/>
    <n v="1"/>
    <x v="27"/>
    <n v="3.6"/>
    <x v="5"/>
    <x v="2"/>
    <x v="8"/>
    <n v="2026"/>
  </r>
  <r>
    <s v="INT-00896"/>
    <x v="295"/>
    <x v="0"/>
    <x v="4"/>
    <x v="4"/>
    <s v="Customer 132"/>
    <s v="Analytics"/>
    <s v="Partner"/>
    <x v="5"/>
    <n v="1"/>
    <n v="5000"/>
    <n v="0"/>
    <m/>
    <x v="9"/>
    <m/>
    <x v="0"/>
    <x v="7"/>
    <x v="3"/>
    <n v="2026"/>
  </r>
  <r>
    <s v="INT-00897"/>
    <x v="121"/>
    <x v="0"/>
    <x v="10"/>
    <x v="0"/>
    <s v="Customer 503"/>
    <s v="Automation"/>
    <s v="Partner"/>
    <x v="5"/>
    <n v="1"/>
    <n v="25500"/>
    <n v="0"/>
    <m/>
    <x v="189"/>
    <m/>
    <x v="0"/>
    <x v="7"/>
    <x v="2"/>
    <n v="2025"/>
  </r>
  <r>
    <s v="INT-00898"/>
    <x v="17"/>
    <x v="1"/>
    <x v="9"/>
    <x v="0"/>
    <s v="Customer 378"/>
    <s v="Automation"/>
    <m/>
    <x v="1"/>
    <n v="0"/>
    <n v="0"/>
    <n v="0"/>
    <n v="1"/>
    <x v="0"/>
    <n v="7.7"/>
    <x v="5"/>
    <x v="2"/>
    <x v="8"/>
    <n v="2026"/>
  </r>
  <r>
    <s v="INT-00899"/>
    <x v="133"/>
    <x v="0"/>
    <x v="10"/>
    <x v="0"/>
    <s v="Customer 006"/>
    <s v="WhatsApp API"/>
    <s v="Referral"/>
    <x v="4"/>
    <n v="1"/>
    <n v="33500"/>
    <n v="0"/>
    <m/>
    <x v="119"/>
    <m/>
    <x v="0"/>
    <x v="6"/>
    <x v="0"/>
    <n v="2026"/>
  </r>
  <r>
    <s v="INT-00900"/>
    <x v="173"/>
    <x v="0"/>
    <x v="4"/>
    <x v="2"/>
    <s v="Customer 012"/>
    <s v="WhatsApp API"/>
    <s v="Outbound"/>
    <x v="3"/>
    <n v="1"/>
    <n v="20600"/>
    <n v="0"/>
    <m/>
    <x v="124"/>
    <m/>
    <x v="0"/>
    <x v="4"/>
    <x v="8"/>
    <n v="2026"/>
  </r>
  <r>
    <s v="INT-00901"/>
    <x v="81"/>
    <x v="0"/>
    <x v="13"/>
    <x v="4"/>
    <s v="Customer 683"/>
    <s v="CRM"/>
    <s v="Inbound"/>
    <x v="0"/>
    <n v="1"/>
    <n v="13000"/>
    <n v="13000"/>
    <m/>
    <x v="86"/>
    <m/>
    <x v="0"/>
    <x v="0"/>
    <x v="10"/>
    <n v="2025"/>
  </r>
  <r>
    <s v="INT-00902"/>
    <x v="337"/>
    <x v="0"/>
    <x v="11"/>
    <x v="0"/>
    <s v="Customer 428"/>
    <s v="Automation"/>
    <s v="Partner"/>
    <x v="3"/>
    <n v="1"/>
    <n v="12400"/>
    <n v="0"/>
    <m/>
    <x v="182"/>
    <m/>
    <x v="0"/>
    <x v="4"/>
    <x v="10"/>
    <n v="2025"/>
  </r>
  <r>
    <s v="INT-00903"/>
    <x v="244"/>
    <x v="0"/>
    <x v="13"/>
    <x v="3"/>
    <s v="Customer 002"/>
    <s v="Automation"/>
    <s v="Outbound"/>
    <x v="5"/>
    <n v="1"/>
    <n v="15800"/>
    <n v="0"/>
    <m/>
    <x v="26"/>
    <m/>
    <x v="0"/>
    <x v="7"/>
    <x v="5"/>
    <n v="2026"/>
  </r>
  <r>
    <s v="INT-00904"/>
    <x v="260"/>
    <x v="1"/>
    <x v="14"/>
    <x v="0"/>
    <s v="Customer 329"/>
    <s v="Automation"/>
    <m/>
    <x v="1"/>
    <n v="0"/>
    <n v="0"/>
    <n v="0"/>
    <n v="1"/>
    <x v="70"/>
    <n v="3.3"/>
    <x v="11"/>
    <x v="2"/>
    <x v="1"/>
    <n v="2026"/>
  </r>
  <r>
    <s v="INT-00905"/>
    <x v="0"/>
    <x v="0"/>
    <x v="11"/>
    <x v="0"/>
    <s v="Customer 188"/>
    <s v="WhatsApp API"/>
    <s v="Outbound"/>
    <x v="2"/>
    <n v="1"/>
    <n v="29100"/>
    <n v="0"/>
    <m/>
    <x v="137"/>
    <m/>
    <x v="0"/>
    <x v="3"/>
    <x v="0"/>
    <n v="2026"/>
  </r>
  <r>
    <s v="INT-00906"/>
    <x v="84"/>
    <x v="1"/>
    <x v="15"/>
    <x v="0"/>
    <s v="Customer 475"/>
    <s v="CRM"/>
    <m/>
    <x v="1"/>
    <n v="0"/>
    <n v="0"/>
    <n v="0"/>
    <n v="1"/>
    <x v="168"/>
    <n v="3.2"/>
    <x v="9"/>
    <x v="2"/>
    <x v="9"/>
    <n v="2025"/>
  </r>
  <r>
    <s v="INT-00907"/>
    <x v="171"/>
    <x v="1"/>
    <x v="15"/>
    <x v="2"/>
    <s v="Customer 341"/>
    <s v="Automation"/>
    <m/>
    <x v="1"/>
    <n v="0"/>
    <n v="0"/>
    <n v="0"/>
    <n v="1"/>
    <x v="59"/>
    <n v="25.7"/>
    <x v="19"/>
    <x v="2"/>
    <x v="10"/>
    <n v="2025"/>
  </r>
  <r>
    <s v="INT-00908"/>
    <x v="338"/>
    <x v="0"/>
    <x v="6"/>
    <x v="0"/>
    <s v="Customer 410"/>
    <s v="WhatsApp API"/>
    <s v="Website"/>
    <x v="2"/>
    <n v="1"/>
    <n v="35800"/>
    <n v="0"/>
    <m/>
    <x v="177"/>
    <m/>
    <x v="0"/>
    <x v="3"/>
    <x v="0"/>
    <n v="2026"/>
  </r>
  <r>
    <s v="INT-00909"/>
    <x v="33"/>
    <x v="0"/>
    <x v="0"/>
    <x v="2"/>
    <s v="Customer 209"/>
    <s v="CRM"/>
    <s v="Inbound"/>
    <x v="6"/>
    <n v="1"/>
    <n v="10300"/>
    <n v="0"/>
    <m/>
    <x v="38"/>
    <m/>
    <x v="0"/>
    <x v="8"/>
    <x v="4"/>
    <n v="2026"/>
  </r>
  <r>
    <s v="INT-00910"/>
    <x v="261"/>
    <x v="0"/>
    <x v="6"/>
    <x v="0"/>
    <s v="Customer 530"/>
    <s v="CRM"/>
    <s v="Website"/>
    <x v="2"/>
    <n v="1"/>
    <n v="53200"/>
    <n v="0"/>
    <m/>
    <x v="20"/>
    <m/>
    <x v="0"/>
    <x v="3"/>
    <x v="1"/>
    <n v="2026"/>
  </r>
  <r>
    <s v="INT-00911"/>
    <x v="206"/>
    <x v="1"/>
    <x v="9"/>
    <x v="0"/>
    <s v="Customer 237"/>
    <s v="WhatsApp API"/>
    <m/>
    <x v="1"/>
    <n v="0"/>
    <n v="0"/>
    <n v="0"/>
    <n v="1"/>
    <x v="61"/>
    <n v="3.4"/>
    <x v="11"/>
    <x v="2"/>
    <x v="7"/>
    <n v="2026"/>
  </r>
  <r>
    <s v="INT-00912"/>
    <x v="233"/>
    <x v="0"/>
    <x v="6"/>
    <x v="4"/>
    <s v="Customer 630"/>
    <s v="WhatsApp API"/>
    <s v="Outbound"/>
    <x v="0"/>
    <n v="1"/>
    <n v="12700"/>
    <n v="12700"/>
    <m/>
    <x v="59"/>
    <m/>
    <x v="0"/>
    <x v="0"/>
    <x v="9"/>
    <n v="2025"/>
  </r>
  <r>
    <s v="INT-00913"/>
    <x v="144"/>
    <x v="1"/>
    <x v="12"/>
    <x v="0"/>
    <s v="Customer 008"/>
    <s v="WhatsApp API"/>
    <m/>
    <x v="1"/>
    <n v="0"/>
    <n v="0"/>
    <n v="0"/>
    <n v="1"/>
    <x v="16"/>
    <n v="7.2"/>
    <x v="19"/>
    <x v="1"/>
    <x v="6"/>
    <n v="2025"/>
  </r>
  <r>
    <s v="INT-00914"/>
    <x v="196"/>
    <x v="0"/>
    <x v="6"/>
    <x v="2"/>
    <s v="Customer 422"/>
    <s v="CRM"/>
    <s v="Website"/>
    <x v="2"/>
    <n v="1"/>
    <n v="19300"/>
    <n v="0"/>
    <m/>
    <x v="98"/>
    <m/>
    <x v="0"/>
    <x v="3"/>
    <x v="4"/>
    <n v="2026"/>
  </r>
  <r>
    <s v="INT-00915"/>
    <x v="19"/>
    <x v="1"/>
    <x v="14"/>
    <x v="1"/>
    <s v="Customer 688"/>
    <s v="CRM"/>
    <m/>
    <x v="1"/>
    <n v="0"/>
    <n v="0"/>
    <n v="0"/>
    <n v="1"/>
    <x v="141"/>
    <n v="3.6"/>
    <x v="7"/>
    <x v="1"/>
    <x v="7"/>
    <n v="2026"/>
  </r>
  <r>
    <s v="INT-00916"/>
    <x v="162"/>
    <x v="0"/>
    <x v="7"/>
    <x v="1"/>
    <s v="Customer 426"/>
    <s v="Automation"/>
    <s v="Website"/>
    <x v="6"/>
    <n v="1"/>
    <n v="47900"/>
    <n v="0"/>
    <m/>
    <x v="156"/>
    <m/>
    <x v="0"/>
    <x v="8"/>
    <x v="2"/>
    <n v="2025"/>
  </r>
  <r>
    <s v="INT-00917"/>
    <x v="197"/>
    <x v="0"/>
    <x v="13"/>
    <x v="4"/>
    <s v="Customer 194"/>
    <s v="Automation"/>
    <s v="Outbound"/>
    <x v="5"/>
    <n v="1"/>
    <n v="28500"/>
    <n v="0"/>
    <m/>
    <x v="20"/>
    <m/>
    <x v="0"/>
    <x v="7"/>
    <x v="7"/>
    <n v="2026"/>
  </r>
  <r>
    <s v="INT-00918"/>
    <x v="220"/>
    <x v="1"/>
    <x v="9"/>
    <x v="0"/>
    <s v="Customer 522"/>
    <s v="WhatsApp API"/>
    <m/>
    <x v="1"/>
    <n v="0"/>
    <n v="0"/>
    <n v="0"/>
    <n v="1"/>
    <x v="1"/>
    <n v="15.1"/>
    <x v="25"/>
    <x v="5"/>
    <x v="2"/>
    <n v="2025"/>
  </r>
  <r>
    <s v="INT-00919"/>
    <x v="192"/>
    <x v="1"/>
    <x v="2"/>
    <x v="1"/>
    <s v="Customer 233"/>
    <s v="CRM"/>
    <m/>
    <x v="1"/>
    <n v="0"/>
    <n v="0"/>
    <n v="0"/>
    <n v="1"/>
    <x v="65"/>
    <n v="13.8"/>
    <x v="23"/>
    <x v="2"/>
    <x v="11"/>
    <n v="2026"/>
  </r>
  <r>
    <s v="INT-00920"/>
    <x v="302"/>
    <x v="0"/>
    <x v="13"/>
    <x v="0"/>
    <s v="Customer 470"/>
    <s v="CRM"/>
    <s v="Outbound"/>
    <x v="4"/>
    <n v="1"/>
    <n v="37400"/>
    <n v="0"/>
    <m/>
    <x v="222"/>
    <m/>
    <x v="0"/>
    <x v="6"/>
    <x v="2"/>
    <n v="2025"/>
  </r>
  <r>
    <s v="INT-00921"/>
    <x v="339"/>
    <x v="1"/>
    <x v="12"/>
    <x v="0"/>
    <s v="Customer 397"/>
    <s v="CRM"/>
    <m/>
    <x v="1"/>
    <n v="0"/>
    <n v="0"/>
    <n v="0"/>
    <n v="1"/>
    <x v="146"/>
    <n v="3.8"/>
    <x v="28"/>
    <x v="2"/>
    <x v="6"/>
    <n v="2025"/>
  </r>
  <r>
    <s v="INT-00922"/>
    <x v="231"/>
    <x v="0"/>
    <x v="0"/>
    <x v="0"/>
    <s v="Customer 547"/>
    <s v="CRM"/>
    <s v="Referral"/>
    <x v="0"/>
    <n v="1"/>
    <n v="24500"/>
    <n v="24500"/>
    <m/>
    <x v="221"/>
    <m/>
    <x v="0"/>
    <x v="0"/>
    <x v="2"/>
    <n v="2025"/>
  </r>
  <r>
    <s v="INT-00923"/>
    <x v="40"/>
    <x v="1"/>
    <x v="12"/>
    <x v="4"/>
    <s v="Customer 495"/>
    <s v="CRM"/>
    <m/>
    <x v="1"/>
    <n v="0"/>
    <n v="0"/>
    <n v="0"/>
    <n v="1"/>
    <x v="29"/>
    <n v="11.1"/>
    <x v="13"/>
    <x v="5"/>
    <x v="11"/>
    <n v="2026"/>
  </r>
  <r>
    <s v="INT-00924"/>
    <x v="118"/>
    <x v="1"/>
    <x v="15"/>
    <x v="3"/>
    <s v="Customer 238"/>
    <s v="WhatsApp API"/>
    <m/>
    <x v="1"/>
    <n v="0"/>
    <n v="0"/>
    <n v="0"/>
    <n v="1"/>
    <x v="223"/>
    <n v="11.1"/>
    <x v="10"/>
    <x v="2"/>
    <x v="6"/>
    <n v="2025"/>
  </r>
  <r>
    <s v="INT-00925"/>
    <x v="267"/>
    <x v="0"/>
    <x v="13"/>
    <x v="4"/>
    <s v="Customer 006"/>
    <s v="CRM"/>
    <s v="Website"/>
    <x v="0"/>
    <n v="1"/>
    <n v="9000"/>
    <n v="9000"/>
    <m/>
    <x v="224"/>
    <m/>
    <x v="0"/>
    <x v="0"/>
    <x v="5"/>
    <n v="2026"/>
  </r>
  <r>
    <s v="INT-00926"/>
    <x v="165"/>
    <x v="0"/>
    <x v="5"/>
    <x v="0"/>
    <s v="Customer 050"/>
    <s v="CRM"/>
    <s v="Website"/>
    <x v="5"/>
    <n v="1"/>
    <n v="15100"/>
    <n v="0"/>
    <m/>
    <x v="16"/>
    <m/>
    <x v="0"/>
    <x v="7"/>
    <x v="0"/>
    <n v="2026"/>
  </r>
  <r>
    <s v="INT-00927"/>
    <x v="327"/>
    <x v="0"/>
    <x v="7"/>
    <x v="0"/>
    <s v="Customer 075"/>
    <s v="CRM"/>
    <s v="Website"/>
    <x v="0"/>
    <n v="1"/>
    <n v="33100"/>
    <n v="33100"/>
    <m/>
    <x v="164"/>
    <m/>
    <x v="0"/>
    <x v="0"/>
    <x v="6"/>
    <n v="2025"/>
  </r>
  <r>
    <s v="INT-00928"/>
    <x v="304"/>
    <x v="0"/>
    <x v="4"/>
    <x v="2"/>
    <s v="Customer 485"/>
    <s v="WhatsApp API"/>
    <s v="Outbound"/>
    <x v="3"/>
    <n v="1"/>
    <n v="9400"/>
    <n v="0"/>
    <m/>
    <x v="165"/>
    <m/>
    <x v="0"/>
    <x v="4"/>
    <x v="2"/>
    <n v="2025"/>
  </r>
  <r>
    <s v="INT-00929"/>
    <x v="294"/>
    <x v="1"/>
    <x v="3"/>
    <x v="2"/>
    <s v="Customer 383"/>
    <s v="Analytics"/>
    <m/>
    <x v="1"/>
    <n v="0"/>
    <n v="0"/>
    <n v="0"/>
    <n v="1"/>
    <x v="100"/>
    <n v="3.1"/>
    <x v="3"/>
    <x v="1"/>
    <x v="5"/>
    <n v="2026"/>
  </r>
  <r>
    <s v="INT-00930"/>
    <x v="116"/>
    <x v="0"/>
    <x v="0"/>
    <x v="3"/>
    <s v="Customer 458"/>
    <s v="CRM"/>
    <s v="Partner"/>
    <x v="4"/>
    <n v="1"/>
    <n v="56100"/>
    <n v="0"/>
    <m/>
    <x v="94"/>
    <m/>
    <x v="0"/>
    <x v="6"/>
    <x v="5"/>
    <n v="2026"/>
  </r>
  <r>
    <s v="INT-00931"/>
    <x v="229"/>
    <x v="0"/>
    <x v="6"/>
    <x v="2"/>
    <s v="Customer 399"/>
    <s v="Automation"/>
    <s v="Outbound"/>
    <x v="3"/>
    <n v="1"/>
    <n v="11900"/>
    <n v="0"/>
    <m/>
    <x v="51"/>
    <m/>
    <x v="0"/>
    <x v="4"/>
    <x v="3"/>
    <n v="2026"/>
  </r>
  <r>
    <s v="INT-00932"/>
    <x v="39"/>
    <x v="1"/>
    <x v="8"/>
    <x v="0"/>
    <s v="Customer 629"/>
    <s v="Automation"/>
    <m/>
    <x v="1"/>
    <n v="0"/>
    <n v="0"/>
    <n v="0"/>
    <n v="1"/>
    <x v="12"/>
    <n v="2.5"/>
    <x v="3"/>
    <x v="2"/>
    <x v="10"/>
    <n v="2025"/>
  </r>
  <r>
    <s v="INT-00933"/>
    <x v="256"/>
    <x v="1"/>
    <x v="12"/>
    <x v="0"/>
    <s v="Customer 428"/>
    <s v="Automation"/>
    <m/>
    <x v="1"/>
    <n v="0"/>
    <n v="0"/>
    <n v="0"/>
    <n v="1"/>
    <x v="182"/>
    <n v="20.100000000000001"/>
    <x v="4"/>
    <x v="2"/>
    <x v="4"/>
    <n v="2026"/>
  </r>
  <r>
    <s v="INT-00934"/>
    <x v="340"/>
    <x v="0"/>
    <x v="4"/>
    <x v="0"/>
    <s v="Customer 273"/>
    <s v="WhatsApp API"/>
    <s v="Inbound"/>
    <x v="3"/>
    <n v="1"/>
    <n v="26400"/>
    <n v="0"/>
    <m/>
    <x v="69"/>
    <m/>
    <x v="0"/>
    <x v="4"/>
    <x v="9"/>
    <n v="2025"/>
  </r>
  <r>
    <s v="INT-00935"/>
    <x v="125"/>
    <x v="0"/>
    <x v="4"/>
    <x v="2"/>
    <s v="Customer 316"/>
    <s v="CRM"/>
    <s v="Partner"/>
    <x v="3"/>
    <n v="1"/>
    <n v="38800"/>
    <n v="0"/>
    <m/>
    <x v="225"/>
    <m/>
    <x v="0"/>
    <x v="4"/>
    <x v="9"/>
    <n v="2025"/>
  </r>
  <r>
    <s v="INT-00936"/>
    <x v="100"/>
    <x v="0"/>
    <x v="4"/>
    <x v="2"/>
    <s v="Customer 196"/>
    <s v="Automation"/>
    <s v="Website"/>
    <x v="0"/>
    <n v="1"/>
    <n v="12900"/>
    <n v="12900"/>
    <m/>
    <x v="14"/>
    <m/>
    <x v="0"/>
    <x v="0"/>
    <x v="10"/>
    <n v="2025"/>
  </r>
  <r>
    <s v="INT-00937"/>
    <x v="78"/>
    <x v="0"/>
    <x v="0"/>
    <x v="0"/>
    <s v="Customer 504"/>
    <s v="CRM"/>
    <s v="Inbound"/>
    <x v="6"/>
    <n v="1"/>
    <n v="28100"/>
    <n v="0"/>
    <m/>
    <x v="59"/>
    <m/>
    <x v="0"/>
    <x v="8"/>
    <x v="6"/>
    <n v="2025"/>
  </r>
  <r>
    <s v="INT-00938"/>
    <x v="231"/>
    <x v="1"/>
    <x v="9"/>
    <x v="0"/>
    <s v="Customer 228"/>
    <s v="WhatsApp API"/>
    <m/>
    <x v="1"/>
    <n v="0"/>
    <n v="0"/>
    <n v="0"/>
    <n v="1"/>
    <x v="65"/>
    <n v="3.8"/>
    <x v="19"/>
    <x v="2"/>
    <x v="2"/>
    <n v="2025"/>
  </r>
  <r>
    <s v="INT-00939"/>
    <x v="337"/>
    <x v="0"/>
    <x v="10"/>
    <x v="1"/>
    <s v="Customer 442"/>
    <s v="WhatsApp API"/>
    <s v="Outbound"/>
    <x v="3"/>
    <n v="1"/>
    <n v="34700"/>
    <n v="0"/>
    <m/>
    <x v="12"/>
    <m/>
    <x v="0"/>
    <x v="4"/>
    <x v="10"/>
    <n v="2025"/>
  </r>
  <r>
    <s v="INT-00940"/>
    <x v="160"/>
    <x v="1"/>
    <x v="14"/>
    <x v="0"/>
    <s v="Customer 618"/>
    <s v="CRM"/>
    <m/>
    <x v="1"/>
    <n v="0"/>
    <n v="0"/>
    <n v="0"/>
    <n v="1"/>
    <x v="106"/>
    <n v="9.9"/>
    <x v="1"/>
    <x v="9"/>
    <x v="1"/>
    <n v="2026"/>
  </r>
  <r>
    <s v="INT-00941"/>
    <x v="341"/>
    <x v="0"/>
    <x v="6"/>
    <x v="3"/>
    <s v="Customer 079"/>
    <s v="Automation"/>
    <s v="Outbound"/>
    <x v="0"/>
    <n v="1"/>
    <n v="34000"/>
    <n v="34000"/>
    <m/>
    <x v="34"/>
    <m/>
    <x v="0"/>
    <x v="0"/>
    <x v="6"/>
    <n v="2025"/>
  </r>
  <r>
    <s v="INT-00942"/>
    <x v="28"/>
    <x v="1"/>
    <x v="12"/>
    <x v="4"/>
    <s v="Customer 071"/>
    <s v="Analytics"/>
    <m/>
    <x v="1"/>
    <n v="0"/>
    <n v="0"/>
    <n v="0"/>
    <n v="1"/>
    <x v="112"/>
    <n v="14.8"/>
    <x v="23"/>
    <x v="2"/>
    <x v="5"/>
    <n v="2026"/>
  </r>
  <r>
    <s v="INT-00943"/>
    <x v="212"/>
    <x v="1"/>
    <x v="14"/>
    <x v="4"/>
    <s v="Customer 631"/>
    <s v="WhatsApp API"/>
    <m/>
    <x v="1"/>
    <n v="0"/>
    <n v="0"/>
    <n v="0"/>
    <n v="1"/>
    <x v="136"/>
    <n v="25.8"/>
    <x v="10"/>
    <x v="1"/>
    <x v="3"/>
    <n v="2026"/>
  </r>
  <r>
    <s v="INT-00944"/>
    <x v="283"/>
    <x v="1"/>
    <x v="3"/>
    <x v="0"/>
    <s v="Customer 654"/>
    <s v="CRM"/>
    <m/>
    <x v="1"/>
    <n v="0"/>
    <n v="0"/>
    <n v="0"/>
    <n v="1"/>
    <x v="36"/>
    <n v="5.2"/>
    <x v="9"/>
    <x v="5"/>
    <x v="10"/>
    <n v="2025"/>
  </r>
  <r>
    <s v="INT-00945"/>
    <x v="302"/>
    <x v="0"/>
    <x v="11"/>
    <x v="4"/>
    <s v="Customer 461"/>
    <s v="WhatsApp API"/>
    <s v="Inbound"/>
    <x v="0"/>
    <n v="1"/>
    <n v="11800"/>
    <n v="11800"/>
    <m/>
    <x v="226"/>
    <m/>
    <x v="0"/>
    <x v="0"/>
    <x v="2"/>
    <n v="2025"/>
  </r>
  <r>
    <s v="INT-00946"/>
    <x v="131"/>
    <x v="0"/>
    <x v="0"/>
    <x v="4"/>
    <s v="Customer 639"/>
    <s v="CRM"/>
    <s v="Partner"/>
    <x v="0"/>
    <n v="1"/>
    <n v="24100"/>
    <n v="24100"/>
    <m/>
    <x v="160"/>
    <m/>
    <x v="0"/>
    <x v="0"/>
    <x v="10"/>
    <n v="2025"/>
  </r>
  <r>
    <s v="INT-00947"/>
    <x v="32"/>
    <x v="0"/>
    <x v="0"/>
    <x v="0"/>
    <s v="Customer 396"/>
    <s v="Automation"/>
    <s v="Partner"/>
    <x v="0"/>
    <n v="1"/>
    <n v="24700"/>
    <n v="24700"/>
    <m/>
    <x v="192"/>
    <m/>
    <x v="0"/>
    <x v="0"/>
    <x v="2"/>
    <n v="2025"/>
  </r>
  <r>
    <s v="INT-00948"/>
    <x v="248"/>
    <x v="1"/>
    <x v="12"/>
    <x v="2"/>
    <s v="Customer 540"/>
    <s v="CRM"/>
    <m/>
    <x v="1"/>
    <n v="0"/>
    <n v="0"/>
    <n v="0"/>
    <n v="1"/>
    <x v="71"/>
    <n v="5.8"/>
    <x v="2"/>
    <x v="5"/>
    <x v="2"/>
    <n v="2025"/>
  </r>
  <r>
    <s v="INT-00949"/>
    <x v="214"/>
    <x v="1"/>
    <x v="14"/>
    <x v="0"/>
    <s v="Customer 569"/>
    <s v="WhatsApp API"/>
    <m/>
    <x v="1"/>
    <n v="0"/>
    <n v="0"/>
    <n v="0"/>
    <n v="1"/>
    <x v="60"/>
    <n v="7.3"/>
    <x v="13"/>
    <x v="2"/>
    <x v="5"/>
    <n v="2026"/>
  </r>
  <r>
    <s v="INT-00950"/>
    <x v="318"/>
    <x v="1"/>
    <x v="14"/>
    <x v="0"/>
    <s v="Customer 078"/>
    <s v="Analytics"/>
    <m/>
    <x v="1"/>
    <n v="0"/>
    <n v="0"/>
    <n v="0"/>
    <n v="1"/>
    <x v="136"/>
    <n v="10.7"/>
    <x v="1"/>
    <x v="5"/>
    <x v="7"/>
    <n v="2026"/>
  </r>
  <r>
    <s v="INT-00951"/>
    <x v="39"/>
    <x v="1"/>
    <x v="12"/>
    <x v="4"/>
    <s v="Customer 253"/>
    <s v="WhatsApp API"/>
    <m/>
    <x v="1"/>
    <n v="0"/>
    <n v="0"/>
    <n v="0"/>
    <n v="1"/>
    <x v="79"/>
    <n v="6"/>
    <x v="7"/>
    <x v="2"/>
    <x v="10"/>
    <n v="2025"/>
  </r>
  <r>
    <s v="INT-00952"/>
    <x v="37"/>
    <x v="1"/>
    <x v="3"/>
    <x v="0"/>
    <s v="Customer 240"/>
    <s v="Automation"/>
    <m/>
    <x v="1"/>
    <n v="0"/>
    <n v="0"/>
    <n v="0"/>
    <n v="1"/>
    <x v="34"/>
    <n v="6.4"/>
    <x v="2"/>
    <x v="1"/>
    <x v="6"/>
    <n v="2025"/>
  </r>
  <r>
    <s v="INT-00953"/>
    <x v="238"/>
    <x v="0"/>
    <x v="0"/>
    <x v="0"/>
    <s v="Customer 111"/>
    <s v="WhatsApp API"/>
    <s v="Referral"/>
    <x v="6"/>
    <n v="1"/>
    <n v="15600"/>
    <n v="0"/>
    <m/>
    <x v="98"/>
    <m/>
    <x v="0"/>
    <x v="8"/>
    <x v="11"/>
    <n v="2026"/>
  </r>
  <r>
    <s v="INT-00954"/>
    <x v="261"/>
    <x v="1"/>
    <x v="15"/>
    <x v="0"/>
    <s v="Customer 493"/>
    <s v="WhatsApp API"/>
    <m/>
    <x v="1"/>
    <n v="0"/>
    <n v="0"/>
    <n v="0"/>
    <n v="1"/>
    <x v="48"/>
    <n v="5.4"/>
    <x v="2"/>
    <x v="5"/>
    <x v="1"/>
    <n v="2026"/>
  </r>
  <r>
    <s v="INT-00955"/>
    <x v="169"/>
    <x v="0"/>
    <x v="7"/>
    <x v="0"/>
    <s v="Customer 626"/>
    <s v="Automation"/>
    <s v="Referral"/>
    <x v="5"/>
    <n v="1"/>
    <n v="206800"/>
    <n v="0"/>
    <m/>
    <x v="96"/>
    <m/>
    <x v="0"/>
    <x v="7"/>
    <x v="11"/>
    <n v="2026"/>
  </r>
  <r>
    <s v="INT-00956"/>
    <x v="218"/>
    <x v="0"/>
    <x v="6"/>
    <x v="0"/>
    <s v="Customer 035"/>
    <s v="Analytics"/>
    <s v="Website"/>
    <x v="0"/>
    <n v="1"/>
    <n v="53000"/>
    <n v="53000"/>
    <m/>
    <x v="196"/>
    <m/>
    <x v="0"/>
    <x v="0"/>
    <x v="5"/>
    <n v="2026"/>
  </r>
  <r>
    <s v="INT-00957"/>
    <x v="91"/>
    <x v="0"/>
    <x v="5"/>
    <x v="4"/>
    <s v="Customer 675"/>
    <s v="Automation"/>
    <s v="Outbound"/>
    <x v="2"/>
    <n v="1"/>
    <n v="6400"/>
    <n v="0"/>
    <m/>
    <x v="32"/>
    <m/>
    <x v="0"/>
    <x v="3"/>
    <x v="3"/>
    <n v="2026"/>
  </r>
  <r>
    <s v="INT-00958"/>
    <x v="311"/>
    <x v="0"/>
    <x v="13"/>
    <x v="3"/>
    <s v="Customer 367"/>
    <s v="Automation"/>
    <s v="Partner"/>
    <x v="3"/>
    <n v="1"/>
    <n v="14700"/>
    <n v="0"/>
    <m/>
    <x v="12"/>
    <m/>
    <x v="0"/>
    <x v="4"/>
    <x v="4"/>
    <n v="2026"/>
  </r>
  <r>
    <s v="INT-00959"/>
    <x v="342"/>
    <x v="0"/>
    <x v="6"/>
    <x v="0"/>
    <s v="Customer 548"/>
    <s v="WhatsApp API"/>
    <s v="Inbound"/>
    <x v="2"/>
    <n v="1"/>
    <n v="81300"/>
    <n v="0"/>
    <m/>
    <x v="6"/>
    <m/>
    <x v="0"/>
    <x v="3"/>
    <x v="1"/>
    <n v="2026"/>
  </r>
  <r>
    <s v="INT-00960"/>
    <x v="240"/>
    <x v="1"/>
    <x v="1"/>
    <x v="3"/>
    <s v="Customer 083"/>
    <s v="CRM"/>
    <m/>
    <x v="1"/>
    <n v="0"/>
    <n v="0"/>
    <n v="0"/>
    <n v="1"/>
    <x v="44"/>
    <n v="21"/>
    <x v="8"/>
    <x v="2"/>
    <x v="11"/>
    <n v="2026"/>
  </r>
  <r>
    <s v="INT-00961"/>
    <x v="343"/>
    <x v="0"/>
    <x v="0"/>
    <x v="4"/>
    <s v="Customer 120"/>
    <s v="WhatsApp API"/>
    <s v="Referral"/>
    <x v="5"/>
    <n v="1"/>
    <n v="65300"/>
    <n v="0"/>
    <m/>
    <x v="126"/>
    <m/>
    <x v="0"/>
    <x v="7"/>
    <x v="8"/>
    <n v="2026"/>
  </r>
  <r>
    <s v="INT-00962"/>
    <x v="58"/>
    <x v="1"/>
    <x v="2"/>
    <x v="0"/>
    <s v="Customer 511"/>
    <s v="Analytics"/>
    <m/>
    <x v="1"/>
    <n v="0"/>
    <n v="0"/>
    <n v="0"/>
    <n v="1"/>
    <x v="84"/>
    <n v="17.3"/>
    <x v="9"/>
    <x v="2"/>
    <x v="11"/>
    <n v="2026"/>
  </r>
  <r>
    <s v="INT-00963"/>
    <x v="211"/>
    <x v="0"/>
    <x v="5"/>
    <x v="3"/>
    <s v="Customer 621"/>
    <s v="CRM"/>
    <s v="Referral"/>
    <x v="5"/>
    <n v="1"/>
    <n v="53000"/>
    <n v="0"/>
    <m/>
    <x v="57"/>
    <m/>
    <x v="0"/>
    <x v="7"/>
    <x v="0"/>
    <n v="2026"/>
  </r>
  <r>
    <s v="INT-00964"/>
    <x v="26"/>
    <x v="0"/>
    <x v="4"/>
    <x v="1"/>
    <s v="Customer 189"/>
    <s v="CRM"/>
    <s v="Inbound"/>
    <x v="4"/>
    <n v="1"/>
    <n v="34800"/>
    <n v="0"/>
    <m/>
    <x v="61"/>
    <m/>
    <x v="0"/>
    <x v="6"/>
    <x v="1"/>
    <n v="2026"/>
  </r>
  <r>
    <s v="INT-00965"/>
    <x v="23"/>
    <x v="0"/>
    <x v="4"/>
    <x v="1"/>
    <s v="Customer 004"/>
    <s v="WhatsApp API"/>
    <s v="Website"/>
    <x v="5"/>
    <n v="1"/>
    <n v="60400"/>
    <n v="0"/>
    <m/>
    <x v="100"/>
    <m/>
    <x v="0"/>
    <x v="7"/>
    <x v="6"/>
    <n v="2025"/>
  </r>
  <r>
    <s v="INT-00966"/>
    <x v="247"/>
    <x v="0"/>
    <x v="13"/>
    <x v="0"/>
    <s v="Customer 378"/>
    <s v="Automation"/>
    <s v="Inbound"/>
    <x v="5"/>
    <n v="1"/>
    <n v="81000"/>
    <n v="0"/>
    <m/>
    <x v="142"/>
    <m/>
    <x v="0"/>
    <x v="7"/>
    <x v="3"/>
    <n v="2026"/>
  </r>
  <r>
    <s v="INT-00967"/>
    <x v="238"/>
    <x v="1"/>
    <x v="3"/>
    <x v="0"/>
    <s v="Customer 173"/>
    <s v="CRM"/>
    <m/>
    <x v="1"/>
    <n v="0"/>
    <n v="0"/>
    <n v="0"/>
    <n v="1"/>
    <x v="15"/>
    <n v="9.8000000000000007"/>
    <x v="10"/>
    <x v="1"/>
    <x v="11"/>
    <n v="2026"/>
  </r>
  <r>
    <s v="INT-00968"/>
    <x v="270"/>
    <x v="0"/>
    <x v="0"/>
    <x v="0"/>
    <s v="Customer 518"/>
    <s v="CRM"/>
    <s v="Outbound"/>
    <x v="4"/>
    <n v="1"/>
    <n v="26900"/>
    <n v="0"/>
    <m/>
    <x v="145"/>
    <m/>
    <x v="0"/>
    <x v="6"/>
    <x v="7"/>
    <n v="2026"/>
  </r>
  <r>
    <s v="INT-00969"/>
    <x v="13"/>
    <x v="1"/>
    <x v="15"/>
    <x v="0"/>
    <s v="Customer 225"/>
    <s v="WhatsApp API"/>
    <m/>
    <x v="1"/>
    <n v="0"/>
    <n v="0"/>
    <n v="0"/>
    <n v="1"/>
    <x v="69"/>
    <n v="30.1"/>
    <x v="14"/>
    <x v="2"/>
    <x v="8"/>
    <n v="2026"/>
  </r>
  <r>
    <s v="INT-00970"/>
    <x v="25"/>
    <x v="0"/>
    <x v="6"/>
    <x v="0"/>
    <s v="Customer 081"/>
    <s v="CRM"/>
    <s v="Inbound"/>
    <x v="0"/>
    <n v="1"/>
    <n v="9800"/>
    <n v="9800"/>
    <m/>
    <x v="141"/>
    <m/>
    <x v="0"/>
    <x v="0"/>
    <x v="5"/>
    <n v="2026"/>
  </r>
  <r>
    <s v="INT-00971"/>
    <x v="92"/>
    <x v="1"/>
    <x v="9"/>
    <x v="1"/>
    <s v="Customer 097"/>
    <s v="WhatsApp API"/>
    <m/>
    <x v="1"/>
    <n v="0"/>
    <n v="0"/>
    <n v="0"/>
    <n v="1"/>
    <x v="114"/>
    <n v="4.8"/>
    <x v="20"/>
    <x v="1"/>
    <x v="1"/>
    <n v="2026"/>
  </r>
  <r>
    <s v="INT-00972"/>
    <x v="215"/>
    <x v="1"/>
    <x v="12"/>
    <x v="4"/>
    <s v="Customer 407"/>
    <s v="CRM"/>
    <m/>
    <x v="1"/>
    <n v="0"/>
    <n v="0"/>
    <n v="0"/>
    <n v="1"/>
    <x v="26"/>
    <n v="10.5"/>
    <x v="11"/>
    <x v="9"/>
    <x v="10"/>
    <n v="2025"/>
  </r>
  <r>
    <s v="INT-00973"/>
    <x v="278"/>
    <x v="1"/>
    <x v="3"/>
    <x v="0"/>
    <s v="Customer 593"/>
    <s v="CRM"/>
    <m/>
    <x v="1"/>
    <n v="0"/>
    <n v="0"/>
    <n v="0"/>
    <n v="1"/>
    <x v="24"/>
    <n v="4.0999999999999996"/>
    <x v="25"/>
    <x v="2"/>
    <x v="1"/>
    <n v="2026"/>
  </r>
  <r>
    <s v="INT-00974"/>
    <x v="146"/>
    <x v="0"/>
    <x v="5"/>
    <x v="2"/>
    <s v="Customer 443"/>
    <s v="CRM"/>
    <s v="Partner"/>
    <x v="5"/>
    <n v="1"/>
    <n v="21700"/>
    <n v="0"/>
    <m/>
    <x v="211"/>
    <m/>
    <x v="0"/>
    <x v="7"/>
    <x v="9"/>
    <n v="2025"/>
  </r>
  <r>
    <s v="INT-00975"/>
    <x v="262"/>
    <x v="0"/>
    <x v="0"/>
    <x v="0"/>
    <s v="Customer 525"/>
    <s v="Automation"/>
    <s v="Outbound"/>
    <x v="4"/>
    <n v="1"/>
    <n v="34800"/>
    <n v="0"/>
    <m/>
    <x v="182"/>
    <m/>
    <x v="0"/>
    <x v="6"/>
    <x v="11"/>
    <n v="2026"/>
  </r>
  <r>
    <s v="INT-00976"/>
    <x v="213"/>
    <x v="0"/>
    <x v="0"/>
    <x v="4"/>
    <s v="Customer 084"/>
    <s v="WhatsApp API"/>
    <s v="Referral"/>
    <x v="3"/>
    <n v="1"/>
    <n v="8200"/>
    <n v="0"/>
    <m/>
    <x v="174"/>
    <m/>
    <x v="0"/>
    <x v="4"/>
    <x v="8"/>
    <n v="2026"/>
  </r>
  <r>
    <s v="INT-00977"/>
    <x v="28"/>
    <x v="1"/>
    <x v="2"/>
    <x v="1"/>
    <s v="Customer 590"/>
    <s v="Automation"/>
    <m/>
    <x v="1"/>
    <n v="0"/>
    <n v="0"/>
    <n v="0"/>
    <n v="1"/>
    <x v="11"/>
    <n v="14.4"/>
    <x v="1"/>
    <x v="1"/>
    <x v="5"/>
    <n v="2026"/>
  </r>
  <r>
    <s v="INT-00978"/>
    <x v="97"/>
    <x v="0"/>
    <x v="10"/>
    <x v="0"/>
    <s v="Customer 432"/>
    <s v="WhatsApp API"/>
    <s v="Outbound"/>
    <x v="6"/>
    <n v="1"/>
    <n v="10600"/>
    <n v="0"/>
    <m/>
    <x v="172"/>
    <m/>
    <x v="0"/>
    <x v="8"/>
    <x v="8"/>
    <n v="2026"/>
  </r>
  <r>
    <s v="INT-00979"/>
    <x v="232"/>
    <x v="0"/>
    <x v="10"/>
    <x v="4"/>
    <s v="Customer 466"/>
    <s v="WhatsApp API"/>
    <s v="Outbound"/>
    <x v="3"/>
    <n v="1"/>
    <n v="5000"/>
    <n v="0"/>
    <m/>
    <x v="116"/>
    <m/>
    <x v="0"/>
    <x v="4"/>
    <x v="10"/>
    <n v="2025"/>
  </r>
  <r>
    <s v="INT-00980"/>
    <x v="103"/>
    <x v="1"/>
    <x v="2"/>
    <x v="0"/>
    <s v="Customer 576"/>
    <s v="WhatsApp API"/>
    <m/>
    <x v="1"/>
    <n v="0"/>
    <n v="0"/>
    <n v="0"/>
    <n v="1"/>
    <x v="11"/>
    <n v="3.5"/>
    <x v="14"/>
    <x v="2"/>
    <x v="2"/>
    <n v="2025"/>
  </r>
  <r>
    <s v="INT-00981"/>
    <x v="216"/>
    <x v="0"/>
    <x v="6"/>
    <x v="1"/>
    <s v="Customer 527"/>
    <s v="WhatsApp API"/>
    <s v="Referral"/>
    <x v="2"/>
    <n v="1"/>
    <n v="5000"/>
    <n v="0"/>
    <m/>
    <x v="186"/>
    <m/>
    <x v="0"/>
    <x v="3"/>
    <x v="5"/>
    <n v="2026"/>
  </r>
  <r>
    <s v="INT-00982"/>
    <x v="53"/>
    <x v="1"/>
    <x v="9"/>
    <x v="0"/>
    <s v="Customer 232"/>
    <s v="WhatsApp API"/>
    <m/>
    <x v="1"/>
    <n v="0"/>
    <n v="0"/>
    <n v="0"/>
    <n v="1"/>
    <x v="108"/>
    <n v="7.1"/>
    <x v="20"/>
    <x v="2"/>
    <x v="8"/>
    <n v="2026"/>
  </r>
  <r>
    <s v="INT-00983"/>
    <x v="323"/>
    <x v="0"/>
    <x v="10"/>
    <x v="0"/>
    <s v="Customer 065"/>
    <s v="CRM"/>
    <s v="Referral"/>
    <x v="2"/>
    <n v="1"/>
    <n v="23200"/>
    <n v="0"/>
    <m/>
    <x v="195"/>
    <m/>
    <x v="0"/>
    <x v="3"/>
    <x v="3"/>
    <n v="2026"/>
  </r>
  <r>
    <s v="INT-00984"/>
    <x v="12"/>
    <x v="0"/>
    <x v="7"/>
    <x v="2"/>
    <s v="Customer 535"/>
    <s v="WhatsApp API"/>
    <s v="Website"/>
    <x v="6"/>
    <n v="1"/>
    <n v="18500"/>
    <n v="0"/>
    <m/>
    <x v="107"/>
    <m/>
    <x v="0"/>
    <x v="8"/>
    <x v="2"/>
    <n v="2025"/>
  </r>
  <r>
    <s v="INT-00985"/>
    <x v="121"/>
    <x v="1"/>
    <x v="9"/>
    <x v="1"/>
    <s v="Customer 231"/>
    <s v="CRM"/>
    <m/>
    <x v="1"/>
    <n v="0"/>
    <n v="0"/>
    <n v="0"/>
    <n v="1"/>
    <x v="115"/>
    <n v="8.3000000000000007"/>
    <x v="26"/>
    <x v="1"/>
    <x v="2"/>
    <n v="2025"/>
  </r>
  <r>
    <s v="INT-00986"/>
    <x v="344"/>
    <x v="0"/>
    <x v="13"/>
    <x v="4"/>
    <s v="Customer 161"/>
    <s v="Automation"/>
    <s v="Inbound"/>
    <x v="0"/>
    <n v="1"/>
    <n v="10500"/>
    <n v="10500"/>
    <m/>
    <x v="184"/>
    <m/>
    <x v="0"/>
    <x v="0"/>
    <x v="7"/>
    <n v="2026"/>
  </r>
  <r>
    <s v="INT-00987"/>
    <x v="170"/>
    <x v="1"/>
    <x v="12"/>
    <x v="1"/>
    <s v="Customer 002"/>
    <s v="Automation"/>
    <m/>
    <x v="1"/>
    <n v="0"/>
    <n v="0"/>
    <n v="0"/>
    <n v="1"/>
    <x v="134"/>
    <n v="3.2"/>
    <x v="24"/>
    <x v="2"/>
    <x v="7"/>
    <n v="2026"/>
  </r>
  <r>
    <s v="INT-00988"/>
    <x v="121"/>
    <x v="0"/>
    <x v="7"/>
    <x v="1"/>
    <s v="Customer 123"/>
    <s v="WhatsApp API"/>
    <s v="Website"/>
    <x v="0"/>
    <n v="1"/>
    <n v="45700"/>
    <n v="45700"/>
    <m/>
    <x v="60"/>
    <m/>
    <x v="0"/>
    <x v="0"/>
    <x v="2"/>
    <n v="2025"/>
  </r>
  <r>
    <s v="INT-00989"/>
    <x v="171"/>
    <x v="0"/>
    <x v="10"/>
    <x v="0"/>
    <s v="Customer 107"/>
    <s v="WhatsApp API"/>
    <s v="Website"/>
    <x v="3"/>
    <n v="1"/>
    <n v="15200"/>
    <n v="0"/>
    <m/>
    <x v="96"/>
    <m/>
    <x v="0"/>
    <x v="4"/>
    <x v="10"/>
    <n v="2025"/>
  </r>
  <r>
    <s v="INT-00990"/>
    <x v="142"/>
    <x v="1"/>
    <x v="3"/>
    <x v="3"/>
    <s v="Customer 498"/>
    <s v="CRM"/>
    <m/>
    <x v="1"/>
    <n v="0"/>
    <n v="0"/>
    <n v="0"/>
    <n v="1"/>
    <x v="31"/>
    <n v="6.7"/>
    <x v="9"/>
    <x v="2"/>
    <x v="7"/>
    <n v="2026"/>
  </r>
  <r>
    <s v="INT-00991"/>
    <x v="262"/>
    <x v="1"/>
    <x v="1"/>
    <x v="1"/>
    <s v="Customer 593"/>
    <s v="CRM"/>
    <m/>
    <x v="1"/>
    <n v="0"/>
    <n v="0"/>
    <n v="0"/>
    <n v="1"/>
    <x v="147"/>
    <n v="8.4"/>
    <x v="19"/>
    <x v="2"/>
    <x v="11"/>
    <n v="2026"/>
  </r>
  <r>
    <s v="INT-00992"/>
    <x v="338"/>
    <x v="1"/>
    <x v="15"/>
    <x v="0"/>
    <s v="Customer 105"/>
    <s v="CRM"/>
    <m/>
    <x v="1"/>
    <n v="0"/>
    <n v="0"/>
    <n v="0"/>
    <n v="1"/>
    <x v="119"/>
    <n v="2"/>
    <x v="21"/>
    <x v="1"/>
    <x v="0"/>
    <n v="2026"/>
  </r>
  <r>
    <s v="INT-00993"/>
    <x v="115"/>
    <x v="0"/>
    <x v="6"/>
    <x v="4"/>
    <s v="Customer 028"/>
    <s v="CRM"/>
    <s v="Referral"/>
    <x v="4"/>
    <n v="1"/>
    <n v="29200"/>
    <n v="0"/>
    <m/>
    <x v="97"/>
    <m/>
    <x v="0"/>
    <x v="6"/>
    <x v="3"/>
    <n v="2026"/>
  </r>
  <r>
    <s v="INT-00994"/>
    <x v="28"/>
    <x v="1"/>
    <x v="3"/>
    <x v="3"/>
    <s v="Customer 409"/>
    <s v="Analytics"/>
    <m/>
    <x v="1"/>
    <n v="0"/>
    <n v="0"/>
    <n v="0"/>
    <n v="1"/>
    <x v="135"/>
    <n v="5.5"/>
    <x v="5"/>
    <x v="9"/>
    <x v="5"/>
    <n v="2026"/>
  </r>
  <r>
    <s v="INT-00995"/>
    <x v="343"/>
    <x v="0"/>
    <x v="13"/>
    <x v="0"/>
    <s v="Customer 450"/>
    <s v="Analytics"/>
    <s v="Partner"/>
    <x v="2"/>
    <n v="1"/>
    <n v="25100"/>
    <n v="0"/>
    <m/>
    <x v="2"/>
    <m/>
    <x v="0"/>
    <x v="3"/>
    <x v="8"/>
    <n v="2026"/>
  </r>
  <r>
    <s v="INT-00996"/>
    <x v="13"/>
    <x v="0"/>
    <x v="5"/>
    <x v="2"/>
    <s v="Customer 651"/>
    <s v="WhatsApp API"/>
    <s v="Inbound"/>
    <x v="3"/>
    <n v="1"/>
    <n v="10100"/>
    <n v="0"/>
    <m/>
    <x v="55"/>
    <m/>
    <x v="0"/>
    <x v="4"/>
    <x v="8"/>
    <n v="2026"/>
  </r>
  <r>
    <s v="INT-00997"/>
    <x v="9"/>
    <x v="1"/>
    <x v="2"/>
    <x v="0"/>
    <s v="Customer 440"/>
    <s v="WhatsApp API"/>
    <m/>
    <x v="1"/>
    <n v="0"/>
    <n v="0"/>
    <n v="0"/>
    <n v="1"/>
    <x v="26"/>
    <n v="11.9"/>
    <x v="5"/>
    <x v="2"/>
    <x v="0"/>
    <n v="2026"/>
  </r>
  <r>
    <s v="INT-00998"/>
    <x v="307"/>
    <x v="0"/>
    <x v="0"/>
    <x v="1"/>
    <s v="Customer 462"/>
    <s v="Automation"/>
    <s v="Outbound"/>
    <x v="5"/>
    <n v="1"/>
    <n v="10600"/>
    <n v="0"/>
    <m/>
    <x v="154"/>
    <m/>
    <x v="0"/>
    <x v="7"/>
    <x v="6"/>
    <n v="2025"/>
  </r>
  <r>
    <s v="INT-00999"/>
    <x v="334"/>
    <x v="1"/>
    <x v="1"/>
    <x v="0"/>
    <s v="Customer 463"/>
    <s v="Analytics"/>
    <m/>
    <x v="1"/>
    <n v="0"/>
    <n v="0"/>
    <n v="0"/>
    <n v="1"/>
    <x v="135"/>
    <n v="8.1999999999999993"/>
    <x v="6"/>
    <x v="9"/>
    <x v="5"/>
    <n v="2026"/>
  </r>
  <r>
    <s v="INT-01000"/>
    <x v="166"/>
    <x v="0"/>
    <x v="0"/>
    <x v="0"/>
    <s v="Customer 050"/>
    <s v="WhatsApp API"/>
    <s v="Outbound"/>
    <x v="0"/>
    <n v="1"/>
    <n v="25200"/>
    <n v="25200"/>
    <m/>
    <x v="139"/>
    <m/>
    <x v="0"/>
    <x v="0"/>
    <x v="10"/>
    <n v="2025"/>
  </r>
  <r>
    <s v="INT-01001"/>
    <x v="54"/>
    <x v="0"/>
    <x v="5"/>
    <x v="3"/>
    <s v="Customer 610"/>
    <s v="Analytics"/>
    <s v="Outbound"/>
    <x v="4"/>
    <n v="1"/>
    <n v="10100"/>
    <n v="0"/>
    <m/>
    <x v="210"/>
    <m/>
    <x v="0"/>
    <x v="6"/>
    <x v="7"/>
    <n v="2026"/>
  </r>
  <r>
    <s v="INT-01002"/>
    <x v="179"/>
    <x v="0"/>
    <x v="0"/>
    <x v="0"/>
    <s v="Customer 379"/>
    <s v="WhatsApp API"/>
    <s v="Website"/>
    <x v="3"/>
    <n v="1"/>
    <n v="14700"/>
    <n v="0"/>
    <m/>
    <x v="17"/>
    <m/>
    <x v="0"/>
    <x v="4"/>
    <x v="2"/>
    <n v="2025"/>
  </r>
  <r>
    <s v="INT-01003"/>
    <x v="13"/>
    <x v="1"/>
    <x v="8"/>
    <x v="1"/>
    <s v="Customer 120"/>
    <s v="Analytics"/>
    <m/>
    <x v="1"/>
    <n v="0"/>
    <n v="0"/>
    <n v="0"/>
    <n v="1"/>
    <x v="74"/>
    <n v="5.4"/>
    <x v="5"/>
    <x v="5"/>
    <x v="8"/>
    <n v="2026"/>
  </r>
  <r>
    <s v="INT-01004"/>
    <x v="49"/>
    <x v="1"/>
    <x v="14"/>
    <x v="0"/>
    <s v="Customer 609"/>
    <s v="WhatsApp API"/>
    <m/>
    <x v="1"/>
    <n v="0"/>
    <n v="0"/>
    <n v="0"/>
    <n v="1"/>
    <x v="148"/>
    <n v="7.4"/>
    <x v="26"/>
    <x v="2"/>
    <x v="3"/>
    <n v="2026"/>
  </r>
  <r>
    <s v="INT-01005"/>
    <x v="344"/>
    <x v="1"/>
    <x v="1"/>
    <x v="0"/>
    <s v="Customer 115"/>
    <s v="CRM"/>
    <m/>
    <x v="1"/>
    <n v="0"/>
    <n v="0"/>
    <n v="0"/>
    <n v="1"/>
    <x v="161"/>
    <n v="4.4000000000000004"/>
    <x v="4"/>
    <x v="2"/>
    <x v="7"/>
    <n v="2026"/>
  </r>
  <r>
    <s v="INT-01006"/>
    <x v="297"/>
    <x v="1"/>
    <x v="3"/>
    <x v="0"/>
    <s v="Customer 638"/>
    <s v="Analytics"/>
    <m/>
    <x v="1"/>
    <n v="0"/>
    <n v="0"/>
    <n v="0"/>
    <n v="1"/>
    <x v="74"/>
    <n v="28.9"/>
    <x v="5"/>
    <x v="5"/>
    <x v="9"/>
    <n v="2025"/>
  </r>
  <r>
    <s v="INT-01007"/>
    <x v="82"/>
    <x v="1"/>
    <x v="12"/>
    <x v="2"/>
    <s v="Customer 169"/>
    <s v="WhatsApp API"/>
    <m/>
    <x v="1"/>
    <n v="0"/>
    <n v="0"/>
    <n v="0"/>
    <n v="1"/>
    <x v="29"/>
    <n v="3.2"/>
    <x v="23"/>
    <x v="2"/>
    <x v="0"/>
    <n v="2026"/>
  </r>
  <r>
    <s v="INT-01008"/>
    <x v="211"/>
    <x v="1"/>
    <x v="15"/>
    <x v="3"/>
    <s v="Customer 351"/>
    <s v="CRM"/>
    <m/>
    <x v="1"/>
    <n v="0"/>
    <n v="0"/>
    <n v="0"/>
    <n v="1"/>
    <x v="56"/>
    <n v="3.7"/>
    <x v="14"/>
    <x v="1"/>
    <x v="0"/>
    <n v="2026"/>
  </r>
  <r>
    <s v="INT-01009"/>
    <x v="105"/>
    <x v="0"/>
    <x v="10"/>
    <x v="3"/>
    <s v="Customer 193"/>
    <s v="CRM"/>
    <s v="Inbound"/>
    <x v="4"/>
    <n v="1"/>
    <n v="28500"/>
    <n v="0"/>
    <m/>
    <x v="144"/>
    <m/>
    <x v="0"/>
    <x v="6"/>
    <x v="9"/>
    <n v="2025"/>
  </r>
  <r>
    <s v="INT-01010"/>
    <x v="217"/>
    <x v="0"/>
    <x v="0"/>
    <x v="0"/>
    <s v="Customer 091"/>
    <s v="WhatsApp API"/>
    <s v="Inbound"/>
    <x v="4"/>
    <n v="1"/>
    <n v="50200"/>
    <n v="0"/>
    <m/>
    <x v="227"/>
    <m/>
    <x v="0"/>
    <x v="6"/>
    <x v="9"/>
    <n v="2025"/>
  </r>
  <r>
    <s v="INT-01011"/>
    <x v="202"/>
    <x v="0"/>
    <x v="10"/>
    <x v="1"/>
    <s v="Customer 626"/>
    <s v="CRM"/>
    <s v="Website"/>
    <x v="3"/>
    <n v="1"/>
    <n v="13300"/>
    <n v="0"/>
    <m/>
    <x v="86"/>
    <m/>
    <x v="0"/>
    <x v="4"/>
    <x v="5"/>
    <n v="2026"/>
  </r>
  <r>
    <s v="INT-01012"/>
    <x v="343"/>
    <x v="1"/>
    <x v="14"/>
    <x v="3"/>
    <s v="Customer 214"/>
    <s v="Automation"/>
    <m/>
    <x v="1"/>
    <n v="0"/>
    <n v="0"/>
    <n v="0"/>
    <n v="1"/>
    <x v="104"/>
    <n v="6.4"/>
    <x v="2"/>
    <x v="1"/>
    <x v="8"/>
    <n v="2026"/>
  </r>
  <r>
    <s v="INT-01013"/>
    <x v="273"/>
    <x v="1"/>
    <x v="14"/>
    <x v="1"/>
    <s v="Customer 096"/>
    <s v="Analytics"/>
    <m/>
    <x v="1"/>
    <n v="0"/>
    <n v="0"/>
    <n v="0"/>
    <n v="1"/>
    <x v="40"/>
    <n v="20.100000000000001"/>
    <x v="6"/>
    <x v="9"/>
    <x v="10"/>
    <n v="2025"/>
  </r>
  <r>
    <s v="INT-01014"/>
    <x v="108"/>
    <x v="0"/>
    <x v="11"/>
    <x v="0"/>
    <s v="Customer 524"/>
    <s v="Analytics"/>
    <s v="Inbound"/>
    <x v="2"/>
    <n v="1"/>
    <n v="10300"/>
    <n v="0"/>
    <m/>
    <x v="214"/>
    <m/>
    <x v="0"/>
    <x v="3"/>
    <x v="9"/>
    <n v="2025"/>
  </r>
  <r>
    <s v="INT-01015"/>
    <x v="81"/>
    <x v="1"/>
    <x v="9"/>
    <x v="0"/>
    <s v="Customer 649"/>
    <s v="WhatsApp API"/>
    <m/>
    <x v="1"/>
    <n v="0"/>
    <n v="0"/>
    <n v="0"/>
    <n v="1"/>
    <x v="12"/>
    <n v="5.7"/>
    <x v="12"/>
    <x v="2"/>
    <x v="10"/>
    <n v="2025"/>
  </r>
  <r>
    <s v="INT-01016"/>
    <x v="287"/>
    <x v="1"/>
    <x v="15"/>
    <x v="0"/>
    <s v="Customer 531"/>
    <s v="WhatsApp API"/>
    <m/>
    <x v="1"/>
    <n v="0"/>
    <n v="0"/>
    <n v="0"/>
    <n v="1"/>
    <x v="55"/>
    <n v="10.1"/>
    <x v="2"/>
    <x v="2"/>
    <x v="7"/>
    <n v="2026"/>
  </r>
  <r>
    <s v="INT-01017"/>
    <x v="298"/>
    <x v="0"/>
    <x v="0"/>
    <x v="0"/>
    <s v="Customer 081"/>
    <s v="WhatsApp API"/>
    <s v="Inbound"/>
    <x v="2"/>
    <n v="1"/>
    <n v="43100"/>
    <n v="0"/>
    <m/>
    <x v="12"/>
    <m/>
    <x v="0"/>
    <x v="3"/>
    <x v="11"/>
    <n v="2026"/>
  </r>
  <r>
    <s v="INT-01018"/>
    <x v="255"/>
    <x v="1"/>
    <x v="3"/>
    <x v="1"/>
    <s v="Customer 683"/>
    <s v="CRM"/>
    <m/>
    <x v="1"/>
    <n v="0"/>
    <n v="0"/>
    <n v="0"/>
    <n v="1"/>
    <x v="108"/>
    <n v="14.7"/>
    <x v="17"/>
    <x v="2"/>
    <x v="9"/>
    <n v="2025"/>
  </r>
  <r>
    <s v="INT-01019"/>
    <x v="284"/>
    <x v="1"/>
    <x v="14"/>
    <x v="4"/>
    <s v="Customer 003"/>
    <s v="CRM"/>
    <m/>
    <x v="1"/>
    <n v="0"/>
    <n v="0"/>
    <n v="0"/>
    <n v="1"/>
    <x v="147"/>
    <n v="21.5"/>
    <x v="1"/>
    <x v="5"/>
    <x v="5"/>
    <n v="2026"/>
  </r>
  <r>
    <s v="INT-01020"/>
    <x v="39"/>
    <x v="0"/>
    <x v="4"/>
    <x v="0"/>
    <s v="Customer 569"/>
    <s v="Automation"/>
    <s v="Outbound"/>
    <x v="2"/>
    <n v="1"/>
    <n v="40300"/>
    <n v="0"/>
    <m/>
    <x v="110"/>
    <m/>
    <x v="0"/>
    <x v="3"/>
    <x v="10"/>
    <n v="2025"/>
  </r>
  <r>
    <s v="INT-01021"/>
    <x v="60"/>
    <x v="1"/>
    <x v="12"/>
    <x v="0"/>
    <s v="Customer 538"/>
    <s v="CRM"/>
    <m/>
    <x v="1"/>
    <n v="0"/>
    <n v="0"/>
    <n v="0"/>
    <n v="1"/>
    <x v="50"/>
    <n v="7"/>
    <x v="29"/>
    <x v="5"/>
    <x v="5"/>
    <n v="2026"/>
  </r>
  <r>
    <s v="INT-01022"/>
    <x v="338"/>
    <x v="0"/>
    <x v="6"/>
    <x v="1"/>
    <s v="Customer 685"/>
    <s v="WhatsApp API"/>
    <s v="Partner"/>
    <x v="5"/>
    <n v="1"/>
    <n v="115600"/>
    <n v="0"/>
    <m/>
    <x v="4"/>
    <m/>
    <x v="0"/>
    <x v="7"/>
    <x v="0"/>
    <n v="2026"/>
  </r>
  <r>
    <s v="INT-01023"/>
    <x v="12"/>
    <x v="1"/>
    <x v="8"/>
    <x v="0"/>
    <s v="Customer 466"/>
    <s v="WhatsApp API"/>
    <m/>
    <x v="1"/>
    <n v="0"/>
    <n v="0"/>
    <n v="0"/>
    <n v="1"/>
    <x v="121"/>
    <n v="12.4"/>
    <x v="8"/>
    <x v="1"/>
    <x v="2"/>
    <n v="2025"/>
  </r>
  <r>
    <s v="INT-01024"/>
    <x v="155"/>
    <x v="1"/>
    <x v="3"/>
    <x v="0"/>
    <s v="Customer 444"/>
    <s v="CRM"/>
    <m/>
    <x v="1"/>
    <n v="0"/>
    <n v="0"/>
    <n v="0"/>
    <n v="1"/>
    <x v="79"/>
    <n v="42.7"/>
    <x v="12"/>
    <x v="2"/>
    <x v="7"/>
    <n v="2026"/>
  </r>
  <r>
    <s v="INT-01025"/>
    <x v="56"/>
    <x v="1"/>
    <x v="1"/>
    <x v="0"/>
    <s v="Customer 625"/>
    <s v="CRM"/>
    <m/>
    <x v="1"/>
    <n v="0"/>
    <n v="0"/>
    <n v="0"/>
    <n v="1"/>
    <x v="214"/>
    <n v="19.7"/>
    <x v="5"/>
    <x v="2"/>
    <x v="5"/>
    <n v="2026"/>
  </r>
  <r>
    <s v="INT-01026"/>
    <x v="98"/>
    <x v="0"/>
    <x v="0"/>
    <x v="0"/>
    <s v="Customer 511"/>
    <s v="WhatsApp API"/>
    <s v="Outbound"/>
    <x v="4"/>
    <n v="1"/>
    <n v="23100"/>
    <n v="0"/>
    <m/>
    <x v="75"/>
    <m/>
    <x v="0"/>
    <x v="6"/>
    <x v="4"/>
    <n v="2026"/>
  </r>
  <r>
    <s v="INT-01027"/>
    <x v="278"/>
    <x v="1"/>
    <x v="2"/>
    <x v="0"/>
    <s v="Customer 223"/>
    <s v="CRM"/>
    <m/>
    <x v="1"/>
    <n v="0"/>
    <n v="0"/>
    <n v="0"/>
    <n v="1"/>
    <x v="178"/>
    <n v="8.1"/>
    <x v="5"/>
    <x v="5"/>
    <x v="1"/>
    <n v="2026"/>
  </r>
  <r>
    <s v="INT-01028"/>
    <x v="62"/>
    <x v="1"/>
    <x v="15"/>
    <x v="0"/>
    <s v="Customer 544"/>
    <s v="CRM"/>
    <m/>
    <x v="1"/>
    <n v="0"/>
    <n v="0"/>
    <n v="0"/>
    <n v="1"/>
    <x v="148"/>
    <n v="5.0999999999999996"/>
    <x v="14"/>
    <x v="2"/>
    <x v="5"/>
    <n v="2026"/>
  </r>
  <r>
    <s v="INT-01029"/>
    <x v="78"/>
    <x v="0"/>
    <x v="10"/>
    <x v="3"/>
    <s v="Customer 046"/>
    <s v="Automation"/>
    <s v="Inbound"/>
    <x v="2"/>
    <n v="1"/>
    <n v="13500"/>
    <n v="0"/>
    <m/>
    <x v="81"/>
    <m/>
    <x v="0"/>
    <x v="3"/>
    <x v="6"/>
    <n v="2025"/>
  </r>
  <r>
    <s v="INT-01030"/>
    <x v="144"/>
    <x v="1"/>
    <x v="3"/>
    <x v="4"/>
    <s v="Customer 465"/>
    <s v="Analytics"/>
    <m/>
    <x v="1"/>
    <n v="0"/>
    <n v="0"/>
    <n v="0"/>
    <n v="1"/>
    <x v="80"/>
    <n v="5.4"/>
    <x v="19"/>
    <x v="5"/>
    <x v="6"/>
    <n v="2025"/>
  </r>
  <r>
    <s v="INT-01031"/>
    <x v="267"/>
    <x v="0"/>
    <x v="7"/>
    <x v="0"/>
    <s v="Customer 013"/>
    <s v="CRM"/>
    <s v="Outbound"/>
    <x v="0"/>
    <n v="1"/>
    <n v="23600"/>
    <n v="23600"/>
    <m/>
    <x v="50"/>
    <m/>
    <x v="0"/>
    <x v="0"/>
    <x v="5"/>
    <n v="2026"/>
  </r>
  <r>
    <s v="INT-01032"/>
    <x v="334"/>
    <x v="1"/>
    <x v="15"/>
    <x v="3"/>
    <s v="Customer 032"/>
    <s v="WhatsApp API"/>
    <m/>
    <x v="1"/>
    <n v="0"/>
    <n v="0"/>
    <n v="0"/>
    <n v="1"/>
    <x v="143"/>
    <n v="12"/>
    <x v="7"/>
    <x v="2"/>
    <x v="5"/>
    <n v="2026"/>
  </r>
  <r>
    <s v="INT-01033"/>
    <x v="301"/>
    <x v="0"/>
    <x v="10"/>
    <x v="4"/>
    <s v="Customer 092"/>
    <s v="CRM"/>
    <s v="Outbound"/>
    <x v="5"/>
    <n v="1"/>
    <n v="27900"/>
    <n v="0"/>
    <m/>
    <x v="166"/>
    <m/>
    <x v="0"/>
    <x v="7"/>
    <x v="10"/>
    <n v="2025"/>
  </r>
  <r>
    <s v="INT-01034"/>
    <x v="116"/>
    <x v="0"/>
    <x v="5"/>
    <x v="0"/>
    <s v="Customer 090"/>
    <s v="CRM"/>
    <s v="Referral"/>
    <x v="2"/>
    <n v="1"/>
    <n v="49700"/>
    <n v="0"/>
    <m/>
    <x v="223"/>
    <m/>
    <x v="0"/>
    <x v="3"/>
    <x v="5"/>
    <n v="2026"/>
  </r>
  <r>
    <s v="INT-01035"/>
    <x v="200"/>
    <x v="0"/>
    <x v="11"/>
    <x v="4"/>
    <s v="Customer 174"/>
    <s v="CRM"/>
    <s v="Website"/>
    <x v="2"/>
    <n v="1"/>
    <n v="10400"/>
    <n v="0"/>
    <m/>
    <x v="179"/>
    <m/>
    <x v="0"/>
    <x v="3"/>
    <x v="9"/>
    <n v="2025"/>
  </r>
  <r>
    <s v="INT-01036"/>
    <x v="31"/>
    <x v="1"/>
    <x v="8"/>
    <x v="2"/>
    <s v="Customer 694"/>
    <s v="Automation"/>
    <m/>
    <x v="1"/>
    <n v="0"/>
    <n v="0"/>
    <n v="0"/>
    <n v="1"/>
    <x v="44"/>
    <n v="3.4"/>
    <x v="1"/>
    <x v="2"/>
    <x v="4"/>
    <n v="2026"/>
  </r>
  <r>
    <s v="INT-01037"/>
    <x v="123"/>
    <x v="0"/>
    <x v="10"/>
    <x v="4"/>
    <s v="Customer 553"/>
    <s v="Analytics"/>
    <s v="Website"/>
    <x v="0"/>
    <n v="1"/>
    <n v="26200"/>
    <n v="26200"/>
    <m/>
    <x v="144"/>
    <m/>
    <x v="0"/>
    <x v="0"/>
    <x v="3"/>
    <n v="2026"/>
  </r>
  <r>
    <s v="INT-01038"/>
    <x v="155"/>
    <x v="1"/>
    <x v="2"/>
    <x v="0"/>
    <s v="Customer 234"/>
    <s v="WhatsApp API"/>
    <m/>
    <x v="1"/>
    <n v="0"/>
    <n v="0"/>
    <n v="0"/>
    <n v="1"/>
    <x v="1"/>
    <n v="4.9000000000000004"/>
    <x v="5"/>
    <x v="1"/>
    <x v="7"/>
    <n v="2026"/>
  </r>
  <r>
    <s v="INT-01039"/>
    <x v="207"/>
    <x v="0"/>
    <x v="4"/>
    <x v="2"/>
    <s v="Customer 539"/>
    <s v="CRM"/>
    <s v="Referral"/>
    <x v="3"/>
    <n v="1"/>
    <n v="21400"/>
    <n v="0"/>
    <m/>
    <x v="108"/>
    <m/>
    <x v="0"/>
    <x v="4"/>
    <x v="8"/>
    <n v="2026"/>
  </r>
  <r>
    <s v="INT-01040"/>
    <x v="345"/>
    <x v="0"/>
    <x v="10"/>
    <x v="0"/>
    <s v="Customer 081"/>
    <s v="Automation"/>
    <s v="Inbound"/>
    <x v="2"/>
    <n v="1"/>
    <n v="33800"/>
    <n v="0"/>
    <m/>
    <x v="73"/>
    <m/>
    <x v="0"/>
    <x v="3"/>
    <x v="0"/>
    <n v="2026"/>
  </r>
  <r>
    <s v="INT-01041"/>
    <x v="72"/>
    <x v="0"/>
    <x v="4"/>
    <x v="0"/>
    <s v="Customer 342"/>
    <s v="CRM"/>
    <s v="Outbound"/>
    <x v="2"/>
    <n v="1"/>
    <n v="81200"/>
    <n v="0"/>
    <m/>
    <x v="151"/>
    <m/>
    <x v="0"/>
    <x v="3"/>
    <x v="1"/>
    <n v="2026"/>
  </r>
  <r>
    <s v="INT-01042"/>
    <x v="323"/>
    <x v="1"/>
    <x v="14"/>
    <x v="0"/>
    <s v="Customer 347"/>
    <s v="Automation"/>
    <m/>
    <x v="1"/>
    <n v="0"/>
    <n v="0"/>
    <n v="0"/>
    <n v="1"/>
    <x v="164"/>
    <n v="9.5"/>
    <x v="11"/>
    <x v="2"/>
    <x v="3"/>
    <n v="2026"/>
  </r>
  <r>
    <s v="INT-01043"/>
    <x v="289"/>
    <x v="0"/>
    <x v="11"/>
    <x v="0"/>
    <s v="Customer 017"/>
    <s v="WhatsApp API"/>
    <s v="Inbound"/>
    <x v="0"/>
    <n v="1"/>
    <n v="53700"/>
    <n v="53700"/>
    <m/>
    <x v="53"/>
    <m/>
    <x v="0"/>
    <x v="0"/>
    <x v="6"/>
    <n v="2025"/>
  </r>
  <r>
    <s v="INT-01044"/>
    <x v="203"/>
    <x v="1"/>
    <x v="15"/>
    <x v="2"/>
    <s v="Customer 370"/>
    <s v="Analytics"/>
    <m/>
    <x v="1"/>
    <n v="0"/>
    <n v="0"/>
    <n v="0"/>
    <n v="1"/>
    <x v="75"/>
    <n v="9.9"/>
    <x v="12"/>
    <x v="5"/>
    <x v="4"/>
    <n v="2026"/>
  </r>
  <r>
    <s v="INT-01045"/>
    <x v="139"/>
    <x v="1"/>
    <x v="15"/>
    <x v="3"/>
    <s v="Customer 193"/>
    <s v="WhatsApp API"/>
    <m/>
    <x v="1"/>
    <n v="0"/>
    <n v="0"/>
    <n v="0"/>
    <n v="1"/>
    <x v="84"/>
    <n v="4.2"/>
    <x v="13"/>
    <x v="2"/>
    <x v="1"/>
    <n v="2026"/>
  </r>
  <r>
    <s v="INT-01046"/>
    <x v="90"/>
    <x v="1"/>
    <x v="1"/>
    <x v="4"/>
    <s v="Customer 289"/>
    <s v="WhatsApp API"/>
    <m/>
    <x v="1"/>
    <n v="0"/>
    <n v="0"/>
    <n v="0"/>
    <n v="1"/>
    <x v="71"/>
    <n v="3.7"/>
    <x v="5"/>
    <x v="1"/>
    <x v="6"/>
    <n v="2025"/>
  </r>
  <r>
    <s v="INT-01047"/>
    <x v="65"/>
    <x v="0"/>
    <x v="10"/>
    <x v="1"/>
    <s v="Customer 651"/>
    <s v="CRM"/>
    <s v="Inbound"/>
    <x v="6"/>
    <n v="1"/>
    <n v="27800"/>
    <n v="0"/>
    <m/>
    <x v="228"/>
    <m/>
    <x v="0"/>
    <x v="8"/>
    <x v="8"/>
    <n v="2026"/>
  </r>
  <r>
    <s v="INT-01048"/>
    <x v="33"/>
    <x v="0"/>
    <x v="13"/>
    <x v="1"/>
    <s v="Customer 312"/>
    <s v="CRM"/>
    <s v="Referral"/>
    <x v="0"/>
    <n v="1"/>
    <n v="23100"/>
    <n v="23100"/>
    <m/>
    <x v="37"/>
    <m/>
    <x v="0"/>
    <x v="0"/>
    <x v="4"/>
    <n v="2026"/>
  </r>
  <r>
    <s v="INT-01049"/>
    <x v="51"/>
    <x v="1"/>
    <x v="3"/>
    <x v="4"/>
    <s v="Customer 244"/>
    <s v="CRM"/>
    <m/>
    <x v="1"/>
    <n v="0"/>
    <n v="0"/>
    <n v="0"/>
    <n v="1"/>
    <x v="179"/>
    <n v="5"/>
    <x v="20"/>
    <x v="2"/>
    <x v="6"/>
    <n v="2025"/>
  </r>
  <r>
    <s v="INT-01050"/>
    <x v="9"/>
    <x v="0"/>
    <x v="5"/>
    <x v="0"/>
    <s v="Customer 104"/>
    <s v="Automation"/>
    <s v="Inbound"/>
    <x v="0"/>
    <n v="1"/>
    <n v="22000"/>
    <n v="22000"/>
    <m/>
    <x v="222"/>
    <m/>
    <x v="0"/>
    <x v="0"/>
    <x v="0"/>
    <n v="2026"/>
  </r>
  <r>
    <s v="INT-01051"/>
    <x v="346"/>
    <x v="1"/>
    <x v="2"/>
    <x v="4"/>
    <s v="Customer 571"/>
    <s v="WhatsApp API"/>
    <m/>
    <x v="1"/>
    <n v="0"/>
    <n v="0"/>
    <n v="0"/>
    <n v="1"/>
    <x v="88"/>
    <n v="6.1"/>
    <x v="20"/>
    <x v="2"/>
    <x v="11"/>
    <n v="2026"/>
  </r>
  <r>
    <s v="INT-01052"/>
    <x v="168"/>
    <x v="0"/>
    <x v="5"/>
    <x v="2"/>
    <s v="Customer 189"/>
    <s v="WhatsApp API"/>
    <s v="Inbound"/>
    <x v="4"/>
    <n v="1"/>
    <n v="19100"/>
    <n v="0"/>
    <m/>
    <x v="27"/>
    <m/>
    <x v="0"/>
    <x v="6"/>
    <x v="8"/>
    <n v="2026"/>
  </r>
  <r>
    <s v="INT-01053"/>
    <x v="56"/>
    <x v="1"/>
    <x v="14"/>
    <x v="2"/>
    <s v="Customer 506"/>
    <s v="CRM"/>
    <m/>
    <x v="1"/>
    <n v="0"/>
    <n v="0"/>
    <n v="0"/>
    <n v="1"/>
    <x v="199"/>
    <n v="7.5"/>
    <x v="25"/>
    <x v="2"/>
    <x v="5"/>
    <n v="2026"/>
  </r>
  <r>
    <s v="INT-01054"/>
    <x v="46"/>
    <x v="1"/>
    <x v="12"/>
    <x v="1"/>
    <s v="Customer 203"/>
    <s v="CRM"/>
    <m/>
    <x v="1"/>
    <n v="0"/>
    <n v="0"/>
    <n v="0"/>
    <n v="1"/>
    <x v="117"/>
    <n v="2.4"/>
    <x v="26"/>
    <x v="1"/>
    <x v="2"/>
    <n v="2025"/>
  </r>
  <r>
    <s v="INT-01055"/>
    <x v="39"/>
    <x v="1"/>
    <x v="2"/>
    <x v="2"/>
    <s v="Customer 070"/>
    <s v="CRM"/>
    <m/>
    <x v="1"/>
    <n v="0"/>
    <n v="0"/>
    <n v="0"/>
    <n v="1"/>
    <x v="182"/>
    <n v="4.2"/>
    <x v="2"/>
    <x v="1"/>
    <x v="10"/>
    <n v="2025"/>
  </r>
  <r>
    <s v="INT-01056"/>
    <x v="347"/>
    <x v="0"/>
    <x v="4"/>
    <x v="1"/>
    <s v="Customer 506"/>
    <s v="Automation"/>
    <s v="Inbound"/>
    <x v="0"/>
    <n v="1"/>
    <n v="7500"/>
    <n v="7500"/>
    <m/>
    <x v="129"/>
    <m/>
    <x v="0"/>
    <x v="0"/>
    <x v="5"/>
    <n v="2026"/>
  </r>
  <r>
    <s v="INT-01057"/>
    <x v="277"/>
    <x v="1"/>
    <x v="1"/>
    <x v="2"/>
    <s v="Customer 192"/>
    <s v="Automation"/>
    <m/>
    <x v="1"/>
    <n v="0"/>
    <n v="0"/>
    <n v="0"/>
    <n v="1"/>
    <x v="47"/>
    <n v="6.4"/>
    <x v="12"/>
    <x v="1"/>
    <x v="0"/>
    <n v="2026"/>
  </r>
  <r>
    <s v="INT-01058"/>
    <x v="305"/>
    <x v="0"/>
    <x v="4"/>
    <x v="4"/>
    <s v="Customer 452"/>
    <s v="Analytics"/>
    <s v="Partner"/>
    <x v="4"/>
    <n v="1"/>
    <n v="15900"/>
    <n v="0"/>
    <m/>
    <x v="65"/>
    <m/>
    <x v="0"/>
    <x v="6"/>
    <x v="7"/>
    <n v="2026"/>
  </r>
  <r>
    <s v="INT-01059"/>
    <x v="195"/>
    <x v="0"/>
    <x v="0"/>
    <x v="3"/>
    <s v="Customer 263"/>
    <s v="Automation"/>
    <s v="Outbound"/>
    <x v="3"/>
    <n v="1"/>
    <n v="17400"/>
    <n v="0"/>
    <m/>
    <x v="41"/>
    <m/>
    <x v="0"/>
    <x v="4"/>
    <x v="9"/>
    <n v="2025"/>
  </r>
  <r>
    <s v="INT-01060"/>
    <x v="227"/>
    <x v="1"/>
    <x v="3"/>
    <x v="1"/>
    <s v="Customer 627"/>
    <s v="CRM"/>
    <m/>
    <x v="1"/>
    <n v="0"/>
    <n v="0"/>
    <n v="0"/>
    <n v="1"/>
    <x v="161"/>
    <n v="8.5"/>
    <x v="3"/>
    <x v="1"/>
    <x v="4"/>
    <n v="2026"/>
  </r>
  <r>
    <s v="INT-01061"/>
    <x v="300"/>
    <x v="1"/>
    <x v="12"/>
    <x v="2"/>
    <s v="Customer 189"/>
    <s v="Analytics"/>
    <m/>
    <x v="1"/>
    <n v="0"/>
    <n v="0"/>
    <n v="0"/>
    <n v="1"/>
    <x v="173"/>
    <n v="5.6"/>
    <x v="15"/>
    <x v="2"/>
    <x v="8"/>
    <n v="2026"/>
  </r>
  <r>
    <s v="INT-01062"/>
    <x v="227"/>
    <x v="1"/>
    <x v="2"/>
    <x v="4"/>
    <s v="Customer 275"/>
    <s v="WhatsApp API"/>
    <m/>
    <x v="1"/>
    <n v="0"/>
    <n v="0"/>
    <n v="0"/>
    <n v="1"/>
    <x v="148"/>
    <n v="4.5"/>
    <x v="19"/>
    <x v="2"/>
    <x v="4"/>
    <n v="2026"/>
  </r>
  <r>
    <s v="INT-01063"/>
    <x v="73"/>
    <x v="1"/>
    <x v="2"/>
    <x v="0"/>
    <s v="Customer 429"/>
    <s v="WhatsApp API"/>
    <m/>
    <x v="1"/>
    <n v="0"/>
    <n v="0"/>
    <n v="0"/>
    <n v="1"/>
    <x v="136"/>
    <n v="4.9000000000000004"/>
    <x v="4"/>
    <x v="5"/>
    <x v="5"/>
    <n v="2026"/>
  </r>
  <r>
    <s v="INT-01064"/>
    <x v="174"/>
    <x v="0"/>
    <x v="13"/>
    <x v="2"/>
    <s v="Customer 581"/>
    <s v="Automation"/>
    <s v="Inbound"/>
    <x v="2"/>
    <n v="1"/>
    <n v="81700"/>
    <n v="0"/>
    <m/>
    <x v="33"/>
    <m/>
    <x v="0"/>
    <x v="3"/>
    <x v="11"/>
    <n v="2026"/>
  </r>
  <r>
    <s v="INT-01065"/>
    <x v="348"/>
    <x v="0"/>
    <x v="7"/>
    <x v="4"/>
    <s v="Customer 172"/>
    <s v="CRM"/>
    <s v="Inbound"/>
    <x v="0"/>
    <n v="1"/>
    <n v="5000"/>
    <n v="5000"/>
    <m/>
    <x v="32"/>
    <m/>
    <x v="0"/>
    <x v="0"/>
    <x v="3"/>
    <n v="2026"/>
  </r>
  <r>
    <s v="INT-01066"/>
    <x v="221"/>
    <x v="1"/>
    <x v="14"/>
    <x v="0"/>
    <s v="Customer 610"/>
    <s v="Automation"/>
    <m/>
    <x v="1"/>
    <n v="0"/>
    <n v="0"/>
    <n v="0"/>
    <n v="1"/>
    <x v="26"/>
    <n v="9"/>
    <x v="24"/>
    <x v="2"/>
    <x v="5"/>
    <n v="2026"/>
  </r>
  <r>
    <s v="INT-01067"/>
    <x v="68"/>
    <x v="0"/>
    <x v="7"/>
    <x v="0"/>
    <s v="Customer 313"/>
    <s v="WhatsApp API"/>
    <s v="Outbound"/>
    <x v="0"/>
    <n v="1"/>
    <n v="51100"/>
    <n v="51100"/>
    <m/>
    <x v="108"/>
    <m/>
    <x v="0"/>
    <x v="0"/>
    <x v="4"/>
    <n v="2026"/>
  </r>
  <r>
    <s v="INT-01068"/>
    <x v="119"/>
    <x v="0"/>
    <x v="13"/>
    <x v="2"/>
    <s v="Customer 117"/>
    <s v="CRM"/>
    <s v="Inbound"/>
    <x v="2"/>
    <n v="1"/>
    <n v="73800"/>
    <n v="0"/>
    <m/>
    <x v="90"/>
    <m/>
    <x v="0"/>
    <x v="3"/>
    <x v="10"/>
    <n v="2025"/>
  </r>
  <r>
    <s v="INT-01069"/>
    <x v="72"/>
    <x v="0"/>
    <x v="7"/>
    <x v="1"/>
    <s v="Customer 466"/>
    <s v="CRM"/>
    <s v="Inbound"/>
    <x v="4"/>
    <n v="1"/>
    <n v="7200"/>
    <n v="0"/>
    <m/>
    <x v="110"/>
    <m/>
    <x v="0"/>
    <x v="6"/>
    <x v="1"/>
    <n v="2026"/>
  </r>
  <r>
    <s v="INT-01070"/>
    <x v="318"/>
    <x v="0"/>
    <x v="10"/>
    <x v="2"/>
    <s v="Customer 031"/>
    <s v="WhatsApp API"/>
    <s v="Outbound"/>
    <x v="3"/>
    <n v="1"/>
    <n v="38000"/>
    <n v="0"/>
    <m/>
    <x v="94"/>
    <m/>
    <x v="0"/>
    <x v="4"/>
    <x v="7"/>
    <n v="2026"/>
  </r>
  <r>
    <s v="INT-01071"/>
    <x v="117"/>
    <x v="0"/>
    <x v="10"/>
    <x v="4"/>
    <s v="Customer 371"/>
    <s v="WhatsApp API"/>
    <s v="Website"/>
    <x v="6"/>
    <n v="1"/>
    <n v="16900"/>
    <n v="0"/>
    <m/>
    <x v="101"/>
    <m/>
    <x v="0"/>
    <x v="8"/>
    <x v="10"/>
    <n v="2025"/>
  </r>
  <r>
    <s v="INT-01072"/>
    <x v="310"/>
    <x v="0"/>
    <x v="10"/>
    <x v="4"/>
    <s v="Customer 106"/>
    <s v="WhatsApp API"/>
    <s v="Inbound"/>
    <x v="0"/>
    <n v="1"/>
    <n v="66100"/>
    <n v="66100"/>
    <m/>
    <x v="196"/>
    <m/>
    <x v="0"/>
    <x v="0"/>
    <x v="4"/>
    <n v="2026"/>
  </r>
  <r>
    <s v="INT-01073"/>
    <x v="264"/>
    <x v="0"/>
    <x v="6"/>
    <x v="0"/>
    <s v="Customer 011"/>
    <s v="Analytics"/>
    <s v="Outbound"/>
    <x v="5"/>
    <n v="1"/>
    <n v="8400"/>
    <n v="0"/>
    <m/>
    <x v="38"/>
    <m/>
    <x v="0"/>
    <x v="7"/>
    <x v="11"/>
    <n v="2026"/>
  </r>
  <r>
    <s v="INT-01074"/>
    <x v="284"/>
    <x v="0"/>
    <x v="7"/>
    <x v="0"/>
    <s v="Customer 331"/>
    <s v="WhatsApp API"/>
    <s v="Website"/>
    <x v="0"/>
    <n v="1"/>
    <n v="12100"/>
    <n v="12100"/>
    <m/>
    <x v="93"/>
    <m/>
    <x v="0"/>
    <x v="0"/>
    <x v="5"/>
    <n v="2026"/>
  </r>
  <r>
    <s v="INT-01075"/>
    <x v="285"/>
    <x v="1"/>
    <x v="3"/>
    <x v="2"/>
    <s v="Customer 243"/>
    <s v="WhatsApp API"/>
    <m/>
    <x v="1"/>
    <n v="0"/>
    <n v="0"/>
    <n v="0"/>
    <n v="1"/>
    <x v="127"/>
    <n v="3.6"/>
    <x v="10"/>
    <x v="9"/>
    <x v="0"/>
    <n v="2026"/>
  </r>
  <r>
    <s v="INT-01076"/>
    <x v="192"/>
    <x v="0"/>
    <x v="7"/>
    <x v="0"/>
    <s v="Customer 534"/>
    <s v="Automation"/>
    <s v="Inbound"/>
    <x v="0"/>
    <n v="1"/>
    <n v="37400"/>
    <n v="37400"/>
    <m/>
    <x v="157"/>
    <m/>
    <x v="0"/>
    <x v="0"/>
    <x v="11"/>
    <n v="2026"/>
  </r>
  <r>
    <s v="INT-01077"/>
    <x v="27"/>
    <x v="0"/>
    <x v="0"/>
    <x v="4"/>
    <s v="Customer 326"/>
    <s v="Analytics"/>
    <s v="Referral"/>
    <x v="2"/>
    <n v="1"/>
    <n v="20700"/>
    <n v="0"/>
    <m/>
    <x v="55"/>
    <m/>
    <x v="0"/>
    <x v="3"/>
    <x v="11"/>
    <n v="2026"/>
  </r>
  <r>
    <s v="INT-01078"/>
    <x v="180"/>
    <x v="1"/>
    <x v="15"/>
    <x v="3"/>
    <s v="Customer 667"/>
    <s v="Analytics"/>
    <m/>
    <x v="1"/>
    <n v="0"/>
    <n v="0"/>
    <n v="0"/>
    <n v="1"/>
    <x v="91"/>
    <n v="20.5"/>
    <x v="26"/>
    <x v="1"/>
    <x v="1"/>
    <n v="2026"/>
  </r>
  <r>
    <s v="INT-01079"/>
    <x v="349"/>
    <x v="0"/>
    <x v="11"/>
    <x v="1"/>
    <s v="Customer 371"/>
    <s v="Analytics"/>
    <s v="Outbound"/>
    <x v="4"/>
    <n v="1"/>
    <n v="23600"/>
    <n v="0"/>
    <m/>
    <x v="30"/>
    <m/>
    <x v="0"/>
    <x v="6"/>
    <x v="8"/>
    <n v="2026"/>
  </r>
  <r>
    <s v="INT-01080"/>
    <x v="62"/>
    <x v="1"/>
    <x v="15"/>
    <x v="0"/>
    <s v="Customer 335"/>
    <s v="WhatsApp API"/>
    <m/>
    <x v="1"/>
    <n v="0"/>
    <n v="0"/>
    <n v="0"/>
    <n v="1"/>
    <x v="15"/>
    <n v="3.6"/>
    <x v="8"/>
    <x v="5"/>
    <x v="5"/>
    <n v="2026"/>
  </r>
  <r>
    <s v="INT-01081"/>
    <x v="88"/>
    <x v="1"/>
    <x v="15"/>
    <x v="1"/>
    <s v="Customer 487"/>
    <s v="Analytics"/>
    <m/>
    <x v="1"/>
    <n v="0"/>
    <n v="0"/>
    <n v="0"/>
    <n v="1"/>
    <x v="11"/>
    <n v="7.9"/>
    <x v="5"/>
    <x v="2"/>
    <x v="4"/>
    <n v="2026"/>
  </r>
  <r>
    <s v="INT-01082"/>
    <x v="176"/>
    <x v="0"/>
    <x v="10"/>
    <x v="2"/>
    <s v="Customer 644"/>
    <s v="Automation"/>
    <s v="Inbound"/>
    <x v="3"/>
    <n v="1"/>
    <n v="20700"/>
    <n v="0"/>
    <m/>
    <x v="227"/>
    <m/>
    <x v="0"/>
    <x v="4"/>
    <x v="3"/>
    <n v="2026"/>
  </r>
  <r>
    <s v="INT-01083"/>
    <x v="103"/>
    <x v="0"/>
    <x v="11"/>
    <x v="0"/>
    <s v="Customer 198"/>
    <s v="CRM"/>
    <s v="Inbound"/>
    <x v="3"/>
    <n v="1"/>
    <n v="72700"/>
    <n v="0"/>
    <m/>
    <x v="229"/>
    <m/>
    <x v="0"/>
    <x v="4"/>
    <x v="2"/>
    <n v="2025"/>
  </r>
  <r>
    <s v="INT-01084"/>
    <x v="0"/>
    <x v="1"/>
    <x v="1"/>
    <x v="0"/>
    <s v="Customer 512"/>
    <s v="Analytics"/>
    <m/>
    <x v="1"/>
    <n v="0"/>
    <n v="0"/>
    <n v="0"/>
    <n v="1"/>
    <x v="163"/>
    <n v="23"/>
    <x v="11"/>
    <x v="1"/>
    <x v="0"/>
    <n v="2026"/>
  </r>
  <r>
    <s v="INT-01085"/>
    <x v="335"/>
    <x v="1"/>
    <x v="12"/>
    <x v="3"/>
    <s v="Customer 041"/>
    <s v="CRM"/>
    <m/>
    <x v="1"/>
    <n v="0"/>
    <n v="0"/>
    <n v="0"/>
    <n v="1"/>
    <x v="104"/>
    <n v="3.5"/>
    <x v="9"/>
    <x v="2"/>
    <x v="10"/>
    <n v="2025"/>
  </r>
  <r>
    <s v="INT-01086"/>
    <x v="227"/>
    <x v="0"/>
    <x v="5"/>
    <x v="2"/>
    <s v="Customer 210"/>
    <s v="CRM"/>
    <s v="Partner"/>
    <x v="4"/>
    <n v="1"/>
    <n v="17200"/>
    <n v="0"/>
    <m/>
    <x v="126"/>
    <m/>
    <x v="0"/>
    <x v="6"/>
    <x v="4"/>
    <n v="2026"/>
  </r>
  <r>
    <s v="INT-01087"/>
    <x v="163"/>
    <x v="1"/>
    <x v="9"/>
    <x v="0"/>
    <s v="Customer 145"/>
    <s v="CRM"/>
    <m/>
    <x v="1"/>
    <n v="0"/>
    <n v="0"/>
    <n v="0"/>
    <n v="1"/>
    <x v="40"/>
    <n v="11.2"/>
    <x v="21"/>
    <x v="2"/>
    <x v="9"/>
    <n v="2025"/>
  </r>
  <r>
    <s v="INT-01088"/>
    <x v="276"/>
    <x v="0"/>
    <x v="5"/>
    <x v="0"/>
    <s v="Customer 625"/>
    <s v="Analytics"/>
    <s v="Outbound"/>
    <x v="5"/>
    <n v="1"/>
    <n v="63100"/>
    <n v="0"/>
    <m/>
    <x v="112"/>
    <m/>
    <x v="0"/>
    <x v="7"/>
    <x v="4"/>
    <n v="2026"/>
  </r>
  <r>
    <s v="INT-01089"/>
    <x v="98"/>
    <x v="1"/>
    <x v="3"/>
    <x v="0"/>
    <s v="Customer 670"/>
    <s v="Automation"/>
    <m/>
    <x v="1"/>
    <n v="0"/>
    <n v="0"/>
    <n v="0"/>
    <n v="1"/>
    <x v="210"/>
    <n v="3.7"/>
    <x v="1"/>
    <x v="5"/>
    <x v="4"/>
    <n v="2026"/>
  </r>
  <r>
    <s v="INT-01090"/>
    <x v="236"/>
    <x v="0"/>
    <x v="7"/>
    <x v="0"/>
    <s v="Customer 488"/>
    <s v="WhatsApp API"/>
    <s v="Referral"/>
    <x v="0"/>
    <n v="1"/>
    <n v="6900"/>
    <n v="6900"/>
    <m/>
    <x v="87"/>
    <m/>
    <x v="0"/>
    <x v="0"/>
    <x v="8"/>
    <n v="2026"/>
  </r>
  <r>
    <s v="INT-01091"/>
    <x v="332"/>
    <x v="1"/>
    <x v="14"/>
    <x v="2"/>
    <s v="Customer 142"/>
    <s v="CRM"/>
    <m/>
    <x v="1"/>
    <n v="0"/>
    <n v="0"/>
    <n v="0"/>
    <n v="1"/>
    <x v="49"/>
    <n v="10.3"/>
    <x v="4"/>
    <x v="2"/>
    <x v="4"/>
    <n v="2026"/>
  </r>
  <r>
    <s v="INT-01092"/>
    <x v="198"/>
    <x v="1"/>
    <x v="14"/>
    <x v="3"/>
    <s v="Customer 408"/>
    <s v="WhatsApp API"/>
    <m/>
    <x v="1"/>
    <n v="0"/>
    <n v="0"/>
    <n v="0"/>
    <n v="1"/>
    <x v="143"/>
    <n v="2.4"/>
    <x v="6"/>
    <x v="5"/>
    <x v="7"/>
    <n v="2026"/>
  </r>
  <r>
    <s v="INT-01093"/>
    <x v="192"/>
    <x v="1"/>
    <x v="8"/>
    <x v="1"/>
    <s v="Customer 336"/>
    <s v="CRM"/>
    <m/>
    <x v="1"/>
    <n v="0"/>
    <n v="0"/>
    <n v="0"/>
    <n v="1"/>
    <x v="70"/>
    <n v="2.2999999999999998"/>
    <x v="5"/>
    <x v="1"/>
    <x v="11"/>
    <n v="2026"/>
  </r>
  <r>
    <s v="INT-01094"/>
    <x v="44"/>
    <x v="0"/>
    <x v="13"/>
    <x v="4"/>
    <s v="Customer 109"/>
    <s v="Analytics"/>
    <s v="Inbound"/>
    <x v="2"/>
    <n v="1"/>
    <n v="17600"/>
    <n v="0"/>
    <m/>
    <x v="230"/>
    <m/>
    <x v="0"/>
    <x v="3"/>
    <x v="11"/>
    <n v="2026"/>
  </r>
  <r>
    <s v="INT-01095"/>
    <x v="35"/>
    <x v="0"/>
    <x v="10"/>
    <x v="1"/>
    <s v="Customer 449"/>
    <s v="Analytics"/>
    <s v="Outbound"/>
    <x v="0"/>
    <n v="1"/>
    <n v="23600"/>
    <n v="23600"/>
    <m/>
    <x v="134"/>
    <m/>
    <x v="0"/>
    <x v="0"/>
    <x v="8"/>
    <n v="2026"/>
  </r>
  <r>
    <s v="INT-01096"/>
    <x v="230"/>
    <x v="0"/>
    <x v="0"/>
    <x v="3"/>
    <s v="Customer 006"/>
    <s v="WhatsApp API"/>
    <s v="Outbound"/>
    <x v="6"/>
    <n v="1"/>
    <n v="9000"/>
    <n v="0"/>
    <m/>
    <x v="231"/>
    <m/>
    <x v="0"/>
    <x v="8"/>
    <x v="8"/>
    <n v="2026"/>
  </r>
  <r>
    <s v="INT-01097"/>
    <x v="346"/>
    <x v="0"/>
    <x v="0"/>
    <x v="3"/>
    <s v="Customer 625"/>
    <s v="CRM"/>
    <s v="Website"/>
    <x v="0"/>
    <n v="1"/>
    <n v="64100"/>
    <n v="64100"/>
    <m/>
    <x v="174"/>
    <m/>
    <x v="0"/>
    <x v="0"/>
    <x v="11"/>
    <n v="2026"/>
  </r>
  <r>
    <s v="INT-01098"/>
    <x v="197"/>
    <x v="0"/>
    <x v="11"/>
    <x v="0"/>
    <s v="Customer 287"/>
    <s v="CRM"/>
    <s v="Website"/>
    <x v="0"/>
    <n v="1"/>
    <n v="7000"/>
    <n v="7000"/>
    <m/>
    <x v="18"/>
    <m/>
    <x v="0"/>
    <x v="0"/>
    <x v="7"/>
    <n v="2026"/>
  </r>
  <r>
    <s v="INT-01099"/>
    <x v="226"/>
    <x v="1"/>
    <x v="2"/>
    <x v="2"/>
    <s v="Customer 676"/>
    <s v="WhatsApp API"/>
    <m/>
    <x v="1"/>
    <n v="0"/>
    <n v="0"/>
    <n v="0"/>
    <n v="1"/>
    <x v="199"/>
    <n v="7.4"/>
    <x v="18"/>
    <x v="2"/>
    <x v="0"/>
    <n v="2026"/>
  </r>
  <r>
    <s v="INT-01100"/>
    <x v="3"/>
    <x v="0"/>
    <x v="5"/>
    <x v="0"/>
    <s v="Customer 051"/>
    <s v="WhatsApp API"/>
    <s v="Referral"/>
    <x v="0"/>
    <n v="1"/>
    <n v="17500"/>
    <n v="17500"/>
    <m/>
    <x v="50"/>
    <m/>
    <x v="0"/>
    <x v="0"/>
    <x v="3"/>
    <n v="2026"/>
  </r>
  <r>
    <s v="INT-01101"/>
    <x v="174"/>
    <x v="0"/>
    <x v="6"/>
    <x v="2"/>
    <s v="Customer 234"/>
    <s v="WhatsApp API"/>
    <s v="Referral"/>
    <x v="5"/>
    <n v="1"/>
    <n v="18000"/>
    <n v="0"/>
    <m/>
    <x v="216"/>
    <m/>
    <x v="0"/>
    <x v="7"/>
    <x v="11"/>
    <n v="2026"/>
  </r>
  <r>
    <s v="INT-01102"/>
    <x v="236"/>
    <x v="1"/>
    <x v="2"/>
    <x v="0"/>
    <s v="Customer 152"/>
    <s v="CRM"/>
    <m/>
    <x v="1"/>
    <n v="0"/>
    <n v="0"/>
    <n v="0"/>
    <n v="1"/>
    <x v="49"/>
    <n v="8.6"/>
    <x v="4"/>
    <x v="9"/>
    <x v="8"/>
    <n v="2026"/>
  </r>
  <r>
    <s v="INT-01103"/>
    <x v="119"/>
    <x v="1"/>
    <x v="3"/>
    <x v="0"/>
    <s v="Customer 132"/>
    <s v="WhatsApp API"/>
    <m/>
    <x v="1"/>
    <n v="0"/>
    <n v="0"/>
    <n v="0"/>
    <n v="1"/>
    <x v="103"/>
    <n v="21"/>
    <x v="23"/>
    <x v="1"/>
    <x v="10"/>
    <n v="2025"/>
  </r>
  <r>
    <s v="INT-01104"/>
    <x v="274"/>
    <x v="1"/>
    <x v="1"/>
    <x v="3"/>
    <s v="Customer 340"/>
    <s v="WhatsApp API"/>
    <m/>
    <x v="1"/>
    <n v="0"/>
    <n v="0"/>
    <n v="0"/>
    <n v="1"/>
    <x v="134"/>
    <n v="9.4"/>
    <x v="19"/>
    <x v="1"/>
    <x v="9"/>
    <n v="2025"/>
  </r>
  <r>
    <s v="INT-01105"/>
    <x v="350"/>
    <x v="1"/>
    <x v="9"/>
    <x v="0"/>
    <s v="Customer 349"/>
    <s v="Analytics"/>
    <m/>
    <x v="1"/>
    <n v="0"/>
    <n v="0"/>
    <n v="0"/>
    <n v="1"/>
    <x v="210"/>
    <n v="12.2"/>
    <x v="10"/>
    <x v="2"/>
    <x v="2"/>
    <n v="2025"/>
  </r>
  <r>
    <s v="INT-01106"/>
    <x v="39"/>
    <x v="0"/>
    <x v="6"/>
    <x v="0"/>
    <s v="Customer 149"/>
    <s v="WhatsApp API"/>
    <s v="Outbound"/>
    <x v="3"/>
    <n v="1"/>
    <n v="14900"/>
    <n v="0"/>
    <m/>
    <x v="41"/>
    <m/>
    <x v="0"/>
    <x v="4"/>
    <x v="10"/>
    <n v="2025"/>
  </r>
  <r>
    <s v="INT-01107"/>
    <x v="231"/>
    <x v="0"/>
    <x v="5"/>
    <x v="4"/>
    <s v="Customer 156"/>
    <s v="CRM"/>
    <s v="Inbound"/>
    <x v="0"/>
    <n v="1"/>
    <n v="6800"/>
    <n v="6800"/>
    <m/>
    <x v="28"/>
    <m/>
    <x v="0"/>
    <x v="0"/>
    <x v="2"/>
    <n v="2025"/>
  </r>
  <r>
    <s v="INT-01108"/>
    <x v="292"/>
    <x v="1"/>
    <x v="9"/>
    <x v="4"/>
    <s v="Customer 307"/>
    <s v="WhatsApp API"/>
    <m/>
    <x v="1"/>
    <n v="0"/>
    <n v="0"/>
    <n v="0"/>
    <n v="1"/>
    <x v="148"/>
    <n v="26.7"/>
    <x v="6"/>
    <x v="2"/>
    <x v="9"/>
    <n v="2025"/>
  </r>
  <r>
    <s v="INT-01109"/>
    <x v="258"/>
    <x v="1"/>
    <x v="2"/>
    <x v="1"/>
    <s v="Customer 540"/>
    <s v="WhatsApp API"/>
    <m/>
    <x v="1"/>
    <n v="0"/>
    <n v="0"/>
    <n v="0"/>
    <n v="1"/>
    <x v="103"/>
    <n v="6.7"/>
    <x v="23"/>
    <x v="2"/>
    <x v="2"/>
    <n v="2025"/>
  </r>
  <r>
    <s v="INT-01110"/>
    <x v="187"/>
    <x v="0"/>
    <x v="4"/>
    <x v="0"/>
    <s v="Customer 678"/>
    <s v="Analytics"/>
    <s v="Partner"/>
    <x v="4"/>
    <n v="1"/>
    <n v="70000"/>
    <n v="0"/>
    <m/>
    <x v="70"/>
    <m/>
    <x v="0"/>
    <x v="6"/>
    <x v="5"/>
    <n v="2026"/>
  </r>
  <r>
    <s v="INT-01111"/>
    <x v="318"/>
    <x v="1"/>
    <x v="2"/>
    <x v="4"/>
    <s v="Customer 217"/>
    <s v="Automation"/>
    <m/>
    <x v="1"/>
    <n v="0"/>
    <n v="0"/>
    <n v="0"/>
    <n v="1"/>
    <x v="16"/>
    <n v="10.7"/>
    <x v="25"/>
    <x v="2"/>
    <x v="7"/>
    <n v="2026"/>
  </r>
  <r>
    <s v="INT-01112"/>
    <x v="289"/>
    <x v="0"/>
    <x v="13"/>
    <x v="1"/>
    <s v="Customer 155"/>
    <s v="Analytics"/>
    <s v="Inbound"/>
    <x v="6"/>
    <n v="1"/>
    <n v="10600"/>
    <n v="0"/>
    <m/>
    <x v="139"/>
    <m/>
    <x v="0"/>
    <x v="8"/>
    <x v="6"/>
    <n v="2025"/>
  </r>
  <r>
    <s v="INT-01113"/>
    <x v="37"/>
    <x v="0"/>
    <x v="11"/>
    <x v="0"/>
    <s v="Customer 291"/>
    <s v="Automation"/>
    <s v="Inbound"/>
    <x v="3"/>
    <n v="1"/>
    <n v="24800"/>
    <n v="0"/>
    <m/>
    <x v="8"/>
    <m/>
    <x v="0"/>
    <x v="4"/>
    <x v="6"/>
    <n v="2025"/>
  </r>
  <r>
    <s v="INT-01114"/>
    <x v="164"/>
    <x v="0"/>
    <x v="13"/>
    <x v="3"/>
    <s v="Customer 294"/>
    <s v="CRM"/>
    <s v="Website"/>
    <x v="5"/>
    <n v="1"/>
    <n v="12700"/>
    <n v="0"/>
    <m/>
    <x v="162"/>
    <m/>
    <x v="0"/>
    <x v="7"/>
    <x v="1"/>
    <n v="2026"/>
  </r>
  <r>
    <s v="INT-01115"/>
    <x v="20"/>
    <x v="1"/>
    <x v="2"/>
    <x v="3"/>
    <s v="Customer 066"/>
    <s v="CRM"/>
    <m/>
    <x v="1"/>
    <n v="0"/>
    <n v="0"/>
    <n v="0"/>
    <n v="1"/>
    <x v="161"/>
    <n v="4.3"/>
    <x v="25"/>
    <x v="1"/>
    <x v="3"/>
    <n v="2026"/>
  </r>
  <r>
    <s v="INT-01116"/>
    <x v="61"/>
    <x v="1"/>
    <x v="15"/>
    <x v="2"/>
    <s v="Customer 065"/>
    <s v="WhatsApp API"/>
    <m/>
    <x v="1"/>
    <n v="0"/>
    <n v="0"/>
    <n v="0"/>
    <n v="1"/>
    <x v="34"/>
    <n v="3.8"/>
    <x v="2"/>
    <x v="2"/>
    <x v="3"/>
    <n v="2026"/>
  </r>
  <r>
    <s v="INT-01117"/>
    <x v="348"/>
    <x v="0"/>
    <x v="5"/>
    <x v="0"/>
    <s v="Customer 561"/>
    <s v="WhatsApp API"/>
    <s v="Partner"/>
    <x v="0"/>
    <n v="1"/>
    <n v="24200"/>
    <n v="24200"/>
    <m/>
    <x v="157"/>
    <m/>
    <x v="0"/>
    <x v="0"/>
    <x v="3"/>
    <n v="2026"/>
  </r>
  <r>
    <s v="INT-01118"/>
    <x v="196"/>
    <x v="1"/>
    <x v="8"/>
    <x v="0"/>
    <s v="Customer 106"/>
    <s v="Analytics"/>
    <m/>
    <x v="1"/>
    <n v="0"/>
    <n v="0"/>
    <n v="0"/>
    <n v="1"/>
    <x v="22"/>
    <n v="31.7"/>
    <x v="12"/>
    <x v="2"/>
    <x v="4"/>
    <n v="2026"/>
  </r>
  <r>
    <s v="INT-01119"/>
    <x v="132"/>
    <x v="0"/>
    <x v="6"/>
    <x v="1"/>
    <s v="Customer 369"/>
    <s v="Automation"/>
    <s v="Inbound"/>
    <x v="3"/>
    <n v="1"/>
    <n v="43900"/>
    <n v="0"/>
    <m/>
    <x v="8"/>
    <m/>
    <x v="0"/>
    <x v="4"/>
    <x v="2"/>
    <n v="2025"/>
  </r>
  <r>
    <s v="INT-01120"/>
    <x v="75"/>
    <x v="0"/>
    <x v="0"/>
    <x v="1"/>
    <s v="Customer 302"/>
    <s v="CRM"/>
    <s v="Website"/>
    <x v="5"/>
    <n v="1"/>
    <n v="63100"/>
    <n v="0"/>
    <m/>
    <x v="113"/>
    <m/>
    <x v="0"/>
    <x v="7"/>
    <x v="9"/>
    <n v="2025"/>
  </r>
  <r>
    <s v="INT-01121"/>
    <x v="64"/>
    <x v="1"/>
    <x v="15"/>
    <x v="4"/>
    <s v="Customer 648"/>
    <s v="CRM"/>
    <m/>
    <x v="1"/>
    <n v="0"/>
    <n v="0"/>
    <n v="0"/>
    <n v="1"/>
    <x v="161"/>
    <n v="2.7"/>
    <x v="16"/>
    <x v="2"/>
    <x v="3"/>
    <n v="2026"/>
  </r>
  <r>
    <s v="INT-01122"/>
    <x v="195"/>
    <x v="1"/>
    <x v="8"/>
    <x v="1"/>
    <s v="Customer 212"/>
    <s v="Analytics"/>
    <m/>
    <x v="1"/>
    <n v="0"/>
    <n v="0"/>
    <n v="0"/>
    <n v="1"/>
    <x v="9"/>
    <n v="6.1"/>
    <x v="1"/>
    <x v="1"/>
    <x v="9"/>
    <n v="2025"/>
  </r>
  <r>
    <s v="INT-01123"/>
    <x v="334"/>
    <x v="1"/>
    <x v="8"/>
    <x v="0"/>
    <s v="Customer 591"/>
    <s v="Automation"/>
    <m/>
    <x v="1"/>
    <n v="0"/>
    <n v="0"/>
    <n v="0"/>
    <n v="1"/>
    <x v="106"/>
    <n v="5.6"/>
    <x v="10"/>
    <x v="1"/>
    <x v="5"/>
    <n v="2026"/>
  </r>
  <r>
    <s v="INT-01124"/>
    <x v="128"/>
    <x v="1"/>
    <x v="1"/>
    <x v="1"/>
    <s v="Customer 594"/>
    <s v="Automation"/>
    <m/>
    <x v="1"/>
    <n v="0"/>
    <n v="0"/>
    <n v="0"/>
    <n v="1"/>
    <x v="136"/>
    <n v="4.0999999999999996"/>
    <x v="8"/>
    <x v="2"/>
    <x v="11"/>
    <n v="2026"/>
  </r>
  <r>
    <s v="INT-01125"/>
    <x v="87"/>
    <x v="1"/>
    <x v="15"/>
    <x v="0"/>
    <s v="Customer 648"/>
    <s v="WhatsApp API"/>
    <m/>
    <x v="1"/>
    <n v="0"/>
    <n v="0"/>
    <n v="0"/>
    <n v="1"/>
    <x v="121"/>
    <n v="6.5"/>
    <x v="2"/>
    <x v="2"/>
    <x v="10"/>
    <n v="2025"/>
  </r>
  <r>
    <s v="INT-01126"/>
    <x v="3"/>
    <x v="1"/>
    <x v="1"/>
    <x v="2"/>
    <s v="Customer 285"/>
    <s v="CRM"/>
    <m/>
    <x v="1"/>
    <n v="0"/>
    <n v="0"/>
    <n v="0"/>
    <n v="1"/>
    <x v="34"/>
    <n v="5.5"/>
    <x v="5"/>
    <x v="5"/>
    <x v="3"/>
    <n v="2026"/>
  </r>
  <r>
    <s v="INT-01127"/>
    <x v="302"/>
    <x v="0"/>
    <x v="5"/>
    <x v="2"/>
    <s v="Customer 001"/>
    <s v="WhatsApp API"/>
    <s v="Outbound"/>
    <x v="2"/>
    <n v="1"/>
    <n v="6900"/>
    <n v="0"/>
    <m/>
    <x v="81"/>
    <m/>
    <x v="0"/>
    <x v="3"/>
    <x v="2"/>
    <n v="2025"/>
  </r>
  <r>
    <s v="INT-01128"/>
    <x v="20"/>
    <x v="0"/>
    <x v="11"/>
    <x v="2"/>
    <s v="Customer 215"/>
    <s v="CRM"/>
    <s v="Website"/>
    <x v="2"/>
    <n v="1"/>
    <n v="44500"/>
    <n v="0"/>
    <m/>
    <x v="232"/>
    <m/>
    <x v="0"/>
    <x v="3"/>
    <x v="3"/>
    <n v="2026"/>
  </r>
  <r>
    <s v="INT-01129"/>
    <x v="342"/>
    <x v="0"/>
    <x v="4"/>
    <x v="0"/>
    <s v="Customer 530"/>
    <s v="Automation"/>
    <s v="Outbound"/>
    <x v="4"/>
    <n v="1"/>
    <n v="28500"/>
    <n v="0"/>
    <m/>
    <x v="30"/>
    <m/>
    <x v="0"/>
    <x v="6"/>
    <x v="1"/>
    <n v="2026"/>
  </r>
  <r>
    <s v="INT-01130"/>
    <x v="66"/>
    <x v="0"/>
    <x v="5"/>
    <x v="0"/>
    <s v="Customer 230"/>
    <s v="Automation"/>
    <s v="Website"/>
    <x v="3"/>
    <n v="1"/>
    <n v="8300"/>
    <n v="0"/>
    <m/>
    <x v="211"/>
    <m/>
    <x v="0"/>
    <x v="4"/>
    <x v="9"/>
    <n v="2025"/>
  </r>
  <r>
    <s v="INT-01131"/>
    <x v="240"/>
    <x v="1"/>
    <x v="1"/>
    <x v="0"/>
    <s v="Customer 378"/>
    <s v="WhatsApp API"/>
    <m/>
    <x v="1"/>
    <n v="0"/>
    <n v="0"/>
    <n v="0"/>
    <n v="1"/>
    <x v="24"/>
    <n v="8"/>
    <x v="5"/>
    <x v="2"/>
    <x v="11"/>
    <n v="2026"/>
  </r>
  <r>
    <s v="INT-01132"/>
    <x v="266"/>
    <x v="0"/>
    <x v="10"/>
    <x v="4"/>
    <s v="Customer 251"/>
    <s v="WhatsApp API"/>
    <s v="Outbound"/>
    <x v="2"/>
    <n v="1"/>
    <n v="17600"/>
    <n v="0"/>
    <m/>
    <x v="107"/>
    <m/>
    <x v="0"/>
    <x v="3"/>
    <x v="4"/>
    <n v="2026"/>
  </r>
  <r>
    <s v="INT-01133"/>
    <x v="268"/>
    <x v="0"/>
    <x v="6"/>
    <x v="4"/>
    <s v="Customer 319"/>
    <s v="Analytics"/>
    <s v="Outbound"/>
    <x v="3"/>
    <n v="1"/>
    <n v="26600"/>
    <n v="0"/>
    <m/>
    <x v="40"/>
    <m/>
    <x v="0"/>
    <x v="4"/>
    <x v="11"/>
    <n v="2026"/>
  </r>
  <r>
    <s v="INT-01134"/>
    <x v="237"/>
    <x v="0"/>
    <x v="0"/>
    <x v="3"/>
    <s v="Customer 209"/>
    <s v="Automation"/>
    <s v="Referral"/>
    <x v="2"/>
    <n v="1"/>
    <n v="14200"/>
    <n v="0"/>
    <m/>
    <x v="137"/>
    <m/>
    <x v="0"/>
    <x v="3"/>
    <x v="6"/>
    <n v="2025"/>
  </r>
  <r>
    <s v="INT-01135"/>
    <x v="192"/>
    <x v="1"/>
    <x v="12"/>
    <x v="4"/>
    <s v="Customer 551"/>
    <s v="WhatsApp API"/>
    <m/>
    <x v="1"/>
    <n v="0"/>
    <n v="0"/>
    <n v="0"/>
    <n v="1"/>
    <x v="201"/>
    <n v="6.6"/>
    <x v="5"/>
    <x v="2"/>
    <x v="11"/>
    <n v="2026"/>
  </r>
  <r>
    <s v="INT-01136"/>
    <x v="82"/>
    <x v="0"/>
    <x v="10"/>
    <x v="4"/>
    <s v="Customer 167"/>
    <s v="WhatsApp API"/>
    <s v="Outbound"/>
    <x v="6"/>
    <n v="1"/>
    <n v="11300"/>
    <n v="0"/>
    <m/>
    <x v="166"/>
    <m/>
    <x v="0"/>
    <x v="8"/>
    <x v="0"/>
    <n v="2026"/>
  </r>
  <r>
    <s v="INT-01137"/>
    <x v="87"/>
    <x v="1"/>
    <x v="2"/>
    <x v="0"/>
    <s v="Customer 522"/>
    <s v="Automation"/>
    <m/>
    <x v="1"/>
    <n v="0"/>
    <n v="0"/>
    <n v="0"/>
    <n v="1"/>
    <x v="16"/>
    <n v="8.9"/>
    <x v="1"/>
    <x v="1"/>
    <x v="10"/>
    <n v="2025"/>
  </r>
  <r>
    <s v="INT-01138"/>
    <x v="351"/>
    <x v="0"/>
    <x v="5"/>
    <x v="2"/>
    <s v="Customer 372"/>
    <s v="Automation"/>
    <s v="Referral"/>
    <x v="2"/>
    <n v="1"/>
    <n v="29000"/>
    <n v="0"/>
    <m/>
    <x v="118"/>
    <m/>
    <x v="0"/>
    <x v="3"/>
    <x v="11"/>
    <n v="2026"/>
  </r>
  <r>
    <s v="INT-01139"/>
    <x v="223"/>
    <x v="0"/>
    <x v="11"/>
    <x v="0"/>
    <s v="Customer 056"/>
    <s v="Automation"/>
    <s v="Website"/>
    <x v="6"/>
    <n v="1"/>
    <n v="52700"/>
    <n v="0"/>
    <m/>
    <x v="200"/>
    <m/>
    <x v="0"/>
    <x v="8"/>
    <x v="0"/>
    <n v="2026"/>
  </r>
  <r>
    <s v="INT-01140"/>
    <x v="76"/>
    <x v="1"/>
    <x v="9"/>
    <x v="4"/>
    <s v="Customer 157"/>
    <s v="Analytics"/>
    <m/>
    <x v="1"/>
    <n v="0"/>
    <n v="0"/>
    <n v="0"/>
    <n v="1"/>
    <x v="118"/>
    <n v="4.0999999999999996"/>
    <x v="18"/>
    <x v="1"/>
    <x v="4"/>
    <n v="2026"/>
  </r>
  <r>
    <s v="INT-01141"/>
    <x v="40"/>
    <x v="1"/>
    <x v="14"/>
    <x v="0"/>
    <s v="Customer 590"/>
    <s v="Analytics"/>
    <m/>
    <x v="1"/>
    <n v="0"/>
    <n v="0"/>
    <n v="0"/>
    <n v="1"/>
    <x v="139"/>
    <n v="12"/>
    <x v="19"/>
    <x v="2"/>
    <x v="11"/>
    <n v="2026"/>
  </r>
  <r>
    <s v="INT-01142"/>
    <x v="140"/>
    <x v="0"/>
    <x v="0"/>
    <x v="1"/>
    <s v="Customer 174"/>
    <s v="CRM"/>
    <s v="Inbound"/>
    <x v="2"/>
    <n v="1"/>
    <n v="23900"/>
    <n v="0"/>
    <m/>
    <x v="132"/>
    <m/>
    <x v="0"/>
    <x v="3"/>
    <x v="0"/>
    <n v="2026"/>
  </r>
  <r>
    <s v="INT-01143"/>
    <x v="303"/>
    <x v="1"/>
    <x v="1"/>
    <x v="0"/>
    <s v="Customer 583"/>
    <s v="Automation"/>
    <m/>
    <x v="1"/>
    <n v="0"/>
    <n v="0"/>
    <n v="0"/>
    <n v="1"/>
    <x v="168"/>
    <n v="20.9"/>
    <x v="11"/>
    <x v="5"/>
    <x v="8"/>
    <n v="2026"/>
  </r>
  <r>
    <s v="INT-01144"/>
    <x v="312"/>
    <x v="1"/>
    <x v="14"/>
    <x v="0"/>
    <s v="Customer 378"/>
    <s v="CRM"/>
    <m/>
    <x v="1"/>
    <n v="0"/>
    <n v="0"/>
    <n v="0"/>
    <n v="1"/>
    <x v="100"/>
    <n v="24.6"/>
    <x v="6"/>
    <x v="1"/>
    <x v="6"/>
    <n v="2025"/>
  </r>
  <r>
    <s v="INT-01145"/>
    <x v="105"/>
    <x v="0"/>
    <x v="13"/>
    <x v="0"/>
    <s v="Customer 034"/>
    <s v="Analytics"/>
    <s v="Outbound"/>
    <x v="5"/>
    <n v="1"/>
    <n v="33000"/>
    <n v="0"/>
    <m/>
    <x v="30"/>
    <m/>
    <x v="0"/>
    <x v="7"/>
    <x v="9"/>
    <n v="2025"/>
  </r>
  <r>
    <s v="INT-01146"/>
    <x v="274"/>
    <x v="1"/>
    <x v="12"/>
    <x v="2"/>
    <s v="Customer 026"/>
    <s v="CRM"/>
    <m/>
    <x v="1"/>
    <n v="0"/>
    <n v="0"/>
    <n v="0"/>
    <n v="1"/>
    <x v="80"/>
    <n v="3.7"/>
    <x v="30"/>
    <x v="2"/>
    <x v="9"/>
    <n v="2025"/>
  </r>
  <r>
    <s v="INT-01147"/>
    <x v="167"/>
    <x v="1"/>
    <x v="14"/>
    <x v="0"/>
    <s v="Customer 196"/>
    <s v="Analytics"/>
    <m/>
    <x v="1"/>
    <n v="0"/>
    <n v="0"/>
    <n v="0"/>
    <n v="1"/>
    <x v="1"/>
    <n v="10.199999999999999"/>
    <x v="8"/>
    <x v="2"/>
    <x v="5"/>
    <n v="2026"/>
  </r>
  <r>
    <s v="INT-01148"/>
    <x v="330"/>
    <x v="1"/>
    <x v="3"/>
    <x v="4"/>
    <s v="Customer 527"/>
    <s v="Analytics"/>
    <m/>
    <x v="1"/>
    <n v="0"/>
    <n v="0"/>
    <n v="0"/>
    <n v="1"/>
    <x v="41"/>
    <n v="5.2"/>
    <x v="17"/>
    <x v="1"/>
    <x v="10"/>
    <n v="2025"/>
  </r>
  <r>
    <s v="INT-01149"/>
    <x v="159"/>
    <x v="1"/>
    <x v="8"/>
    <x v="1"/>
    <s v="Customer 042"/>
    <s v="WhatsApp API"/>
    <m/>
    <x v="1"/>
    <n v="0"/>
    <n v="0"/>
    <n v="0"/>
    <n v="1"/>
    <x v="103"/>
    <n v="8.1"/>
    <x v="4"/>
    <x v="5"/>
    <x v="9"/>
    <n v="2025"/>
  </r>
  <r>
    <s v="INT-01150"/>
    <x v="69"/>
    <x v="1"/>
    <x v="1"/>
    <x v="0"/>
    <s v="Customer 039"/>
    <s v="Automation"/>
    <m/>
    <x v="1"/>
    <n v="0"/>
    <n v="0"/>
    <n v="0"/>
    <n v="1"/>
    <x v="154"/>
    <n v="8.6"/>
    <x v="9"/>
    <x v="9"/>
    <x v="5"/>
    <n v="2026"/>
  </r>
  <r>
    <s v="INT-01151"/>
    <x v="321"/>
    <x v="1"/>
    <x v="15"/>
    <x v="4"/>
    <s v="Customer 542"/>
    <s v="Analytics"/>
    <m/>
    <x v="1"/>
    <n v="0"/>
    <n v="0"/>
    <n v="0"/>
    <n v="1"/>
    <x v="135"/>
    <n v="16"/>
    <x v="5"/>
    <x v="2"/>
    <x v="9"/>
    <n v="2025"/>
  </r>
  <r>
    <s v="INT-01152"/>
    <x v="210"/>
    <x v="1"/>
    <x v="2"/>
    <x v="1"/>
    <s v="Customer 091"/>
    <s v="WhatsApp API"/>
    <m/>
    <x v="1"/>
    <n v="0"/>
    <n v="0"/>
    <n v="0"/>
    <n v="1"/>
    <x v="174"/>
    <n v="2"/>
    <x v="1"/>
    <x v="1"/>
    <x v="2"/>
    <n v="2025"/>
  </r>
  <r>
    <s v="INT-01153"/>
    <x v="129"/>
    <x v="1"/>
    <x v="14"/>
    <x v="1"/>
    <s v="Customer 241"/>
    <s v="CRM"/>
    <m/>
    <x v="1"/>
    <n v="0"/>
    <n v="0"/>
    <n v="0"/>
    <n v="1"/>
    <x v="3"/>
    <n v="5.8"/>
    <x v="26"/>
    <x v="1"/>
    <x v="5"/>
    <n v="2026"/>
  </r>
  <r>
    <s v="INT-01154"/>
    <x v="120"/>
    <x v="1"/>
    <x v="8"/>
    <x v="2"/>
    <s v="Customer 484"/>
    <s v="WhatsApp API"/>
    <m/>
    <x v="1"/>
    <n v="0"/>
    <n v="0"/>
    <n v="0"/>
    <n v="1"/>
    <x v="182"/>
    <n v="8.3000000000000007"/>
    <x v="4"/>
    <x v="1"/>
    <x v="7"/>
    <n v="2026"/>
  </r>
  <r>
    <s v="INT-01155"/>
    <x v="187"/>
    <x v="1"/>
    <x v="2"/>
    <x v="3"/>
    <s v="Customer 086"/>
    <s v="Analytics"/>
    <m/>
    <x v="1"/>
    <n v="0"/>
    <n v="0"/>
    <n v="0"/>
    <n v="1"/>
    <x v="139"/>
    <n v="4.4000000000000004"/>
    <x v="5"/>
    <x v="2"/>
    <x v="5"/>
    <n v="2026"/>
  </r>
  <r>
    <s v="INT-01156"/>
    <x v="287"/>
    <x v="1"/>
    <x v="2"/>
    <x v="0"/>
    <s v="Customer 420"/>
    <s v="CRM"/>
    <m/>
    <x v="1"/>
    <n v="0"/>
    <n v="0"/>
    <n v="0"/>
    <n v="1"/>
    <x v="23"/>
    <n v="6.5"/>
    <x v="22"/>
    <x v="2"/>
    <x v="7"/>
    <n v="2026"/>
  </r>
  <r>
    <s v="INT-01157"/>
    <x v="146"/>
    <x v="0"/>
    <x v="11"/>
    <x v="0"/>
    <s v="Customer 464"/>
    <s v="Automation"/>
    <s v="Inbound"/>
    <x v="3"/>
    <n v="1"/>
    <n v="30600"/>
    <n v="0"/>
    <m/>
    <x v="207"/>
    <m/>
    <x v="0"/>
    <x v="4"/>
    <x v="9"/>
    <n v="2025"/>
  </r>
  <r>
    <s v="INT-01158"/>
    <x v="185"/>
    <x v="1"/>
    <x v="2"/>
    <x v="0"/>
    <s v="Customer 118"/>
    <s v="WhatsApp API"/>
    <m/>
    <x v="1"/>
    <n v="0"/>
    <n v="0"/>
    <n v="0"/>
    <n v="1"/>
    <x v="177"/>
    <n v="5.4"/>
    <x v="8"/>
    <x v="2"/>
    <x v="4"/>
    <n v="2026"/>
  </r>
  <r>
    <s v="INT-01159"/>
    <x v="242"/>
    <x v="1"/>
    <x v="15"/>
    <x v="0"/>
    <s v="Customer 313"/>
    <s v="WhatsApp API"/>
    <m/>
    <x v="1"/>
    <n v="0"/>
    <n v="0"/>
    <n v="0"/>
    <n v="1"/>
    <x v="29"/>
    <n v="4.9000000000000004"/>
    <x v="1"/>
    <x v="2"/>
    <x v="8"/>
    <n v="2026"/>
  </r>
  <r>
    <s v="INT-01160"/>
    <x v="142"/>
    <x v="0"/>
    <x v="11"/>
    <x v="0"/>
    <s v="Customer 236"/>
    <s v="WhatsApp API"/>
    <s v="Partner"/>
    <x v="0"/>
    <n v="1"/>
    <n v="20400"/>
    <n v="20400"/>
    <m/>
    <x v="77"/>
    <m/>
    <x v="0"/>
    <x v="0"/>
    <x v="7"/>
    <n v="2026"/>
  </r>
  <r>
    <s v="INT-01161"/>
    <x v="326"/>
    <x v="1"/>
    <x v="1"/>
    <x v="0"/>
    <s v="Customer 420"/>
    <s v="Analytics"/>
    <m/>
    <x v="1"/>
    <n v="0"/>
    <n v="0"/>
    <n v="0"/>
    <n v="1"/>
    <x v="59"/>
    <n v="2.2999999999999998"/>
    <x v="17"/>
    <x v="2"/>
    <x v="1"/>
    <n v="2026"/>
  </r>
  <r>
    <s v="INT-01162"/>
    <x v="202"/>
    <x v="0"/>
    <x v="4"/>
    <x v="4"/>
    <s v="Customer 040"/>
    <s v="Analytics"/>
    <s v="Inbound"/>
    <x v="6"/>
    <n v="1"/>
    <n v="11700"/>
    <n v="0"/>
    <m/>
    <x v="203"/>
    <m/>
    <x v="0"/>
    <x v="8"/>
    <x v="5"/>
    <n v="2026"/>
  </r>
  <r>
    <s v="INT-01163"/>
    <x v="276"/>
    <x v="0"/>
    <x v="4"/>
    <x v="0"/>
    <s v="Customer 025"/>
    <s v="Automation"/>
    <s v="Outbound"/>
    <x v="6"/>
    <n v="1"/>
    <n v="45500"/>
    <n v="0"/>
    <m/>
    <x v="176"/>
    <m/>
    <x v="0"/>
    <x v="8"/>
    <x v="4"/>
    <n v="2026"/>
  </r>
  <r>
    <s v="INT-01164"/>
    <x v="174"/>
    <x v="1"/>
    <x v="12"/>
    <x v="1"/>
    <s v="Customer 532"/>
    <s v="CRM"/>
    <m/>
    <x v="1"/>
    <n v="0"/>
    <n v="0"/>
    <n v="0"/>
    <n v="1"/>
    <x v="25"/>
    <n v="7.1"/>
    <x v="14"/>
    <x v="1"/>
    <x v="11"/>
    <n v="2026"/>
  </r>
  <r>
    <s v="INT-01165"/>
    <x v="310"/>
    <x v="0"/>
    <x v="11"/>
    <x v="0"/>
    <s v="Customer 113"/>
    <s v="CRM"/>
    <s v="Inbound"/>
    <x v="3"/>
    <n v="1"/>
    <n v="31600"/>
    <n v="0"/>
    <m/>
    <x v="97"/>
    <m/>
    <x v="0"/>
    <x v="4"/>
    <x v="4"/>
    <n v="2026"/>
  </r>
  <r>
    <s v="INT-01166"/>
    <x v="117"/>
    <x v="1"/>
    <x v="1"/>
    <x v="4"/>
    <s v="Customer 657"/>
    <s v="Automation"/>
    <m/>
    <x v="1"/>
    <n v="0"/>
    <n v="0"/>
    <n v="0"/>
    <n v="1"/>
    <x v="101"/>
    <n v="5.6"/>
    <x v="4"/>
    <x v="2"/>
    <x v="10"/>
    <n v="2025"/>
  </r>
  <r>
    <s v="INT-01167"/>
    <x v="87"/>
    <x v="1"/>
    <x v="3"/>
    <x v="0"/>
    <s v="Customer 506"/>
    <s v="Automation"/>
    <m/>
    <x v="1"/>
    <n v="0"/>
    <n v="0"/>
    <n v="0"/>
    <n v="1"/>
    <x v="112"/>
    <n v="10.199999999999999"/>
    <x v="20"/>
    <x v="5"/>
    <x v="10"/>
    <n v="2025"/>
  </r>
  <r>
    <s v="INT-01168"/>
    <x v="253"/>
    <x v="0"/>
    <x v="11"/>
    <x v="0"/>
    <s v="Customer 162"/>
    <s v="CRM"/>
    <s v="Inbound"/>
    <x v="2"/>
    <n v="1"/>
    <n v="15500"/>
    <n v="0"/>
    <m/>
    <x v="169"/>
    <m/>
    <x v="0"/>
    <x v="3"/>
    <x v="3"/>
    <n v="2026"/>
  </r>
  <r>
    <s v="INT-01169"/>
    <x v="213"/>
    <x v="0"/>
    <x v="13"/>
    <x v="0"/>
    <s v="Customer 116"/>
    <s v="Analytics"/>
    <s v="Website"/>
    <x v="2"/>
    <n v="1"/>
    <n v="31700"/>
    <n v="0"/>
    <m/>
    <x v="196"/>
    <m/>
    <x v="0"/>
    <x v="3"/>
    <x v="8"/>
    <n v="2026"/>
  </r>
  <r>
    <s v="INT-01170"/>
    <x v="134"/>
    <x v="0"/>
    <x v="0"/>
    <x v="0"/>
    <s v="Customer 533"/>
    <s v="CRM"/>
    <s v="Website"/>
    <x v="5"/>
    <n v="1"/>
    <n v="64100"/>
    <n v="0"/>
    <m/>
    <x v="110"/>
    <m/>
    <x v="0"/>
    <x v="7"/>
    <x v="8"/>
    <n v="2026"/>
  </r>
  <r>
    <s v="INT-01171"/>
    <x v="18"/>
    <x v="1"/>
    <x v="3"/>
    <x v="1"/>
    <s v="Customer 388"/>
    <s v="CRM"/>
    <m/>
    <x v="1"/>
    <n v="0"/>
    <n v="0"/>
    <n v="0"/>
    <n v="1"/>
    <x v="16"/>
    <n v="7.6"/>
    <x v="5"/>
    <x v="1"/>
    <x v="4"/>
    <n v="2026"/>
  </r>
  <r>
    <s v="INT-01172"/>
    <x v="106"/>
    <x v="1"/>
    <x v="9"/>
    <x v="3"/>
    <s v="Customer 365"/>
    <s v="CRM"/>
    <m/>
    <x v="1"/>
    <n v="0"/>
    <n v="0"/>
    <n v="0"/>
    <n v="1"/>
    <x v="1"/>
    <n v="2.7"/>
    <x v="18"/>
    <x v="5"/>
    <x v="3"/>
    <n v="2026"/>
  </r>
  <r>
    <s v="INT-01173"/>
    <x v="64"/>
    <x v="1"/>
    <x v="9"/>
    <x v="2"/>
    <s v="Customer 155"/>
    <s v="Analytics"/>
    <m/>
    <x v="1"/>
    <n v="0"/>
    <n v="0"/>
    <n v="0"/>
    <n v="1"/>
    <x v="147"/>
    <n v="9.1"/>
    <x v="1"/>
    <x v="2"/>
    <x v="3"/>
    <n v="2026"/>
  </r>
  <r>
    <s v="INT-01174"/>
    <x v="140"/>
    <x v="0"/>
    <x v="13"/>
    <x v="2"/>
    <s v="Customer 318"/>
    <s v="Automation"/>
    <s v="Referral"/>
    <x v="0"/>
    <n v="1"/>
    <n v="41100"/>
    <n v="41100"/>
    <m/>
    <x v="52"/>
    <m/>
    <x v="0"/>
    <x v="0"/>
    <x v="0"/>
    <n v="2026"/>
  </r>
  <r>
    <s v="INT-01175"/>
    <x v="135"/>
    <x v="1"/>
    <x v="3"/>
    <x v="0"/>
    <s v="Customer 329"/>
    <s v="Automation"/>
    <m/>
    <x v="1"/>
    <n v="0"/>
    <n v="0"/>
    <n v="0"/>
    <n v="1"/>
    <x v="43"/>
    <n v="10.8"/>
    <x v="19"/>
    <x v="2"/>
    <x v="7"/>
    <n v="2026"/>
  </r>
  <r>
    <s v="INT-01176"/>
    <x v="143"/>
    <x v="0"/>
    <x v="4"/>
    <x v="0"/>
    <s v="Customer 196"/>
    <s v="WhatsApp API"/>
    <s v="Inbound"/>
    <x v="2"/>
    <n v="1"/>
    <n v="71200"/>
    <n v="0"/>
    <m/>
    <x v="81"/>
    <m/>
    <x v="0"/>
    <x v="3"/>
    <x v="9"/>
    <n v="2025"/>
  </r>
  <r>
    <s v="INT-01177"/>
    <x v="213"/>
    <x v="1"/>
    <x v="8"/>
    <x v="4"/>
    <s v="Customer 541"/>
    <s v="CRM"/>
    <m/>
    <x v="1"/>
    <n v="0"/>
    <n v="0"/>
    <n v="0"/>
    <n v="1"/>
    <x v="135"/>
    <n v="4.4000000000000004"/>
    <x v="26"/>
    <x v="2"/>
    <x v="8"/>
    <n v="2026"/>
  </r>
  <r>
    <s v="INT-01178"/>
    <x v="155"/>
    <x v="0"/>
    <x v="4"/>
    <x v="0"/>
    <s v="Customer 424"/>
    <s v="Automation"/>
    <s v="Inbound"/>
    <x v="6"/>
    <n v="1"/>
    <n v="26100"/>
    <n v="0"/>
    <m/>
    <x v="199"/>
    <m/>
    <x v="0"/>
    <x v="8"/>
    <x v="7"/>
    <n v="2026"/>
  </r>
  <r>
    <s v="INT-01179"/>
    <x v="32"/>
    <x v="1"/>
    <x v="9"/>
    <x v="0"/>
    <s v="Customer 165"/>
    <s v="CRM"/>
    <m/>
    <x v="1"/>
    <n v="0"/>
    <n v="0"/>
    <n v="0"/>
    <n v="1"/>
    <x v="168"/>
    <n v="18.3"/>
    <x v="9"/>
    <x v="1"/>
    <x v="2"/>
    <n v="2025"/>
  </r>
  <r>
    <s v="INT-01180"/>
    <x v="192"/>
    <x v="0"/>
    <x v="11"/>
    <x v="4"/>
    <s v="Customer 666"/>
    <s v="Automation"/>
    <s v="Referral"/>
    <x v="3"/>
    <n v="1"/>
    <n v="18800"/>
    <n v="0"/>
    <m/>
    <x v="64"/>
    <m/>
    <x v="0"/>
    <x v="4"/>
    <x v="11"/>
    <n v="2026"/>
  </r>
  <r>
    <s v="INT-01181"/>
    <x v="316"/>
    <x v="1"/>
    <x v="14"/>
    <x v="4"/>
    <s v="Customer 657"/>
    <s v="WhatsApp API"/>
    <m/>
    <x v="1"/>
    <n v="0"/>
    <n v="0"/>
    <n v="0"/>
    <n v="1"/>
    <x v="12"/>
    <n v="2.8"/>
    <x v="5"/>
    <x v="2"/>
    <x v="8"/>
    <n v="2026"/>
  </r>
  <r>
    <s v="INT-01182"/>
    <x v="106"/>
    <x v="0"/>
    <x v="5"/>
    <x v="0"/>
    <s v="Customer 319"/>
    <s v="Analytics"/>
    <s v="Inbound"/>
    <x v="5"/>
    <n v="1"/>
    <n v="29300"/>
    <n v="0"/>
    <m/>
    <x v="40"/>
    <m/>
    <x v="0"/>
    <x v="7"/>
    <x v="3"/>
    <n v="2026"/>
  </r>
  <r>
    <s v="INT-01183"/>
    <x v="206"/>
    <x v="1"/>
    <x v="14"/>
    <x v="4"/>
    <s v="Customer 070"/>
    <s v="Automation"/>
    <m/>
    <x v="1"/>
    <n v="0"/>
    <n v="0"/>
    <n v="0"/>
    <n v="1"/>
    <x v="36"/>
    <n v="7.6"/>
    <x v="5"/>
    <x v="5"/>
    <x v="7"/>
    <n v="2026"/>
  </r>
  <r>
    <s v="INT-01184"/>
    <x v="348"/>
    <x v="1"/>
    <x v="2"/>
    <x v="0"/>
    <s v="Customer 570"/>
    <s v="CRM"/>
    <m/>
    <x v="1"/>
    <n v="0"/>
    <n v="0"/>
    <n v="0"/>
    <n v="1"/>
    <x v="75"/>
    <n v="4.7"/>
    <x v="13"/>
    <x v="2"/>
    <x v="3"/>
    <n v="2026"/>
  </r>
  <r>
    <s v="INT-01185"/>
    <x v="93"/>
    <x v="0"/>
    <x v="0"/>
    <x v="0"/>
    <s v="Customer 647"/>
    <s v="CRM"/>
    <s v="Website"/>
    <x v="6"/>
    <n v="1"/>
    <n v="16000"/>
    <n v="0"/>
    <m/>
    <x v="55"/>
    <m/>
    <x v="0"/>
    <x v="8"/>
    <x v="7"/>
    <n v="2026"/>
  </r>
  <r>
    <s v="INT-01186"/>
    <x v="171"/>
    <x v="1"/>
    <x v="9"/>
    <x v="0"/>
    <s v="Customer 600"/>
    <s v="WhatsApp API"/>
    <m/>
    <x v="1"/>
    <n v="0"/>
    <n v="0"/>
    <n v="0"/>
    <n v="1"/>
    <x v="121"/>
    <n v="11.9"/>
    <x v="7"/>
    <x v="2"/>
    <x v="10"/>
    <n v="2025"/>
  </r>
  <r>
    <s v="INT-01187"/>
    <x v="193"/>
    <x v="1"/>
    <x v="15"/>
    <x v="4"/>
    <s v="Customer 263"/>
    <s v="Automation"/>
    <m/>
    <x v="1"/>
    <n v="0"/>
    <n v="0"/>
    <n v="0"/>
    <n v="1"/>
    <x v="27"/>
    <n v="7.7"/>
    <x v="12"/>
    <x v="2"/>
    <x v="9"/>
    <n v="2025"/>
  </r>
  <r>
    <s v="INT-01188"/>
    <x v="177"/>
    <x v="0"/>
    <x v="0"/>
    <x v="1"/>
    <s v="Customer 376"/>
    <s v="Analytics"/>
    <s v="Outbound"/>
    <x v="0"/>
    <n v="1"/>
    <n v="27000"/>
    <n v="27000"/>
    <m/>
    <x v="172"/>
    <m/>
    <x v="0"/>
    <x v="0"/>
    <x v="1"/>
    <n v="2026"/>
  </r>
  <r>
    <s v="INT-01189"/>
    <x v="202"/>
    <x v="0"/>
    <x v="11"/>
    <x v="1"/>
    <s v="Customer 048"/>
    <s v="Automation"/>
    <s v="Inbound"/>
    <x v="0"/>
    <n v="1"/>
    <n v="43200"/>
    <n v="43200"/>
    <m/>
    <x v="48"/>
    <m/>
    <x v="0"/>
    <x v="0"/>
    <x v="5"/>
    <n v="2026"/>
  </r>
  <r>
    <s v="INT-01190"/>
    <x v="108"/>
    <x v="1"/>
    <x v="14"/>
    <x v="0"/>
    <s v="Customer 222"/>
    <s v="Automation"/>
    <m/>
    <x v="1"/>
    <n v="0"/>
    <n v="0"/>
    <n v="0"/>
    <n v="1"/>
    <x v="119"/>
    <n v="5.6"/>
    <x v="8"/>
    <x v="5"/>
    <x v="9"/>
    <n v="2025"/>
  </r>
  <r>
    <s v="INT-01191"/>
    <x v="309"/>
    <x v="0"/>
    <x v="5"/>
    <x v="2"/>
    <s v="Customer 672"/>
    <s v="WhatsApp API"/>
    <s v="Referral"/>
    <x v="2"/>
    <n v="1"/>
    <n v="23800"/>
    <n v="0"/>
    <m/>
    <x v="162"/>
    <m/>
    <x v="0"/>
    <x v="3"/>
    <x v="1"/>
    <n v="2026"/>
  </r>
  <r>
    <s v="INT-01192"/>
    <x v="83"/>
    <x v="1"/>
    <x v="8"/>
    <x v="4"/>
    <s v="Customer 288"/>
    <s v="CRM"/>
    <m/>
    <x v="1"/>
    <n v="0"/>
    <n v="0"/>
    <n v="0"/>
    <n v="1"/>
    <x v="161"/>
    <n v="3.3"/>
    <x v="5"/>
    <x v="5"/>
    <x v="5"/>
    <n v="2026"/>
  </r>
  <r>
    <s v="INT-01193"/>
    <x v="87"/>
    <x v="0"/>
    <x v="13"/>
    <x v="0"/>
    <s v="Customer 304"/>
    <s v="CRM"/>
    <s v="Inbound"/>
    <x v="0"/>
    <n v="1"/>
    <n v="11300"/>
    <n v="11300"/>
    <m/>
    <x v="206"/>
    <m/>
    <x v="0"/>
    <x v="0"/>
    <x v="10"/>
    <n v="2025"/>
  </r>
  <r>
    <s v="INT-01194"/>
    <x v="236"/>
    <x v="1"/>
    <x v="3"/>
    <x v="2"/>
    <s v="Customer 308"/>
    <s v="WhatsApp API"/>
    <m/>
    <x v="1"/>
    <n v="0"/>
    <n v="0"/>
    <n v="0"/>
    <n v="1"/>
    <x v="146"/>
    <n v="5"/>
    <x v="12"/>
    <x v="5"/>
    <x v="8"/>
    <n v="2026"/>
  </r>
  <r>
    <s v="INT-01195"/>
    <x v="228"/>
    <x v="0"/>
    <x v="5"/>
    <x v="4"/>
    <s v="Customer 108"/>
    <s v="WhatsApp API"/>
    <s v="Referral"/>
    <x v="6"/>
    <n v="1"/>
    <n v="39600"/>
    <n v="0"/>
    <m/>
    <x v="163"/>
    <m/>
    <x v="0"/>
    <x v="8"/>
    <x v="2"/>
    <n v="2025"/>
  </r>
  <r>
    <s v="INT-01196"/>
    <x v="198"/>
    <x v="1"/>
    <x v="12"/>
    <x v="0"/>
    <s v="Customer 198"/>
    <s v="Analytics"/>
    <m/>
    <x v="1"/>
    <n v="0"/>
    <n v="0"/>
    <n v="0"/>
    <n v="1"/>
    <x v="158"/>
    <n v="4.7"/>
    <x v="19"/>
    <x v="2"/>
    <x v="7"/>
    <n v="2026"/>
  </r>
  <r>
    <s v="INT-01197"/>
    <x v="282"/>
    <x v="1"/>
    <x v="3"/>
    <x v="4"/>
    <s v="Customer 246"/>
    <s v="WhatsApp API"/>
    <m/>
    <x v="1"/>
    <n v="0"/>
    <n v="0"/>
    <n v="0"/>
    <n v="1"/>
    <x v="143"/>
    <n v="4.9000000000000004"/>
    <x v="18"/>
    <x v="2"/>
    <x v="1"/>
    <n v="2026"/>
  </r>
  <r>
    <s v="INT-01198"/>
    <x v="293"/>
    <x v="1"/>
    <x v="9"/>
    <x v="0"/>
    <s v="Customer 125"/>
    <s v="Analytics"/>
    <m/>
    <x v="1"/>
    <n v="0"/>
    <n v="0"/>
    <n v="0"/>
    <n v="1"/>
    <x v="70"/>
    <n v="5.8"/>
    <x v="5"/>
    <x v="1"/>
    <x v="0"/>
    <n v="2026"/>
  </r>
  <r>
    <s v="INT-01199"/>
    <x v="239"/>
    <x v="1"/>
    <x v="15"/>
    <x v="2"/>
    <s v="Customer 399"/>
    <s v="WhatsApp API"/>
    <m/>
    <x v="1"/>
    <n v="0"/>
    <n v="0"/>
    <n v="0"/>
    <n v="1"/>
    <x v="169"/>
    <n v="14.6"/>
    <x v="8"/>
    <x v="2"/>
    <x v="7"/>
    <n v="2026"/>
  </r>
  <r>
    <s v="INT-01200"/>
    <x v="248"/>
    <x v="0"/>
    <x v="0"/>
    <x v="3"/>
    <s v="Customer 406"/>
    <s v="Automation"/>
    <s v="Website"/>
    <x v="6"/>
    <n v="1"/>
    <n v="18900"/>
    <n v="0"/>
    <m/>
    <x v="159"/>
    <m/>
    <x v="0"/>
    <x v="8"/>
    <x v="2"/>
    <n v="2025"/>
  </r>
  <r>
    <s v="INT-01201"/>
    <x v="322"/>
    <x v="1"/>
    <x v="15"/>
    <x v="0"/>
    <s v="Customer 173"/>
    <s v="Analytics"/>
    <m/>
    <x v="1"/>
    <n v="0"/>
    <n v="0"/>
    <n v="0"/>
    <n v="1"/>
    <x v="8"/>
    <n v="16"/>
    <x v="26"/>
    <x v="1"/>
    <x v="8"/>
    <n v="2026"/>
  </r>
  <r>
    <s v="INT-01202"/>
    <x v="56"/>
    <x v="0"/>
    <x v="10"/>
    <x v="4"/>
    <s v="Customer 526"/>
    <s v="WhatsApp API"/>
    <s v="Inbound"/>
    <x v="0"/>
    <n v="1"/>
    <n v="45000"/>
    <n v="45000"/>
    <m/>
    <x v="149"/>
    <m/>
    <x v="0"/>
    <x v="0"/>
    <x v="5"/>
    <n v="2026"/>
  </r>
  <r>
    <s v="INT-01203"/>
    <x v="38"/>
    <x v="0"/>
    <x v="5"/>
    <x v="0"/>
    <s v="Customer 290"/>
    <s v="Automation"/>
    <s v="Outbound"/>
    <x v="2"/>
    <n v="1"/>
    <n v="13100"/>
    <n v="0"/>
    <m/>
    <x v="113"/>
    <m/>
    <x v="0"/>
    <x v="3"/>
    <x v="0"/>
    <n v="2026"/>
  </r>
  <r>
    <s v="INT-01204"/>
    <x v="78"/>
    <x v="0"/>
    <x v="7"/>
    <x v="0"/>
    <s v="Customer 496"/>
    <s v="CRM"/>
    <s v="Website"/>
    <x v="6"/>
    <n v="1"/>
    <n v="53200"/>
    <n v="0"/>
    <m/>
    <x v="76"/>
    <m/>
    <x v="0"/>
    <x v="8"/>
    <x v="6"/>
    <n v="2025"/>
  </r>
  <r>
    <s v="INT-01205"/>
    <x v="164"/>
    <x v="0"/>
    <x v="4"/>
    <x v="4"/>
    <s v="Customer 444"/>
    <s v="CRM"/>
    <s v="Inbound"/>
    <x v="4"/>
    <n v="1"/>
    <n v="8100"/>
    <n v="0"/>
    <m/>
    <x v="119"/>
    <m/>
    <x v="0"/>
    <x v="6"/>
    <x v="1"/>
    <n v="2026"/>
  </r>
  <r>
    <s v="INT-01206"/>
    <x v="112"/>
    <x v="1"/>
    <x v="15"/>
    <x v="0"/>
    <s v="Customer 369"/>
    <s v="Automation"/>
    <m/>
    <x v="1"/>
    <n v="0"/>
    <n v="0"/>
    <n v="0"/>
    <n v="1"/>
    <x v="16"/>
    <n v="13.3"/>
    <x v="5"/>
    <x v="1"/>
    <x v="2"/>
    <n v="2025"/>
  </r>
  <r>
    <s v="INT-01207"/>
    <x v="1"/>
    <x v="1"/>
    <x v="9"/>
    <x v="0"/>
    <s v="Customer 627"/>
    <s v="Analytics"/>
    <m/>
    <x v="1"/>
    <n v="0"/>
    <n v="0"/>
    <n v="0"/>
    <n v="1"/>
    <x v="16"/>
    <n v="8.6999999999999993"/>
    <x v="1"/>
    <x v="5"/>
    <x v="1"/>
    <n v="2026"/>
  </r>
  <r>
    <s v="INT-01208"/>
    <x v="240"/>
    <x v="0"/>
    <x v="6"/>
    <x v="2"/>
    <s v="Customer 182"/>
    <s v="WhatsApp API"/>
    <s v="Referral"/>
    <x v="2"/>
    <n v="1"/>
    <n v="33600"/>
    <n v="0"/>
    <m/>
    <x v="223"/>
    <m/>
    <x v="0"/>
    <x v="3"/>
    <x v="11"/>
    <n v="2026"/>
  </r>
  <r>
    <s v="INT-01209"/>
    <x v="287"/>
    <x v="0"/>
    <x v="13"/>
    <x v="4"/>
    <s v="Customer 458"/>
    <s v="CRM"/>
    <s v="Outbound"/>
    <x v="6"/>
    <n v="1"/>
    <n v="14600"/>
    <n v="0"/>
    <m/>
    <x v="204"/>
    <m/>
    <x v="0"/>
    <x v="8"/>
    <x v="7"/>
    <n v="2026"/>
  </r>
  <r>
    <s v="INT-01210"/>
    <x v="191"/>
    <x v="1"/>
    <x v="12"/>
    <x v="4"/>
    <s v="Customer 197"/>
    <s v="CRM"/>
    <m/>
    <x v="1"/>
    <n v="0"/>
    <n v="0"/>
    <n v="0"/>
    <n v="1"/>
    <x v="199"/>
    <n v="5.6"/>
    <x v="13"/>
    <x v="2"/>
    <x v="6"/>
    <n v="2025"/>
  </r>
  <r>
    <s v="INT-01211"/>
    <x v="134"/>
    <x v="0"/>
    <x v="10"/>
    <x v="0"/>
    <s v="Customer 591"/>
    <s v="Automation"/>
    <s v="Inbound"/>
    <x v="2"/>
    <n v="1"/>
    <n v="34400"/>
    <n v="0"/>
    <m/>
    <x v="29"/>
    <m/>
    <x v="0"/>
    <x v="3"/>
    <x v="8"/>
    <n v="2026"/>
  </r>
  <r>
    <s v="INT-01212"/>
    <x v="192"/>
    <x v="0"/>
    <x v="6"/>
    <x v="0"/>
    <s v="Customer 219"/>
    <s v="Automation"/>
    <s v="Website"/>
    <x v="2"/>
    <n v="1"/>
    <n v="27800"/>
    <n v="0"/>
    <m/>
    <x v="168"/>
    <m/>
    <x v="0"/>
    <x v="3"/>
    <x v="11"/>
    <n v="2026"/>
  </r>
  <r>
    <s v="INT-01213"/>
    <x v="187"/>
    <x v="0"/>
    <x v="5"/>
    <x v="0"/>
    <s v="Customer 615"/>
    <s v="CRM"/>
    <s v="Outbound"/>
    <x v="4"/>
    <n v="1"/>
    <n v="7900"/>
    <n v="0"/>
    <m/>
    <x v="192"/>
    <m/>
    <x v="0"/>
    <x v="6"/>
    <x v="5"/>
    <n v="2026"/>
  </r>
  <r>
    <s v="INT-01214"/>
    <x v="59"/>
    <x v="1"/>
    <x v="15"/>
    <x v="0"/>
    <s v="Customer 522"/>
    <s v="CRM"/>
    <m/>
    <x v="1"/>
    <n v="0"/>
    <n v="0"/>
    <n v="0"/>
    <n v="1"/>
    <x v="23"/>
    <n v="16.3"/>
    <x v="19"/>
    <x v="5"/>
    <x v="9"/>
    <n v="2025"/>
  </r>
  <r>
    <s v="INT-01215"/>
    <x v="268"/>
    <x v="1"/>
    <x v="15"/>
    <x v="4"/>
    <s v="Customer 645"/>
    <s v="Analytics"/>
    <m/>
    <x v="1"/>
    <n v="0"/>
    <n v="0"/>
    <n v="0"/>
    <n v="1"/>
    <x v="43"/>
    <n v="6.9"/>
    <x v="7"/>
    <x v="5"/>
    <x v="11"/>
    <n v="2026"/>
  </r>
  <r>
    <s v="INT-01216"/>
    <x v="328"/>
    <x v="0"/>
    <x v="4"/>
    <x v="3"/>
    <s v="Customer 584"/>
    <s v="Automation"/>
    <s v="Website"/>
    <x v="2"/>
    <n v="1"/>
    <n v="8300"/>
    <n v="0"/>
    <m/>
    <x v="94"/>
    <m/>
    <x v="0"/>
    <x v="3"/>
    <x v="8"/>
    <n v="2026"/>
  </r>
  <r>
    <s v="INT-01217"/>
    <x v="166"/>
    <x v="0"/>
    <x v="5"/>
    <x v="2"/>
    <s v="Customer 283"/>
    <s v="CRM"/>
    <s v="Inbound"/>
    <x v="3"/>
    <n v="1"/>
    <n v="9800"/>
    <n v="0"/>
    <m/>
    <x v="22"/>
    <m/>
    <x v="0"/>
    <x v="4"/>
    <x v="10"/>
    <n v="2025"/>
  </r>
  <r>
    <s v="INT-01218"/>
    <x v="260"/>
    <x v="1"/>
    <x v="1"/>
    <x v="3"/>
    <s v="Customer 270"/>
    <s v="Automation"/>
    <m/>
    <x v="1"/>
    <n v="0"/>
    <n v="0"/>
    <n v="0"/>
    <n v="1"/>
    <x v="57"/>
    <n v="2.4"/>
    <x v="18"/>
    <x v="2"/>
    <x v="1"/>
    <n v="2026"/>
  </r>
  <r>
    <s v="INT-01219"/>
    <x v="263"/>
    <x v="1"/>
    <x v="2"/>
    <x v="1"/>
    <s v="Customer 510"/>
    <s v="Analytics"/>
    <m/>
    <x v="1"/>
    <n v="0"/>
    <n v="0"/>
    <n v="0"/>
    <n v="1"/>
    <x v="27"/>
    <n v="6.7"/>
    <x v="18"/>
    <x v="5"/>
    <x v="4"/>
    <n v="2026"/>
  </r>
  <r>
    <s v="INT-01220"/>
    <x v="272"/>
    <x v="0"/>
    <x v="10"/>
    <x v="1"/>
    <s v="Customer 383"/>
    <s v="WhatsApp API"/>
    <s v="Website"/>
    <x v="4"/>
    <n v="1"/>
    <n v="23100"/>
    <n v="0"/>
    <m/>
    <x v="199"/>
    <m/>
    <x v="0"/>
    <x v="6"/>
    <x v="6"/>
    <n v="2025"/>
  </r>
  <r>
    <s v="INT-01221"/>
    <x v="162"/>
    <x v="1"/>
    <x v="9"/>
    <x v="2"/>
    <s v="Customer 029"/>
    <s v="WhatsApp API"/>
    <m/>
    <x v="1"/>
    <n v="0"/>
    <n v="0"/>
    <n v="0"/>
    <n v="1"/>
    <x v="147"/>
    <n v="3"/>
    <x v="5"/>
    <x v="2"/>
    <x v="2"/>
    <n v="2025"/>
  </r>
  <r>
    <s v="INT-01222"/>
    <x v="281"/>
    <x v="0"/>
    <x v="10"/>
    <x v="0"/>
    <s v="Customer 589"/>
    <s v="Analytics"/>
    <s v="Website"/>
    <x v="0"/>
    <n v="1"/>
    <n v="40400"/>
    <n v="40400"/>
    <m/>
    <x v="225"/>
    <m/>
    <x v="0"/>
    <x v="0"/>
    <x v="7"/>
    <n v="2026"/>
  </r>
  <r>
    <s v="INT-01223"/>
    <x v="206"/>
    <x v="0"/>
    <x v="13"/>
    <x v="1"/>
    <s v="Customer 605"/>
    <s v="CRM"/>
    <s v="Website"/>
    <x v="3"/>
    <n v="1"/>
    <n v="21400"/>
    <n v="0"/>
    <m/>
    <x v="125"/>
    <m/>
    <x v="0"/>
    <x v="4"/>
    <x v="7"/>
    <n v="2026"/>
  </r>
  <r>
    <s v="INT-01224"/>
    <x v="210"/>
    <x v="1"/>
    <x v="12"/>
    <x v="0"/>
    <s v="Customer 628"/>
    <s v="WhatsApp API"/>
    <m/>
    <x v="1"/>
    <n v="0"/>
    <n v="0"/>
    <n v="0"/>
    <n v="1"/>
    <x v="147"/>
    <n v="27.8"/>
    <x v="6"/>
    <x v="2"/>
    <x v="2"/>
    <n v="2025"/>
  </r>
  <r>
    <s v="INT-01225"/>
    <x v="201"/>
    <x v="0"/>
    <x v="0"/>
    <x v="2"/>
    <s v="Customer 441"/>
    <s v="CRM"/>
    <s v="Inbound"/>
    <x v="6"/>
    <n v="1"/>
    <n v="67700"/>
    <n v="0"/>
    <m/>
    <x v="141"/>
    <m/>
    <x v="0"/>
    <x v="8"/>
    <x v="7"/>
    <n v="2026"/>
  </r>
  <r>
    <s v="INT-01226"/>
    <x v="351"/>
    <x v="1"/>
    <x v="14"/>
    <x v="0"/>
    <s v="Customer 345"/>
    <s v="WhatsApp API"/>
    <m/>
    <x v="1"/>
    <n v="0"/>
    <n v="0"/>
    <n v="0"/>
    <n v="1"/>
    <x v="72"/>
    <n v="5.2"/>
    <x v="13"/>
    <x v="2"/>
    <x v="11"/>
    <n v="2026"/>
  </r>
  <r>
    <s v="INT-01227"/>
    <x v="172"/>
    <x v="0"/>
    <x v="0"/>
    <x v="3"/>
    <s v="Customer 302"/>
    <s v="Automation"/>
    <s v="Outbound"/>
    <x v="3"/>
    <n v="1"/>
    <n v="10700"/>
    <n v="0"/>
    <m/>
    <x v="126"/>
    <m/>
    <x v="0"/>
    <x v="4"/>
    <x v="3"/>
    <n v="2026"/>
  </r>
  <r>
    <s v="INT-01228"/>
    <x v="195"/>
    <x v="0"/>
    <x v="13"/>
    <x v="1"/>
    <s v="Customer 516"/>
    <s v="CRM"/>
    <s v="Inbound"/>
    <x v="3"/>
    <n v="1"/>
    <n v="51200"/>
    <n v="0"/>
    <m/>
    <x v="188"/>
    <m/>
    <x v="0"/>
    <x v="4"/>
    <x v="9"/>
    <n v="2025"/>
  </r>
  <r>
    <s v="INT-01229"/>
    <x v="318"/>
    <x v="1"/>
    <x v="14"/>
    <x v="1"/>
    <s v="Customer 278"/>
    <s v="WhatsApp API"/>
    <m/>
    <x v="1"/>
    <n v="0"/>
    <n v="0"/>
    <n v="0"/>
    <n v="1"/>
    <x v="174"/>
    <n v="3.1"/>
    <x v="9"/>
    <x v="2"/>
    <x v="7"/>
    <n v="2026"/>
  </r>
  <r>
    <s v="INT-01230"/>
    <x v="145"/>
    <x v="0"/>
    <x v="6"/>
    <x v="0"/>
    <s v="Customer 321"/>
    <s v="WhatsApp API"/>
    <s v="Outbound"/>
    <x v="3"/>
    <n v="1"/>
    <n v="36600"/>
    <n v="0"/>
    <m/>
    <x v="94"/>
    <m/>
    <x v="0"/>
    <x v="4"/>
    <x v="10"/>
    <n v="2025"/>
  </r>
  <r>
    <s v="INT-01231"/>
    <x v="79"/>
    <x v="1"/>
    <x v="1"/>
    <x v="1"/>
    <s v="Customer 095"/>
    <s v="CRM"/>
    <m/>
    <x v="1"/>
    <n v="0"/>
    <n v="0"/>
    <n v="0"/>
    <n v="1"/>
    <x v="59"/>
    <n v="7.9"/>
    <x v="4"/>
    <x v="5"/>
    <x v="0"/>
    <n v="2026"/>
  </r>
  <r>
    <s v="INT-01232"/>
    <x v="38"/>
    <x v="0"/>
    <x v="7"/>
    <x v="2"/>
    <s v="Customer 143"/>
    <s v="WhatsApp API"/>
    <s v="Inbound"/>
    <x v="6"/>
    <n v="1"/>
    <n v="38900"/>
    <n v="0"/>
    <m/>
    <x v="57"/>
    <m/>
    <x v="0"/>
    <x v="8"/>
    <x v="0"/>
    <n v="2026"/>
  </r>
  <r>
    <s v="INT-01233"/>
    <x v="236"/>
    <x v="0"/>
    <x v="7"/>
    <x v="0"/>
    <s v="Customer 241"/>
    <s v="WhatsApp API"/>
    <s v="Outbound"/>
    <x v="5"/>
    <n v="1"/>
    <n v="39000"/>
    <n v="0"/>
    <m/>
    <x v="50"/>
    <m/>
    <x v="0"/>
    <x v="7"/>
    <x v="8"/>
    <n v="2026"/>
  </r>
  <r>
    <s v="INT-01234"/>
    <x v="79"/>
    <x v="0"/>
    <x v="6"/>
    <x v="2"/>
    <s v="Customer 219"/>
    <s v="Analytics"/>
    <s v="Outbound"/>
    <x v="6"/>
    <n v="1"/>
    <n v="9500"/>
    <n v="0"/>
    <m/>
    <x v="134"/>
    <m/>
    <x v="0"/>
    <x v="8"/>
    <x v="0"/>
    <n v="2026"/>
  </r>
  <r>
    <s v="INT-01235"/>
    <x v="122"/>
    <x v="1"/>
    <x v="12"/>
    <x v="1"/>
    <s v="Customer 192"/>
    <s v="WhatsApp API"/>
    <m/>
    <x v="1"/>
    <n v="0"/>
    <n v="0"/>
    <n v="0"/>
    <n v="1"/>
    <x v="43"/>
    <n v="4.8"/>
    <x v="2"/>
    <x v="2"/>
    <x v="4"/>
    <n v="2026"/>
  </r>
  <r>
    <s v="INT-01236"/>
    <x v="217"/>
    <x v="0"/>
    <x v="11"/>
    <x v="0"/>
    <s v="Customer 005"/>
    <s v="WhatsApp API"/>
    <s v="Partner"/>
    <x v="5"/>
    <n v="1"/>
    <n v="5000"/>
    <n v="0"/>
    <m/>
    <x v="139"/>
    <m/>
    <x v="0"/>
    <x v="7"/>
    <x v="9"/>
    <n v="2025"/>
  </r>
  <r>
    <s v="INT-01237"/>
    <x v="58"/>
    <x v="1"/>
    <x v="1"/>
    <x v="2"/>
    <s v="Customer 584"/>
    <s v="CRM"/>
    <m/>
    <x v="1"/>
    <n v="0"/>
    <n v="0"/>
    <n v="0"/>
    <n v="1"/>
    <x v="60"/>
    <n v="17.3"/>
    <x v="26"/>
    <x v="2"/>
    <x v="11"/>
    <n v="2026"/>
  </r>
  <r>
    <s v="INT-01238"/>
    <x v="117"/>
    <x v="0"/>
    <x v="0"/>
    <x v="3"/>
    <s v="Customer 338"/>
    <s v="CRM"/>
    <s v="Partner"/>
    <x v="3"/>
    <n v="1"/>
    <n v="22100"/>
    <n v="0"/>
    <m/>
    <x v="224"/>
    <m/>
    <x v="0"/>
    <x v="4"/>
    <x v="10"/>
    <n v="2025"/>
  </r>
  <r>
    <s v="INT-01239"/>
    <x v="312"/>
    <x v="1"/>
    <x v="3"/>
    <x v="3"/>
    <s v="Customer 024"/>
    <s v="Automation"/>
    <m/>
    <x v="1"/>
    <n v="0"/>
    <n v="0"/>
    <n v="0"/>
    <n v="1"/>
    <x v="182"/>
    <n v="4.3"/>
    <x v="20"/>
    <x v="2"/>
    <x v="6"/>
    <n v="2025"/>
  </r>
  <r>
    <s v="INT-01240"/>
    <x v="200"/>
    <x v="0"/>
    <x v="7"/>
    <x v="0"/>
    <s v="Customer 375"/>
    <s v="CRM"/>
    <s v="Website"/>
    <x v="2"/>
    <n v="1"/>
    <n v="28200"/>
    <n v="0"/>
    <m/>
    <x v="220"/>
    <m/>
    <x v="0"/>
    <x v="3"/>
    <x v="9"/>
    <n v="2025"/>
  </r>
  <r>
    <s v="INT-01241"/>
    <x v="155"/>
    <x v="1"/>
    <x v="15"/>
    <x v="0"/>
    <s v="Customer 288"/>
    <s v="CRM"/>
    <m/>
    <x v="1"/>
    <n v="0"/>
    <n v="0"/>
    <n v="0"/>
    <n v="1"/>
    <x v="148"/>
    <n v="15.6"/>
    <x v="7"/>
    <x v="5"/>
    <x v="7"/>
    <n v="2026"/>
  </r>
  <r>
    <s v="INT-01242"/>
    <x v="109"/>
    <x v="1"/>
    <x v="15"/>
    <x v="0"/>
    <s v="Customer 015"/>
    <s v="Automation"/>
    <m/>
    <x v="1"/>
    <n v="0"/>
    <n v="0"/>
    <n v="0"/>
    <n v="1"/>
    <x v="127"/>
    <n v="5.4"/>
    <x v="8"/>
    <x v="2"/>
    <x v="3"/>
    <n v="2026"/>
  </r>
  <r>
    <s v="INT-01243"/>
    <x v="310"/>
    <x v="1"/>
    <x v="14"/>
    <x v="4"/>
    <s v="Customer 474"/>
    <s v="Analytics"/>
    <m/>
    <x v="1"/>
    <n v="0"/>
    <n v="0"/>
    <n v="0"/>
    <n v="1"/>
    <x v="111"/>
    <n v="8.5"/>
    <x v="18"/>
    <x v="2"/>
    <x v="4"/>
    <n v="2026"/>
  </r>
  <r>
    <s v="INT-01244"/>
    <x v="86"/>
    <x v="1"/>
    <x v="12"/>
    <x v="0"/>
    <s v="Customer 604"/>
    <s v="Automation"/>
    <m/>
    <x v="1"/>
    <n v="0"/>
    <n v="0"/>
    <n v="0"/>
    <n v="1"/>
    <x v="164"/>
    <n v="26"/>
    <x v="19"/>
    <x v="1"/>
    <x v="0"/>
    <n v="2026"/>
  </r>
  <r>
    <s v="INT-01245"/>
    <x v="181"/>
    <x v="1"/>
    <x v="12"/>
    <x v="2"/>
    <s v="Customer 460"/>
    <s v="Automation"/>
    <m/>
    <x v="1"/>
    <n v="0"/>
    <n v="0"/>
    <n v="0"/>
    <n v="1"/>
    <x v="46"/>
    <n v="9.1"/>
    <x v="2"/>
    <x v="5"/>
    <x v="11"/>
    <n v="2026"/>
  </r>
  <r>
    <s v="INT-01246"/>
    <x v="278"/>
    <x v="1"/>
    <x v="8"/>
    <x v="4"/>
    <s v="Customer 209"/>
    <s v="WhatsApp API"/>
    <m/>
    <x v="1"/>
    <n v="0"/>
    <n v="0"/>
    <n v="0"/>
    <n v="1"/>
    <x v="204"/>
    <n v="8.3000000000000007"/>
    <x v="20"/>
    <x v="2"/>
    <x v="1"/>
    <n v="2026"/>
  </r>
  <r>
    <s v="INT-01247"/>
    <x v="51"/>
    <x v="0"/>
    <x v="11"/>
    <x v="0"/>
    <s v="Customer 107"/>
    <s v="Automation"/>
    <s v="Partner"/>
    <x v="5"/>
    <n v="1"/>
    <n v="25200"/>
    <n v="0"/>
    <m/>
    <x v="77"/>
    <m/>
    <x v="0"/>
    <x v="7"/>
    <x v="6"/>
    <n v="2025"/>
  </r>
  <r>
    <s v="INT-01248"/>
    <x v="7"/>
    <x v="0"/>
    <x v="13"/>
    <x v="4"/>
    <s v="Customer 109"/>
    <s v="WhatsApp API"/>
    <s v="Inbound"/>
    <x v="0"/>
    <n v="1"/>
    <n v="10800"/>
    <n v="10800"/>
    <m/>
    <x v="213"/>
    <m/>
    <x v="0"/>
    <x v="0"/>
    <x v="3"/>
    <n v="2026"/>
  </r>
  <r>
    <s v="INT-01249"/>
    <x v="270"/>
    <x v="1"/>
    <x v="8"/>
    <x v="4"/>
    <s v="Customer 638"/>
    <s v="Automation"/>
    <m/>
    <x v="1"/>
    <n v="0"/>
    <n v="0"/>
    <n v="0"/>
    <n v="1"/>
    <x v="103"/>
    <n v="4.7"/>
    <x v="13"/>
    <x v="2"/>
    <x v="7"/>
    <n v="2026"/>
  </r>
  <r>
    <s v="INT-01250"/>
    <x v="345"/>
    <x v="1"/>
    <x v="14"/>
    <x v="0"/>
    <s v="Customer 242"/>
    <s v="CRM"/>
    <m/>
    <x v="1"/>
    <n v="0"/>
    <n v="0"/>
    <n v="0"/>
    <n v="1"/>
    <x v="33"/>
    <n v="8.5"/>
    <x v="8"/>
    <x v="2"/>
    <x v="0"/>
    <n v="2026"/>
  </r>
  <r>
    <s v="INT-01251"/>
    <x v="195"/>
    <x v="1"/>
    <x v="12"/>
    <x v="0"/>
    <s v="Customer 220"/>
    <s v="Automation"/>
    <m/>
    <x v="1"/>
    <n v="0"/>
    <n v="0"/>
    <n v="0"/>
    <n v="1"/>
    <x v="31"/>
    <n v="1.6"/>
    <x v="21"/>
    <x v="1"/>
    <x v="9"/>
    <n v="2025"/>
  </r>
  <r>
    <s v="INT-01252"/>
    <x v="119"/>
    <x v="0"/>
    <x v="7"/>
    <x v="1"/>
    <s v="Customer 608"/>
    <s v="CRM"/>
    <s v="Inbound"/>
    <x v="2"/>
    <n v="1"/>
    <n v="6200"/>
    <n v="0"/>
    <m/>
    <x v="136"/>
    <m/>
    <x v="0"/>
    <x v="3"/>
    <x v="10"/>
    <n v="2025"/>
  </r>
  <r>
    <s v="INT-01253"/>
    <x v="115"/>
    <x v="0"/>
    <x v="7"/>
    <x v="1"/>
    <s v="Customer 342"/>
    <s v="CRM"/>
    <s v="Inbound"/>
    <x v="6"/>
    <n v="1"/>
    <n v="14000"/>
    <n v="0"/>
    <m/>
    <x v="204"/>
    <m/>
    <x v="0"/>
    <x v="8"/>
    <x v="3"/>
    <n v="2026"/>
  </r>
  <r>
    <s v="INT-01254"/>
    <x v="174"/>
    <x v="0"/>
    <x v="0"/>
    <x v="4"/>
    <s v="Customer 665"/>
    <s v="CRM"/>
    <s v="Referral"/>
    <x v="2"/>
    <n v="1"/>
    <n v="9600"/>
    <n v="0"/>
    <m/>
    <x v="119"/>
    <m/>
    <x v="0"/>
    <x v="3"/>
    <x v="11"/>
    <n v="2026"/>
  </r>
  <r>
    <s v="INT-01255"/>
    <x v="225"/>
    <x v="1"/>
    <x v="9"/>
    <x v="0"/>
    <s v="Customer 456"/>
    <s v="Automation"/>
    <m/>
    <x v="1"/>
    <n v="0"/>
    <n v="0"/>
    <n v="0"/>
    <n v="1"/>
    <x v="104"/>
    <n v="6.8"/>
    <x v="5"/>
    <x v="2"/>
    <x v="3"/>
    <n v="2026"/>
  </r>
  <r>
    <s v="INT-01256"/>
    <x v="352"/>
    <x v="0"/>
    <x v="6"/>
    <x v="0"/>
    <s v="Customer 055"/>
    <s v="CRM"/>
    <s v="Inbound"/>
    <x v="0"/>
    <n v="1"/>
    <n v="21600"/>
    <n v="21600"/>
    <m/>
    <x v="78"/>
    <m/>
    <x v="0"/>
    <x v="0"/>
    <x v="11"/>
    <n v="2026"/>
  </r>
  <r>
    <s v="INT-01257"/>
    <x v="284"/>
    <x v="0"/>
    <x v="11"/>
    <x v="2"/>
    <s v="Customer 568"/>
    <s v="CRM"/>
    <s v="Partner"/>
    <x v="0"/>
    <n v="1"/>
    <n v="22800"/>
    <n v="22800"/>
    <m/>
    <x v="212"/>
    <m/>
    <x v="0"/>
    <x v="0"/>
    <x v="5"/>
    <n v="2026"/>
  </r>
  <r>
    <s v="INT-01258"/>
    <x v="244"/>
    <x v="0"/>
    <x v="0"/>
    <x v="0"/>
    <s v="Customer 258"/>
    <s v="CRM"/>
    <s v="Partner"/>
    <x v="2"/>
    <n v="1"/>
    <n v="59600"/>
    <n v="0"/>
    <m/>
    <x v="12"/>
    <m/>
    <x v="0"/>
    <x v="3"/>
    <x v="5"/>
    <n v="2026"/>
  </r>
  <r>
    <s v="INT-01259"/>
    <x v="271"/>
    <x v="0"/>
    <x v="7"/>
    <x v="0"/>
    <s v="Customer 249"/>
    <s v="Automation"/>
    <s v="Outbound"/>
    <x v="2"/>
    <n v="1"/>
    <n v="28000"/>
    <n v="0"/>
    <m/>
    <x v="15"/>
    <m/>
    <x v="0"/>
    <x v="3"/>
    <x v="1"/>
    <n v="2026"/>
  </r>
  <r>
    <s v="INT-01260"/>
    <x v="193"/>
    <x v="1"/>
    <x v="9"/>
    <x v="1"/>
    <s v="Customer 317"/>
    <s v="WhatsApp API"/>
    <m/>
    <x v="1"/>
    <n v="0"/>
    <n v="0"/>
    <n v="0"/>
    <n v="1"/>
    <x v="199"/>
    <n v="9.6"/>
    <x v="14"/>
    <x v="1"/>
    <x v="9"/>
    <n v="2025"/>
  </r>
  <r>
    <s v="INT-01261"/>
    <x v="245"/>
    <x v="0"/>
    <x v="0"/>
    <x v="0"/>
    <s v="Customer 687"/>
    <s v="CRM"/>
    <s v="Inbound"/>
    <x v="0"/>
    <n v="1"/>
    <n v="18600"/>
    <n v="18600"/>
    <m/>
    <x v="223"/>
    <m/>
    <x v="0"/>
    <x v="0"/>
    <x v="10"/>
    <n v="2025"/>
  </r>
  <r>
    <s v="INT-01262"/>
    <x v="167"/>
    <x v="1"/>
    <x v="3"/>
    <x v="0"/>
    <s v="Customer 085"/>
    <s v="Automation"/>
    <m/>
    <x v="1"/>
    <n v="0"/>
    <n v="0"/>
    <n v="0"/>
    <n v="1"/>
    <x v="114"/>
    <n v="6.4"/>
    <x v="18"/>
    <x v="2"/>
    <x v="5"/>
    <n v="2026"/>
  </r>
  <r>
    <s v="INT-01263"/>
    <x v="115"/>
    <x v="0"/>
    <x v="6"/>
    <x v="4"/>
    <s v="Customer 350"/>
    <s v="WhatsApp API"/>
    <s v="Inbound"/>
    <x v="0"/>
    <n v="1"/>
    <n v="44400"/>
    <n v="44400"/>
    <m/>
    <x v="141"/>
    <m/>
    <x v="0"/>
    <x v="0"/>
    <x v="3"/>
    <n v="2026"/>
  </r>
  <r>
    <s v="INT-01264"/>
    <x v="243"/>
    <x v="0"/>
    <x v="0"/>
    <x v="4"/>
    <s v="Customer 026"/>
    <s v="WhatsApp API"/>
    <s v="Referral"/>
    <x v="0"/>
    <n v="1"/>
    <n v="29100"/>
    <n v="29100"/>
    <m/>
    <x v="57"/>
    <m/>
    <x v="0"/>
    <x v="0"/>
    <x v="5"/>
    <n v="2026"/>
  </r>
  <r>
    <s v="INT-01265"/>
    <x v="302"/>
    <x v="0"/>
    <x v="11"/>
    <x v="1"/>
    <s v="Customer 445"/>
    <s v="Analytics"/>
    <s v="Referral"/>
    <x v="2"/>
    <n v="1"/>
    <n v="37900"/>
    <n v="0"/>
    <m/>
    <x v="154"/>
    <m/>
    <x v="0"/>
    <x v="3"/>
    <x v="2"/>
    <n v="2025"/>
  </r>
  <r>
    <s v="INT-01266"/>
    <x v="225"/>
    <x v="0"/>
    <x v="4"/>
    <x v="0"/>
    <s v="Customer 654"/>
    <s v="WhatsApp API"/>
    <s v="Outbound"/>
    <x v="2"/>
    <n v="1"/>
    <n v="43200"/>
    <n v="0"/>
    <m/>
    <x v="122"/>
    <m/>
    <x v="0"/>
    <x v="3"/>
    <x v="3"/>
    <n v="2026"/>
  </r>
  <r>
    <s v="INT-01267"/>
    <x v="344"/>
    <x v="0"/>
    <x v="5"/>
    <x v="0"/>
    <s v="Customer 155"/>
    <s v="CRM"/>
    <s v="Outbound"/>
    <x v="0"/>
    <n v="1"/>
    <n v="24900"/>
    <n v="24900"/>
    <m/>
    <x v="10"/>
    <m/>
    <x v="0"/>
    <x v="0"/>
    <x v="7"/>
    <n v="2026"/>
  </r>
  <r>
    <s v="INT-01268"/>
    <x v="230"/>
    <x v="0"/>
    <x v="5"/>
    <x v="0"/>
    <s v="Customer 197"/>
    <s v="WhatsApp API"/>
    <s v="Referral"/>
    <x v="0"/>
    <n v="1"/>
    <n v="26900"/>
    <n v="26900"/>
    <m/>
    <x v="61"/>
    <m/>
    <x v="0"/>
    <x v="0"/>
    <x v="8"/>
    <n v="2026"/>
  </r>
  <r>
    <s v="INT-01269"/>
    <x v="198"/>
    <x v="1"/>
    <x v="9"/>
    <x v="2"/>
    <s v="Customer 509"/>
    <s v="WhatsApp API"/>
    <m/>
    <x v="1"/>
    <n v="0"/>
    <n v="0"/>
    <n v="0"/>
    <n v="1"/>
    <x v="59"/>
    <n v="1.9"/>
    <x v="5"/>
    <x v="5"/>
    <x v="7"/>
    <n v="2026"/>
  </r>
  <r>
    <s v="INT-01270"/>
    <x v="325"/>
    <x v="0"/>
    <x v="10"/>
    <x v="0"/>
    <s v="Customer 486"/>
    <s v="Automation"/>
    <s v="Outbound"/>
    <x v="2"/>
    <n v="1"/>
    <n v="42200"/>
    <n v="0"/>
    <m/>
    <x v="52"/>
    <m/>
    <x v="0"/>
    <x v="3"/>
    <x v="10"/>
    <n v="2025"/>
  </r>
  <r>
    <s v="INT-01271"/>
    <x v="340"/>
    <x v="1"/>
    <x v="14"/>
    <x v="0"/>
    <s v="Customer 216"/>
    <s v="CRM"/>
    <m/>
    <x v="1"/>
    <n v="0"/>
    <n v="0"/>
    <n v="0"/>
    <n v="1"/>
    <x v="142"/>
    <n v="8.6999999999999993"/>
    <x v="10"/>
    <x v="2"/>
    <x v="9"/>
    <n v="2025"/>
  </r>
  <r>
    <s v="INT-01272"/>
    <x v="317"/>
    <x v="1"/>
    <x v="1"/>
    <x v="0"/>
    <s v="Customer 457"/>
    <s v="Automation"/>
    <m/>
    <x v="1"/>
    <n v="0"/>
    <n v="0"/>
    <n v="0"/>
    <n v="1"/>
    <x v="161"/>
    <n v="3.7"/>
    <x v="9"/>
    <x v="2"/>
    <x v="9"/>
    <n v="2025"/>
  </r>
  <r>
    <s v="INT-01273"/>
    <x v="156"/>
    <x v="1"/>
    <x v="8"/>
    <x v="4"/>
    <s v="Customer 230"/>
    <s v="WhatsApp API"/>
    <m/>
    <x v="1"/>
    <n v="0"/>
    <n v="0"/>
    <n v="0"/>
    <n v="1"/>
    <x v="71"/>
    <n v="7.7"/>
    <x v="6"/>
    <x v="9"/>
    <x v="9"/>
    <n v="2025"/>
  </r>
  <r>
    <s v="INT-01274"/>
    <x v="353"/>
    <x v="0"/>
    <x v="11"/>
    <x v="0"/>
    <s v="Customer 216"/>
    <s v="WhatsApp API"/>
    <s v="Website"/>
    <x v="5"/>
    <n v="1"/>
    <n v="12800"/>
    <n v="0"/>
    <m/>
    <x v="138"/>
    <m/>
    <x v="0"/>
    <x v="7"/>
    <x v="0"/>
    <n v="2026"/>
  </r>
  <r>
    <s v="INT-01275"/>
    <x v="154"/>
    <x v="0"/>
    <x v="13"/>
    <x v="3"/>
    <s v="Customer 625"/>
    <s v="CRM"/>
    <s v="Outbound"/>
    <x v="6"/>
    <n v="1"/>
    <n v="32700"/>
    <n v="0"/>
    <m/>
    <x v="102"/>
    <m/>
    <x v="0"/>
    <x v="8"/>
    <x v="10"/>
    <n v="2025"/>
  </r>
  <r>
    <s v="INT-01276"/>
    <x v="44"/>
    <x v="0"/>
    <x v="10"/>
    <x v="0"/>
    <s v="Customer 161"/>
    <s v="CRM"/>
    <s v="Inbound"/>
    <x v="0"/>
    <n v="1"/>
    <n v="26400"/>
    <n v="26400"/>
    <m/>
    <x v="89"/>
    <m/>
    <x v="0"/>
    <x v="0"/>
    <x v="11"/>
    <n v="2026"/>
  </r>
  <r>
    <s v="INT-01277"/>
    <x v="354"/>
    <x v="0"/>
    <x v="7"/>
    <x v="0"/>
    <s v="Customer 546"/>
    <s v="Analytics"/>
    <s v="Website"/>
    <x v="2"/>
    <n v="1"/>
    <n v="38800"/>
    <n v="0"/>
    <m/>
    <x v="75"/>
    <m/>
    <x v="0"/>
    <x v="3"/>
    <x v="8"/>
    <n v="2026"/>
  </r>
  <r>
    <s v="INT-01278"/>
    <x v="78"/>
    <x v="1"/>
    <x v="12"/>
    <x v="1"/>
    <s v="Customer 632"/>
    <s v="CRM"/>
    <m/>
    <x v="1"/>
    <n v="0"/>
    <n v="0"/>
    <n v="0"/>
    <n v="1"/>
    <x v="134"/>
    <n v="1.9"/>
    <x v="14"/>
    <x v="1"/>
    <x v="6"/>
    <n v="2025"/>
  </r>
  <r>
    <s v="INT-01279"/>
    <x v="212"/>
    <x v="0"/>
    <x v="5"/>
    <x v="1"/>
    <s v="Customer 110"/>
    <s v="CRM"/>
    <s v="Website"/>
    <x v="0"/>
    <n v="1"/>
    <n v="46900"/>
    <n v="46900"/>
    <m/>
    <x v="96"/>
    <m/>
    <x v="0"/>
    <x v="0"/>
    <x v="3"/>
    <n v="2026"/>
  </r>
  <r>
    <s v="INT-01280"/>
    <x v="224"/>
    <x v="0"/>
    <x v="11"/>
    <x v="1"/>
    <s v="Customer 646"/>
    <s v="Automation"/>
    <s v="Outbound"/>
    <x v="0"/>
    <n v="1"/>
    <n v="12200"/>
    <n v="12200"/>
    <m/>
    <x v="110"/>
    <m/>
    <x v="0"/>
    <x v="0"/>
    <x v="2"/>
    <n v="2025"/>
  </r>
  <r>
    <s v="INT-01281"/>
    <x v="0"/>
    <x v="1"/>
    <x v="12"/>
    <x v="3"/>
    <s v="Customer 249"/>
    <s v="Automation"/>
    <m/>
    <x v="1"/>
    <n v="0"/>
    <n v="0"/>
    <n v="0"/>
    <n v="1"/>
    <x v="57"/>
    <n v="8.6999999999999993"/>
    <x v="9"/>
    <x v="1"/>
    <x v="0"/>
    <n v="2026"/>
  </r>
  <r>
    <s v="INT-01282"/>
    <x v="177"/>
    <x v="1"/>
    <x v="15"/>
    <x v="4"/>
    <s v="Customer 075"/>
    <s v="Automation"/>
    <m/>
    <x v="1"/>
    <n v="0"/>
    <n v="0"/>
    <n v="0"/>
    <n v="1"/>
    <x v="114"/>
    <n v="10.3"/>
    <x v="1"/>
    <x v="2"/>
    <x v="1"/>
    <n v="2026"/>
  </r>
  <r>
    <s v="INT-01283"/>
    <x v="164"/>
    <x v="1"/>
    <x v="14"/>
    <x v="0"/>
    <s v="Customer 303"/>
    <s v="WhatsApp API"/>
    <m/>
    <x v="1"/>
    <n v="0"/>
    <n v="0"/>
    <n v="0"/>
    <n v="1"/>
    <x v="197"/>
    <n v="4.3"/>
    <x v="11"/>
    <x v="1"/>
    <x v="1"/>
    <n v="2026"/>
  </r>
  <r>
    <s v="INT-01284"/>
    <x v="36"/>
    <x v="0"/>
    <x v="5"/>
    <x v="0"/>
    <s v="Customer 492"/>
    <s v="WhatsApp API"/>
    <s v="Inbound"/>
    <x v="0"/>
    <n v="1"/>
    <n v="22900"/>
    <n v="22900"/>
    <m/>
    <x v="40"/>
    <m/>
    <x v="0"/>
    <x v="0"/>
    <x v="6"/>
    <n v="2025"/>
  </r>
  <r>
    <s v="INT-01285"/>
    <x v="64"/>
    <x v="0"/>
    <x v="5"/>
    <x v="4"/>
    <s v="Customer 322"/>
    <s v="CRM"/>
    <s v="Inbound"/>
    <x v="0"/>
    <n v="1"/>
    <n v="14700"/>
    <n v="14700"/>
    <m/>
    <x v="174"/>
    <m/>
    <x v="0"/>
    <x v="0"/>
    <x v="3"/>
    <n v="2026"/>
  </r>
  <r>
    <s v="INT-01286"/>
    <x v="297"/>
    <x v="0"/>
    <x v="7"/>
    <x v="4"/>
    <s v="Customer 235"/>
    <s v="WhatsApp API"/>
    <s v="Referral"/>
    <x v="2"/>
    <n v="1"/>
    <n v="12700"/>
    <n v="0"/>
    <m/>
    <x v="16"/>
    <m/>
    <x v="0"/>
    <x v="3"/>
    <x v="9"/>
    <n v="2025"/>
  </r>
  <r>
    <s v="INT-01287"/>
    <x v="64"/>
    <x v="0"/>
    <x v="5"/>
    <x v="4"/>
    <s v="Customer 350"/>
    <s v="CRM"/>
    <s v="Inbound"/>
    <x v="3"/>
    <n v="1"/>
    <n v="23100"/>
    <n v="0"/>
    <m/>
    <x v="215"/>
    <m/>
    <x v="0"/>
    <x v="4"/>
    <x v="3"/>
    <n v="2026"/>
  </r>
  <r>
    <s v="INT-01288"/>
    <x v="19"/>
    <x v="0"/>
    <x v="4"/>
    <x v="0"/>
    <s v="Customer 228"/>
    <s v="Automation"/>
    <s v="Referral"/>
    <x v="0"/>
    <n v="1"/>
    <n v="20800"/>
    <n v="20800"/>
    <m/>
    <x v="171"/>
    <m/>
    <x v="0"/>
    <x v="0"/>
    <x v="7"/>
    <n v="2026"/>
  </r>
  <r>
    <s v="INT-01289"/>
    <x v="134"/>
    <x v="0"/>
    <x v="13"/>
    <x v="0"/>
    <s v="Customer 165"/>
    <s v="WhatsApp API"/>
    <s v="Outbound"/>
    <x v="6"/>
    <n v="1"/>
    <n v="11400"/>
    <n v="0"/>
    <m/>
    <x v="10"/>
    <m/>
    <x v="0"/>
    <x v="8"/>
    <x v="8"/>
    <n v="2026"/>
  </r>
  <r>
    <s v="INT-01290"/>
    <x v="53"/>
    <x v="0"/>
    <x v="0"/>
    <x v="4"/>
    <s v="Customer 285"/>
    <s v="WhatsApp API"/>
    <s v="Outbound"/>
    <x v="2"/>
    <n v="1"/>
    <n v="15200"/>
    <n v="0"/>
    <m/>
    <x v="104"/>
    <m/>
    <x v="0"/>
    <x v="3"/>
    <x v="8"/>
    <n v="2026"/>
  </r>
  <r>
    <s v="INT-01291"/>
    <x v="47"/>
    <x v="0"/>
    <x v="6"/>
    <x v="4"/>
    <s v="Customer 376"/>
    <s v="WhatsApp API"/>
    <s v="Inbound"/>
    <x v="3"/>
    <n v="1"/>
    <n v="21200"/>
    <n v="0"/>
    <m/>
    <x v="165"/>
    <m/>
    <x v="0"/>
    <x v="4"/>
    <x v="11"/>
    <n v="2026"/>
  </r>
  <r>
    <s v="INT-01292"/>
    <x v="300"/>
    <x v="0"/>
    <x v="6"/>
    <x v="0"/>
    <s v="Customer 636"/>
    <s v="CRM"/>
    <s v="Inbound"/>
    <x v="0"/>
    <n v="1"/>
    <n v="18800"/>
    <n v="18800"/>
    <m/>
    <x v="155"/>
    <m/>
    <x v="0"/>
    <x v="0"/>
    <x v="8"/>
    <n v="2026"/>
  </r>
  <r>
    <s v="INT-01293"/>
    <x v="266"/>
    <x v="1"/>
    <x v="3"/>
    <x v="0"/>
    <s v="Customer 641"/>
    <s v="WhatsApp API"/>
    <m/>
    <x v="1"/>
    <n v="0"/>
    <n v="0"/>
    <n v="0"/>
    <n v="1"/>
    <x v="43"/>
    <n v="2.1"/>
    <x v="5"/>
    <x v="2"/>
    <x v="4"/>
    <n v="2026"/>
  </r>
  <r>
    <s v="INT-01294"/>
    <x v="170"/>
    <x v="1"/>
    <x v="2"/>
    <x v="2"/>
    <s v="Customer 186"/>
    <s v="CRM"/>
    <m/>
    <x v="1"/>
    <n v="0"/>
    <n v="0"/>
    <n v="0"/>
    <n v="1"/>
    <x v="62"/>
    <n v="6.6"/>
    <x v="5"/>
    <x v="5"/>
    <x v="7"/>
    <n v="2026"/>
  </r>
  <r>
    <s v="INT-01295"/>
    <x v="186"/>
    <x v="1"/>
    <x v="8"/>
    <x v="0"/>
    <s v="Customer 293"/>
    <s v="CRM"/>
    <m/>
    <x v="1"/>
    <n v="0"/>
    <n v="0"/>
    <n v="0"/>
    <n v="1"/>
    <x v="144"/>
    <n v="10.3"/>
    <x v="13"/>
    <x v="5"/>
    <x v="4"/>
    <n v="2026"/>
  </r>
  <r>
    <s v="INT-01296"/>
    <x v="77"/>
    <x v="0"/>
    <x v="0"/>
    <x v="4"/>
    <s v="Customer 657"/>
    <s v="Analytics"/>
    <s v="Referral"/>
    <x v="6"/>
    <n v="1"/>
    <n v="11600"/>
    <n v="0"/>
    <m/>
    <x v="177"/>
    <m/>
    <x v="0"/>
    <x v="8"/>
    <x v="0"/>
    <n v="2026"/>
  </r>
  <r>
    <s v="INT-01297"/>
    <x v="15"/>
    <x v="0"/>
    <x v="5"/>
    <x v="0"/>
    <s v="Customer 607"/>
    <s v="Automation"/>
    <s v="Outbound"/>
    <x v="5"/>
    <n v="1"/>
    <n v="17900"/>
    <n v="0"/>
    <m/>
    <x v="41"/>
    <m/>
    <x v="0"/>
    <x v="7"/>
    <x v="10"/>
    <n v="2025"/>
  </r>
  <r>
    <s v="INT-01298"/>
    <x v="198"/>
    <x v="0"/>
    <x v="4"/>
    <x v="0"/>
    <s v="Customer 074"/>
    <s v="WhatsApp API"/>
    <s v="Referral"/>
    <x v="3"/>
    <n v="1"/>
    <n v="6000"/>
    <n v="0"/>
    <m/>
    <x v="83"/>
    <m/>
    <x v="0"/>
    <x v="4"/>
    <x v="7"/>
    <n v="2026"/>
  </r>
  <r>
    <s v="INT-01299"/>
    <x v="324"/>
    <x v="1"/>
    <x v="12"/>
    <x v="0"/>
    <s v="Customer 030"/>
    <s v="Automation"/>
    <m/>
    <x v="1"/>
    <n v="0"/>
    <n v="0"/>
    <n v="0"/>
    <n v="1"/>
    <x v="43"/>
    <n v="5.9"/>
    <x v="18"/>
    <x v="2"/>
    <x v="11"/>
    <n v="2026"/>
  </r>
  <r>
    <s v="INT-01300"/>
    <x v="276"/>
    <x v="1"/>
    <x v="14"/>
    <x v="1"/>
    <s v="Customer 427"/>
    <s v="WhatsApp API"/>
    <m/>
    <x v="1"/>
    <n v="0"/>
    <n v="0"/>
    <n v="0"/>
    <n v="1"/>
    <x v="53"/>
    <n v="8.9"/>
    <x v="6"/>
    <x v="5"/>
    <x v="4"/>
    <n v="2026"/>
  </r>
  <r>
    <s v="INT-01301"/>
    <x v="325"/>
    <x v="0"/>
    <x v="10"/>
    <x v="0"/>
    <s v="Customer 344"/>
    <s v="Automation"/>
    <s v="Outbound"/>
    <x v="4"/>
    <n v="1"/>
    <n v="20400"/>
    <n v="0"/>
    <m/>
    <x v="215"/>
    <m/>
    <x v="0"/>
    <x v="6"/>
    <x v="10"/>
    <n v="2025"/>
  </r>
  <r>
    <s v="INT-01302"/>
    <x v="340"/>
    <x v="1"/>
    <x v="12"/>
    <x v="1"/>
    <s v="Customer 097"/>
    <s v="CRM"/>
    <m/>
    <x v="1"/>
    <n v="0"/>
    <n v="0"/>
    <n v="0"/>
    <n v="1"/>
    <x v="174"/>
    <n v="3.7"/>
    <x v="5"/>
    <x v="9"/>
    <x v="9"/>
    <n v="2025"/>
  </r>
  <r>
    <s v="INT-01303"/>
    <x v="225"/>
    <x v="0"/>
    <x v="5"/>
    <x v="0"/>
    <s v="Customer 516"/>
    <s v="WhatsApp API"/>
    <s v="Website"/>
    <x v="2"/>
    <n v="1"/>
    <n v="8500"/>
    <n v="0"/>
    <m/>
    <x v="87"/>
    <m/>
    <x v="0"/>
    <x v="3"/>
    <x v="3"/>
    <n v="2026"/>
  </r>
  <r>
    <s v="INT-01304"/>
    <x v="84"/>
    <x v="0"/>
    <x v="6"/>
    <x v="0"/>
    <s v="Customer 458"/>
    <s v="Analytics"/>
    <s v="Inbound"/>
    <x v="2"/>
    <n v="1"/>
    <n v="9800"/>
    <n v="0"/>
    <m/>
    <x v="75"/>
    <m/>
    <x v="0"/>
    <x v="3"/>
    <x v="9"/>
    <n v="2025"/>
  </r>
  <r>
    <s v="INT-01305"/>
    <x v="11"/>
    <x v="1"/>
    <x v="9"/>
    <x v="1"/>
    <s v="Customer 515"/>
    <s v="CRM"/>
    <m/>
    <x v="1"/>
    <n v="0"/>
    <n v="0"/>
    <n v="0"/>
    <n v="1"/>
    <x v="85"/>
    <n v="6"/>
    <x v="19"/>
    <x v="2"/>
    <x v="7"/>
    <n v="2026"/>
  </r>
  <r>
    <s v="INT-01306"/>
    <x v="161"/>
    <x v="1"/>
    <x v="12"/>
    <x v="1"/>
    <s v="Customer 389"/>
    <s v="WhatsApp API"/>
    <m/>
    <x v="1"/>
    <n v="0"/>
    <n v="0"/>
    <n v="0"/>
    <n v="1"/>
    <x v="102"/>
    <n v="8.5"/>
    <x v="10"/>
    <x v="5"/>
    <x v="3"/>
    <n v="2026"/>
  </r>
  <r>
    <s v="INT-01307"/>
    <x v="220"/>
    <x v="1"/>
    <x v="15"/>
    <x v="0"/>
    <s v="Customer 496"/>
    <s v="Automation"/>
    <m/>
    <x v="1"/>
    <n v="0"/>
    <n v="0"/>
    <n v="0"/>
    <n v="1"/>
    <x v="75"/>
    <n v="14.8"/>
    <x v="18"/>
    <x v="5"/>
    <x v="2"/>
    <n v="2025"/>
  </r>
  <r>
    <s v="INT-01308"/>
    <x v="106"/>
    <x v="1"/>
    <x v="3"/>
    <x v="4"/>
    <s v="Customer 502"/>
    <s v="WhatsApp API"/>
    <m/>
    <x v="1"/>
    <n v="0"/>
    <n v="0"/>
    <n v="0"/>
    <n v="1"/>
    <x v="182"/>
    <n v="3.9"/>
    <x v="24"/>
    <x v="2"/>
    <x v="3"/>
    <n v="2026"/>
  </r>
  <r>
    <s v="INT-01309"/>
    <x v="76"/>
    <x v="0"/>
    <x v="4"/>
    <x v="0"/>
    <s v="Customer 024"/>
    <s v="Automation"/>
    <s v="Outbound"/>
    <x v="4"/>
    <n v="1"/>
    <n v="56100"/>
    <n v="0"/>
    <m/>
    <x v="212"/>
    <m/>
    <x v="0"/>
    <x v="6"/>
    <x v="4"/>
    <n v="2026"/>
  </r>
  <r>
    <s v="INT-01310"/>
    <x v="102"/>
    <x v="1"/>
    <x v="15"/>
    <x v="4"/>
    <s v="Customer 428"/>
    <s v="WhatsApp API"/>
    <m/>
    <x v="1"/>
    <n v="0"/>
    <n v="0"/>
    <n v="0"/>
    <n v="1"/>
    <x v="199"/>
    <n v="13.6"/>
    <x v="20"/>
    <x v="9"/>
    <x v="6"/>
    <n v="2025"/>
  </r>
  <r>
    <s v="INT-01311"/>
    <x v="222"/>
    <x v="0"/>
    <x v="13"/>
    <x v="0"/>
    <s v="Customer 051"/>
    <s v="WhatsApp API"/>
    <s v="Referral"/>
    <x v="6"/>
    <n v="1"/>
    <n v="35800"/>
    <n v="0"/>
    <m/>
    <x v="152"/>
    <m/>
    <x v="0"/>
    <x v="8"/>
    <x v="6"/>
    <n v="2025"/>
  </r>
  <r>
    <s v="INT-01312"/>
    <x v="2"/>
    <x v="1"/>
    <x v="1"/>
    <x v="1"/>
    <s v="Customer 533"/>
    <s v="CRM"/>
    <m/>
    <x v="1"/>
    <n v="0"/>
    <n v="0"/>
    <n v="0"/>
    <n v="1"/>
    <x v="150"/>
    <n v="12.1"/>
    <x v="1"/>
    <x v="1"/>
    <x v="2"/>
    <n v="2025"/>
  </r>
  <r>
    <s v="INT-01313"/>
    <x v="330"/>
    <x v="0"/>
    <x v="5"/>
    <x v="3"/>
    <s v="Customer 528"/>
    <s v="WhatsApp API"/>
    <s v="Inbound"/>
    <x v="3"/>
    <n v="1"/>
    <n v="66700"/>
    <n v="0"/>
    <m/>
    <x v="225"/>
    <m/>
    <x v="0"/>
    <x v="4"/>
    <x v="10"/>
    <n v="2025"/>
  </r>
  <r>
    <s v="INT-01314"/>
    <x v="166"/>
    <x v="1"/>
    <x v="3"/>
    <x v="3"/>
    <s v="Customer 534"/>
    <s v="Automation"/>
    <m/>
    <x v="1"/>
    <n v="0"/>
    <n v="0"/>
    <n v="0"/>
    <n v="1"/>
    <x v="214"/>
    <n v="10.4"/>
    <x v="5"/>
    <x v="2"/>
    <x v="10"/>
    <n v="2025"/>
  </r>
  <r>
    <s v="INT-01315"/>
    <x v="105"/>
    <x v="0"/>
    <x v="5"/>
    <x v="0"/>
    <s v="Customer 251"/>
    <s v="CRM"/>
    <s v="Website"/>
    <x v="2"/>
    <n v="1"/>
    <n v="12400"/>
    <n v="0"/>
    <m/>
    <x v="125"/>
    <m/>
    <x v="0"/>
    <x v="3"/>
    <x v="9"/>
    <n v="2025"/>
  </r>
  <r>
    <s v="INT-01316"/>
    <x v="44"/>
    <x v="1"/>
    <x v="15"/>
    <x v="0"/>
    <s v="Customer 675"/>
    <s v="WhatsApp API"/>
    <m/>
    <x v="1"/>
    <n v="0"/>
    <n v="0"/>
    <n v="0"/>
    <n v="1"/>
    <x v="33"/>
    <n v="4.8"/>
    <x v="5"/>
    <x v="5"/>
    <x v="11"/>
    <n v="2026"/>
  </r>
  <r>
    <s v="INT-01317"/>
    <x v="162"/>
    <x v="0"/>
    <x v="5"/>
    <x v="3"/>
    <s v="Customer 202"/>
    <s v="Automation"/>
    <s v="Inbound"/>
    <x v="5"/>
    <n v="1"/>
    <n v="26800"/>
    <n v="0"/>
    <m/>
    <x v="218"/>
    <m/>
    <x v="0"/>
    <x v="7"/>
    <x v="2"/>
    <n v="2025"/>
  </r>
  <r>
    <s v="INT-01318"/>
    <x v="193"/>
    <x v="1"/>
    <x v="3"/>
    <x v="0"/>
    <s v="Customer 236"/>
    <s v="CRM"/>
    <m/>
    <x v="1"/>
    <n v="0"/>
    <n v="0"/>
    <n v="0"/>
    <n v="1"/>
    <x v="44"/>
    <n v="9.5"/>
    <x v="20"/>
    <x v="1"/>
    <x v="9"/>
    <n v="2025"/>
  </r>
  <r>
    <s v="INT-01319"/>
    <x v="323"/>
    <x v="0"/>
    <x v="10"/>
    <x v="3"/>
    <s v="Customer 622"/>
    <s v="CRM"/>
    <s v="Outbound"/>
    <x v="3"/>
    <n v="1"/>
    <n v="6800"/>
    <n v="0"/>
    <m/>
    <x v="13"/>
    <m/>
    <x v="0"/>
    <x v="4"/>
    <x v="3"/>
    <n v="2026"/>
  </r>
  <r>
    <s v="INT-01320"/>
    <x v="186"/>
    <x v="0"/>
    <x v="13"/>
    <x v="0"/>
    <s v="Customer 586"/>
    <s v="WhatsApp API"/>
    <s v="Outbound"/>
    <x v="3"/>
    <n v="1"/>
    <n v="23800"/>
    <n v="0"/>
    <m/>
    <x v="220"/>
    <m/>
    <x v="0"/>
    <x v="4"/>
    <x v="4"/>
    <n v="2026"/>
  </r>
  <r>
    <s v="INT-01321"/>
    <x v="30"/>
    <x v="0"/>
    <x v="10"/>
    <x v="2"/>
    <s v="Customer 033"/>
    <s v="WhatsApp API"/>
    <s v="Outbound"/>
    <x v="5"/>
    <n v="1"/>
    <n v="18000"/>
    <n v="0"/>
    <m/>
    <x v="233"/>
    <m/>
    <x v="0"/>
    <x v="7"/>
    <x v="11"/>
    <n v="2026"/>
  </r>
  <r>
    <s v="INT-01322"/>
    <x v="220"/>
    <x v="0"/>
    <x v="4"/>
    <x v="2"/>
    <s v="Customer 271"/>
    <s v="Analytics"/>
    <s v="Referral"/>
    <x v="4"/>
    <n v="1"/>
    <n v="19600"/>
    <n v="0"/>
    <m/>
    <x v="175"/>
    <m/>
    <x v="0"/>
    <x v="6"/>
    <x v="2"/>
    <n v="2025"/>
  </r>
  <r>
    <s v="INT-01323"/>
    <x v="209"/>
    <x v="1"/>
    <x v="9"/>
    <x v="0"/>
    <s v="Customer 364"/>
    <s v="WhatsApp API"/>
    <m/>
    <x v="1"/>
    <n v="0"/>
    <n v="0"/>
    <n v="0"/>
    <n v="1"/>
    <x v="75"/>
    <n v="2.2999999999999998"/>
    <x v="9"/>
    <x v="2"/>
    <x v="9"/>
    <n v="2025"/>
  </r>
  <r>
    <s v="INT-01324"/>
    <x v="320"/>
    <x v="0"/>
    <x v="6"/>
    <x v="2"/>
    <s v="Customer 233"/>
    <s v="Automation"/>
    <s v="Inbound"/>
    <x v="3"/>
    <n v="1"/>
    <n v="77200"/>
    <n v="0"/>
    <m/>
    <x v="144"/>
    <m/>
    <x v="0"/>
    <x v="4"/>
    <x v="1"/>
    <n v="2026"/>
  </r>
  <r>
    <s v="INT-01325"/>
    <x v="296"/>
    <x v="1"/>
    <x v="12"/>
    <x v="2"/>
    <s v="Customer 505"/>
    <s v="CRM"/>
    <m/>
    <x v="1"/>
    <n v="0"/>
    <n v="0"/>
    <n v="0"/>
    <n v="1"/>
    <x v="37"/>
    <n v="10.199999999999999"/>
    <x v="4"/>
    <x v="1"/>
    <x v="3"/>
    <n v="2026"/>
  </r>
  <r>
    <s v="INT-01326"/>
    <x v="33"/>
    <x v="0"/>
    <x v="11"/>
    <x v="2"/>
    <s v="Customer 308"/>
    <s v="CRM"/>
    <s v="Inbound"/>
    <x v="2"/>
    <n v="1"/>
    <n v="10400"/>
    <n v="0"/>
    <m/>
    <x v="31"/>
    <m/>
    <x v="0"/>
    <x v="3"/>
    <x v="4"/>
    <n v="2026"/>
  </r>
  <r>
    <s v="INT-01327"/>
    <x v="319"/>
    <x v="0"/>
    <x v="10"/>
    <x v="0"/>
    <s v="Customer 407"/>
    <s v="Analytics"/>
    <s v="Inbound"/>
    <x v="5"/>
    <n v="1"/>
    <n v="38400"/>
    <n v="0"/>
    <m/>
    <x v="90"/>
    <m/>
    <x v="0"/>
    <x v="7"/>
    <x v="3"/>
    <n v="2026"/>
  </r>
  <r>
    <s v="INT-01328"/>
    <x v="221"/>
    <x v="1"/>
    <x v="2"/>
    <x v="3"/>
    <s v="Customer 168"/>
    <s v="CRM"/>
    <m/>
    <x v="1"/>
    <n v="0"/>
    <n v="0"/>
    <n v="0"/>
    <n v="1"/>
    <x v="148"/>
    <n v="3.9"/>
    <x v="7"/>
    <x v="2"/>
    <x v="5"/>
    <n v="2026"/>
  </r>
  <r>
    <s v="INT-01329"/>
    <x v="216"/>
    <x v="1"/>
    <x v="12"/>
    <x v="0"/>
    <s v="Customer 682"/>
    <s v="WhatsApp API"/>
    <m/>
    <x v="1"/>
    <n v="0"/>
    <n v="0"/>
    <n v="0"/>
    <n v="1"/>
    <x v="36"/>
    <n v="2.7"/>
    <x v="4"/>
    <x v="2"/>
    <x v="5"/>
    <n v="2026"/>
  </r>
  <r>
    <s v="INT-01330"/>
    <x v="271"/>
    <x v="0"/>
    <x v="13"/>
    <x v="0"/>
    <s v="Customer 138"/>
    <s v="CRM"/>
    <s v="Referral"/>
    <x v="0"/>
    <n v="1"/>
    <n v="31000"/>
    <n v="31000"/>
    <m/>
    <x v="214"/>
    <m/>
    <x v="0"/>
    <x v="0"/>
    <x v="1"/>
    <n v="2026"/>
  </r>
  <r>
    <s v="INT-01331"/>
    <x v="63"/>
    <x v="1"/>
    <x v="9"/>
    <x v="0"/>
    <s v="Customer 329"/>
    <s v="CRM"/>
    <m/>
    <x v="1"/>
    <n v="0"/>
    <n v="0"/>
    <n v="0"/>
    <n v="1"/>
    <x v="71"/>
    <n v="8.6999999999999993"/>
    <x v="4"/>
    <x v="9"/>
    <x v="4"/>
    <n v="2026"/>
  </r>
  <r>
    <s v="INT-01332"/>
    <x v="176"/>
    <x v="1"/>
    <x v="15"/>
    <x v="1"/>
    <s v="Customer 064"/>
    <s v="WhatsApp API"/>
    <m/>
    <x v="1"/>
    <n v="0"/>
    <n v="0"/>
    <n v="0"/>
    <n v="1"/>
    <x v="71"/>
    <n v="13.2"/>
    <x v="21"/>
    <x v="9"/>
    <x v="3"/>
    <n v="2026"/>
  </r>
  <r>
    <s v="INT-01333"/>
    <x v="275"/>
    <x v="0"/>
    <x v="13"/>
    <x v="0"/>
    <s v="Customer 103"/>
    <s v="WhatsApp API"/>
    <s v="Inbound"/>
    <x v="3"/>
    <n v="1"/>
    <n v="10300"/>
    <n v="0"/>
    <m/>
    <x v="19"/>
    <m/>
    <x v="0"/>
    <x v="4"/>
    <x v="10"/>
    <n v="2025"/>
  </r>
  <r>
    <s v="INT-01334"/>
    <x v="328"/>
    <x v="1"/>
    <x v="2"/>
    <x v="4"/>
    <s v="Customer 599"/>
    <s v="Automation"/>
    <m/>
    <x v="1"/>
    <n v="0"/>
    <n v="0"/>
    <n v="0"/>
    <n v="1"/>
    <x v="128"/>
    <n v="4.5999999999999996"/>
    <x v="21"/>
    <x v="2"/>
    <x v="8"/>
    <n v="2026"/>
  </r>
  <r>
    <s v="INT-01335"/>
    <x v="48"/>
    <x v="1"/>
    <x v="9"/>
    <x v="4"/>
    <s v="Customer 052"/>
    <s v="CRM"/>
    <m/>
    <x v="1"/>
    <n v="0"/>
    <n v="0"/>
    <n v="0"/>
    <n v="1"/>
    <x v="49"/>
    <n v="32.5"/>
    <x v="26"/>
    <x v="2"/>
    <x v="0"/>
    <n v="2026"/>
  </r>
  <r>
    <s v="INT-01336"/>
    <x v="35"/>
    <x v="1"/>
    <x v="15"/>
    <x v="1"/>
    <s v="Customer 367"/>
    <s v="Analytics"/>
    <m/>
    <x v="1"/>
    <n v="0"/>
    <n v="0"/>
    <n v="0"/>
    <n v="1"/>
    <x v="112"/>
    <n v="27.7"/>
    <x v="5"/>
    <x v="9"/>
    <x v="8"/>
    <n v="2026"/>
  </r>
  <r>
    <s v="INT-01337"/>
    <x v="34"/>
    <x v="0"/>
    <x v="4"/>
    <x v="0"/>
    <s v="Customer 152"/>
    <s v="Automation"/>
    <s v="Inbound"/>
    <x v="0"/>
    <n v="1"/>
    <n v="6200"/>
    <n v="6200"/>
    <m/>
    <x v="143"/>
    <m/>
    <x v="0"/>
    <x v="0"/>
    <x v="3"/>
    <n v="2026"/>
  </r>
  <r>
    <s v="INT-01338"/>
    <x v="178"/>
    <x v="1"/>
    <x v="12"/>
    <x v="0"/>
    <s v="Customer 585"/>
    <s v="Analytics"/>
    <m/>
    <x v="1"/>
    <n v="0"/>
    <n v="0"/>
    <n v="0"/>
    <n v="1"/>
    <x v="168"/>
    <n v="5.3"/>
    <x v="7"/>
    <x v="2"/>
    <x v="6"/>
    <n v="2025"/>
  </r>
  <r>
    <s v="INT-01339"/>
    <x v="0"/>
    <x v="0"/>
    <x v="0"/>
    <x v="3"/>
    <s v="Customer 431"/>
    <s v="WhatsApp API"/>
    <s v="Website"/>
    <x v="3"/>
    <n v="1"/>
    <n v="19000"/>
    <n v="0"/>
    <m/>
    <x v="176"/>
    <m/>
    <x v="0"/>
    <x v="4"/>
    <x v="0"/>
    <n v="2026"/>
  </r>
  <r>
    <s v="INT-01340"/>
    <x v="346"/>
    <x v="0"/>
    <x v="11"/>
    <x v="0"/>
    <s v="Customer 244"/>
    <s v="CRM"/>
    <s v="Outbound"/>
    <x v="6"/>
    <n v="1"/>
    <n v="22100"/>
    <n v="0"/>
    <m/>
    <x v="93"/>
    <m/>
    <x v="0"/>
    <x v="8"/>
    <x v="11"/>
    <n v="2026"/>
  </r>
  <r>
    <s v="INT-01341"/>
    <x v="134"/>
    <x v="0"/>
    <x v="10"/>
    <x v="4"/>
    <s v="Customer 275"/>
    <s v="Automation"/>
    <s v="Inbound"/>
    <x v="5"/>
    <n v="1"/>
    <n v="19000"/>
    <n v="0"/>
    <m/>
    <x v="34"/>
    <m/>
    <x v="0"/>
    <x v="7"/>
    <x v="8"/>
    <n v="2026"/>
  </r>
  <r>
    <s v="INT-01342"/>
    <x v="340"/>
    <x v="0"/>
    <x v="5"/>
    <x v="0"/>
    <s v="Customer 041"/>
    <s v="CRM"/>
    <s v="Partner"/>
    <x v="2"/>
    <n v="1"/>
    <n v="50500"/>
    <n v="0"/>
    <m/>
    <x v="233"/>
    <m/>
    <x v="0"/>
    <x v="3"/>
    <x v="9"/>
    <n v="2025"/>
  </r>
  <r>
    <s v="INT-01343"/>
    <x v="94"/>
    <x v="1"/>
    <x v="15"/>
    <x v="0"/>
    <s v="Customer 010"/>
    <s v="Analytics"/>
    <m/>
    <x v="1"/>
    <n v="0"/>
    <n v="0"/>
    <n v="0"/>
    <n v="1"/>
    <x v="178"/>
    <n v="2.8"/>
    <x v="21"/>
    <x v="5"/>
    <x v="8"/>
    <n v="2026"/>
  </r>
  <r>
    <s v="INT-01344"/>
    <x v="51"/>
    <x v="1"/>
    <x v="1"/>
    <x v="0"/>
    <s v="Customer 663"/>
    <s v="CRM"/>
    <m/>
    <x v="1"/>
    <n v="0"/>
    <n v="0"/>
    <n v="0"/>
    <n v="1"/>
    <x v="13"/>
    <n v="10.1"/>
    <x v="6"/>
    <x v="2"/>
    <x v="6"/>
    <n v="2025"/>
  </r>
  <r>
    <s v="INT-01345"/>
    <x v="285"/>
    <x v="1"/>
    <x v="12"/>
    <x v="3"/>
    <s v="Customer 689"/>
    <s v="WhatsApp API"/>
    <m/>
    <x v="1"/>
    <n v="0"/>
    <n v="0"/>
    <n v="0"/>
    <n v="1"/>
    <x v="178"/>
    <n v="3.7"/>
    <x v="4"/>
    <x v="2"/>
    <x v="0"/>
    <n v="2026"/>
  </r>
  <r>
    <s v="INT-01346"/>
    <x v="293"/>
    <x v="0"/>
    <x v="5"/>
    <x v="0"/>
    <s v="Customer 112"/>
    <s v="WhatsApp API"/>
    <s v="Referral"/>
    <x v="0"/>
    <n v="1"/>
    <n v="6300"/>
    <n v="6300"/>
    <m/>
    <x v="36"/>
    <m/>
    <x v="0"/>
    <x v="0"/>
    <x v="0"/>
    <n v="2026"/>
  </r>
  <r>
    <s v="INT-01347"/>
    <x v="227"/>
    <x v="0"/>
    <x v="0"/>
    <x v="0"/>
    <s v="Customer 082"/>
    <s v="Automation"/>
    <s v="Website"/>
    <x v="3"/>
    <n v="1"/>
    <n v="20700"/>
    <n v="0"/>
    <m/>
    <x v="150"/>
    <m/>
    <x v="0"/>
    <x v="4"/>
    <x v="4"/>
    <n v="2026"/>
  </r>
  <r>
    <s v="INT-01348"/>
    <x v="82"/>
    <x v="0"/>
    <x v="0"/>
    <x v="2"/>
    <s v="Customer 031"/>
    <s v="CRM"/>
    <s v="Partner"/>
    <x v="0"/>
    <n v="1"/>
    <n v="15600"/>
    <n v="15600"/>
    <m/>
    <x v="155"/>
    <m/>
    <x v="0"/>
    <x v="0"/>
    <x v="0"/>
    <n v="2026"/>
  </r>
  <r>
    <s v="INT-01349"/>
    <x v="26"/>
    <x v="1"/>
    <x v="12"/>
    <x v="0"/>
    <s v="Customer 544"/>
    <s v="CRM"/>
    <m/>
    <x v="1"/>
    <n v="0"/>
    <n v="0"/>
    <n v="0"/>
    <n v="1"/>
    <x v="150"/>
    <n v="9"/>
    <x v="2"/>
    <x v="1"/>
    <x v="1"/>
    <n v="2026"/>
  </r>
  <r>
    <s v="INT-01350"/>
    <x v="280"/>
    <x v="0"/>
    <x v="0"/>
    <x v="4"/>
    <s v="Customer 660"/>
    <s v="Automation"/>
    <s v="Website"/>
    <x v="3"/>
    <n v="1"/>
    <n v="72200"/>
    <n v="0"/>
    <m/>
    <x v="36"/>
    <m/>
    <x v="0"/>
    <x v="4"/>
    <x v="10"/>
    <n v="2025"/>
  </r>
  <r>
    <s v="INT-01351"/>
    <x v="95"/>
    <x v="1"/>
    <x v="9"/>
    <x v="0"/>
    <s v="Customer 384"/>
    <s v="CRM"/>
    <m/>
    <x v="1"/>
    <n v="0"/>
    <n v="0"/>
    <n v="0"/>
    <n v="1"/>
    <x v="8"/>
    <n v="4.2"/>
    <x v="19"/>
    <x v="2"/>
    <x v="6"/>
    <n v="2025"/>
  </r>
  <r>
    <s v="INT-01352"/>
    <x v="44"/>
    <x v="1"/>
    <x v="14"/>
    <x v="2"/>
    <s v="Customer 294"/>
    <s v="Analytics"/>
    <m/>
    <x v="1"/>
    <n v="0"/>
    <n v="0"/>
    <n v="0"/>
    <n v="1"/>
    <x v="17"/>
    <n v="13.2"/>
    <x v="5"/>
    <x v="2"/>
    <x v="11"/>
    <n v="2026"/>
  </r>
  <r>
    <s v="INT-01353"/>
    <x v="157"/>
    <x v="0"/>
    <x v="13"/>
    <x v="3"/>
    <s v="Customer 213"/>
    <s v="Automation"/>
    <s v="Referral"/>
    <x v="3"/>
    <n v="1"/>
    <n v="10100"/>
    <n v="0"/>
    <m/>
    <x v="48"/>
    <m/>
    <x v="0"/>
    <x v="4"/>
    <x v="0"/>
    <n v="2026"/>
  </r>
  <r>
    <s v="INT-01354"/>
    <x v="148"/>
    <x v="1"/>
    <x v="9"/>
    <x v="0"/>
    <s v="Customer 137"/>
    <s v="WhatsApp API"/>
    <m/>
    <x v="1"/>
    <n v="0"/>
    <n v="0"/>
    <n v="0"/>
    <n v="1"/>
    <x v="177"/>
    <n v="13.8"/>
    <x v="21"/>
    <x v="9"/>
    <x v="4"/>
    <n v="2026"/>
  </r>
  <r>
    <s v="INT-01355"/>
    <x v="79"/>
    <x v="0"/>
    <x v="6"/>
    <x v="0"/>
    <s v="Customer 228"/>
    <s v="WhatsApp API"/>
    <s v="Inbound"/>
    <x v="6"/>
    <n v="1"/>
    <n v="26100"/>
    <n v="0"/>
    <m/>
    <x v="160"/>
    <m/>
    <x v="0"/>
    <x v="8"/>
    <x v="0"/>
    <n v="2026"/>
  </r>
  <r>
    <s v="INT-01356"/>
    <x v="218"/>
    <x v="1"/>
    <x v="12"/>
    <x v="2"/>
    <s v="Customer 106"/>
    <s v="CRM"/>
    <m/>
    <x v="1"/>
    <n v="0"/>
    <n v="0"/>
    <n v="0"/>
    <n v="1"/>
    <x v="84"/>
    <n v="6.4"/>
    <x v="13"/>
    <x v="2"/>
    <x v="5"/>
    <n v="2026"/>
  </r>
  <r>
    <s v="INT-01357"/>
    <x v="240"/>
    <x v="1"/>
    <x v="1"/>
    <x v="0"/>
    <s v="Customer 008"/>
    <s v="WhatsApp API"/>
    <m/>
    <x v="1"/>
    <n v="0"/>
    <n v="0"/>
    <n v="0"/>
    <n v="1"/>
    <x v="197"/>
    <n v="3"/>
    <x v="23"/>
    <x v="2"/>
    <x v="11"/>
    <n v="2026"/>
  </r>
  <r>
    <s v="INT-01358"/>
    <x v="68"/>
    <x v="0"/>
    <x v="13"/>
    <x v="2"/>
    <s v="Customer 066"/>
    <s v="Analytics"/>
    <s v="Partner"/>
    <x v="3"/>
    <n v="1"/>
    <n v="25300"/>
    <n v="0"/>
    <m/>
    <x v="172"/>
    <m/>
    <x v="0"/>
    <x v="4"/>
    <x v="4"/>
    <n v="2026"/>
  </r>
  <r>
    <s v="INT-01359"/>
    <x v="308"/>
    <x v="0"/>
    <x v="6"/>
    <x v="0"/>
    <s v="Customer 647"/>
    <s v="CRM"/>
    <s v="Website"/>
    <x v="6"/>
    <n v="1"/>
    <n v="7000"/>
    <n v="0"/>
    <m/>
    <x v="44"/>
    <m/>
    <x v="0"/>
    <x v="8"/>
    <x v="8"/>
    <n v="2026"/>
  </r>
  <r>
    <s v="INT-01360"/>
    <x v="179"/>
    <x v="1"/>
    <x v="3"/>
    <x v="1"/>
    <s v="Customer 024"/>
    <s v="Automation"/>
    <m/>
    <x v="1"/>
    <n v="0"/>
    <n v="0"/>
    <n v="0"/>
    <n v="1"/>
    <x v="234"/>
    <n v="16.399999999999999"/>
    <x v="21"/>
    <x v="5"/>
    <x v="2"/>
    <n v="2025"/>
  </r>
  <r>
    <s v="INT-01361"/>
    <x v="41"/>
    <x v="1"/>
    <x v="12"/>
    <x v="0"/>
    <s v="Customer 274"/>
    <s v="WhatsApp API"/>
    <m/>
    <x v="1"/>
    <n v="0"/>
    <n v="0"/>
    <n v="0"/>
    <n v="1"/>
    <x v="1"/>
    <n v="17.100000000000001"/>
    <x v="5"/>
    <x v="2"/>
    <x v="9"/>
    <n v="2025"/>
  </r>
  <r>
    <s v="INT-01362"/>
    <x v="146"/>
    <x v="0"/>
    <x v="0"/>
    <x v="2"/>
    <s v="Customer 330"/>
    <s v="WhatsApp API"/>
    <s v="Outbound"/>
    <x v="5"/>
    <n v="1"/>
    <n v="36000"/>
    <n v="0"/>
    <m/>
    <x v="187"/>
    <m/>
    <x v="0"/>
    <x v="7"/>
    <x v="9"/>
    <n v="2025"/>
  </r>
  <r>
    <s v="INT-01363"/>
    <x v="251"/>
    <x v="1"/>
    <x v="9"/>
    <x v="0"/>
    <s v="Customer 351"/>
    <s v="WhatsApp API"/>
    <m/>
    <x v="1"/>
    <n v="0"/>
    <n v="0"/>
    <n v="0"/>
    <n v="1"/>
    <x v="69"/>
    <n v="8.6"/>
    <x v="4"/>
    <x v="5"/>
    <x v="11"/>
    <n v="2026"/>
  </r>
  <r>
    <s v="INT-01364"/>
    <x v="339"/>
    <x v="1"/>
    <x v="15"/>
    <x v="0"/>
    <s v="Customer 425"/>
    <s v="WhatsApp API"/>
    <m/>
    <x v="1"/>
    <n v="0"/>
    <n v="0"/>
    <n v="0"/>
    <n v="1"/>
    <x v="142"/>
    <n v="13.5"/>
    <x v="5"/>
    <x v="2"/>
    <x v="6"/>
    <n v="2025"/>
  </r>
  <r>
    <s v="INT-01365"/>
    <x v="215"/>
    <x v="1"/>
    <x v="14"/>
    <x v="2"/>
    <s v="Customer 039"/>
    <s v="CRM"/>
    <m/>
    <x v="1"/>
    <n v="0"/>
    <n v="0"/>
    <n v="0"/>
    <n v="1"/>
    <x v="100"/>
    <n v="5.8"/>
    <x v="1"/>
    <x v="2"/>
    <x v="10"/>
    <n v="2025"/>
  </r>
  <r>
    <s v="INT-01366"/>
    <x v="134"/>
    <x v="0"/>
    <x v="6"/>
    <x v="0"/>
    <s v="Customer 293"/>
    <s v="WhatsApp API"/>
    <s v="Website"/>
    <x v="0"/>
    <n v="1"/>
    <n v="5100"/>
    <n v="5100"/>
    <m/>
    <x v="62"/>
    <m/>
    <x v="0"/>
    <x v="0"/>
    <x v="8"/>
    <n v="2026"/>
  </r>
  <r>
    <s v="INT-01367"/>
    <x v="47"/>
    <x v="1"/>
    <x v="8"/>
    <x v="1"/>
    <s v="Customer 059"/>
    <s v="WhatsApp API"/>
    <m/>
    <x v="1"/>
    <n v="0"/>
    <n v="0"/>
    <n v="0"/>
    <n v="1"/>
    <x v="163"/>
    <n v="5.9"/>
    <x v="1"/>
    <x v="9"/>
    <x v="11"/>
    <n v="2026"/>
  </r>
  <r>
    <s v="INT-01368"/>
    <x v="74"/>
    <x v="1"/>
    <x v="9"/>
    <x v="0"/>
    <s v="Customer 601"/>
    <s v="CRM"/>
    <m/>
    <x v="1"/>
    <n v="0"/>
    <n v="0"/>
    <n v="0"/>
    <n v="1"/>
    <x v="11"/>
    <n v="10"/>
    <x v="18"/>
    <x v="2"/>
    <x v="3"/>
    <n v="2026"/>
  </r>
  <r>
    <s v="INT-01369"/>
    <x v="187"/>
    <x v="0"/>
    <x v="6"/>
    <x v="0"/>
    <s v="Customer 547"/>
    <s v="Analytics"/>
    <s v="Website"/>
    <x v="0"/>
    <n v="1"/>
    <n v="20300"/>
    <n v="20300"/>
    <m/>
    <x v="26"/>
    <m/>
    <x v="0"/>
    <x v="0"/>
    <x v="5"/>
    <n v="2026"/>
  </r>
  <r>
    <s v="INT-01370"/>
    <x v="336"/>
    <x v="0"/>
    <x v="0"/>
    <x v="4"/>
    <s v="Customer 658"/>
    <s v="Automation"/>
    <s v="Outbound"/>
    <x v="0"/>
    <n v="1"/>
    <n v="132700"/>
    <n v="132700"/>
    <m/>
    <x v="0"/>
    <m/>
    <x v="0"/>
    <x v="0"/>
    <x v="8"/>
    <n v="2026"/>
  </r>
  <r>
    <s v="INT-01371"/>
    <x v="2"/>
    <x v="1"/>
    <x v="2"/>
    <x v="0"/>
    <s v="Customer 672"/>
    <s v="Analytics"/>
    <m/>
    <x v="1"/>
    <n v="0"/>
    <n v="0"/>
    <n v="0"/>
    <n v="1"/>
    <x v="142"/>
    <n v="17.2"/>
    <x v="13"/>
    <x v="9"/>
    <x v="2"/>
    <n v="2025"/>
  </r>
  <r>
    <s v="INT-01372"/>
    <x v="75"/>
    <x v="0"/>
    <x v="5"/>
    <x v="0"/>
    <s v="Customer 652"/>
    <s v="CRM"/>
    <s v="Inbound"/>
    <x v="4"/>
    <n v="1"/>
    <n v="12900"/>
    <n v="0"/>
    <m/>
    <x v="9"/>
    <m/>
    <x v="0"/>
    <x v="6"/>
    <x v="9"/>
    <n v="2025"/>
  </r>
  <r>
    <s v="INT-01373"/>
    <x v="288"/>
    <x v="1"/>
    <x v="3"/>
    <x v="0"/>
    <s v="Customer 065"/>
    <s v="CRM"/>
    <m/>
    <x v="1"/>
    <n v="0"/>
    <n v="0"/>
    <n v="0"/>
    <n v="1"/>
    <x v="15"/>
    <n v="9"/>
    <x v="20"/>
    <x v="1"/>
    <x v="3"/>
    <n v="2026"/>
  </r>
  <r>
    <s v="INT-01374"/>
    <x v="99"/>
    <x v="0"/>
    <x v="0"/>
    <x v="0"/>
    <s v="Customer 326"/>
    <s v="CRM"/>
    <s v="Referral"/>
    <x v="6"/>
    <n v="1"/>
    <n v="10800"/>
    <n v="0"/>
    <m/>
    <x v="205"/>
    <m/>
    <x v="0"/>
    <x v="8"/>
    <x v="10"/>
    <n v="2025"/>
  </r>
  <r>
    <s v="INT-01375"/>
    <x v="240"/>
    <x v="0"/>
    <x v="4"/>
    <x v="1"/>
    <s v="Customer 063"/>
    <s v="Automation"/>
    <s v="Outbound"/>
    <x v="2"/>
    <n v="1"/>
    <n v="12000"/>
    <n v="0"/>
    <m/>
    <x v="35"/>
    <m/>
    <x v="0"/>
    <x v="3"/>
    <x v="11"/>
    <n v="2026"/>
  </r>
  <r>
    <s v="INT-01376"/>
    <x v="104"/>
    <x v="1"/>
    <x v="8"/>
    <x v="1"/>
    <s v="Customer 128"/>
    <s v="CRM"/>
    <m/>
    <x v="1"/>
    <n v="0"/>
    <n v="0"/>
    <n v="0"/>
    <n v="1"/>
    <x v="3"/>
    <n v="8.6999999999999993"/>
    <x v="5"/>
    <x v="2"/>
    <x v="2"/>
    <n v="2025"/>
  </r>
  <r>
    <s v="INT-01377"/>
    <x v="222"/>
    <x v="0"/>
    <x v="7"/>
    <x v="0"/>
    <s v="Customer 036"/>
    <s v="CRM"/>
    <s v="Inbound"/>
    <x v="6"/>
    <n v="1"/>
    <n v="9900"/>
    <n v="0"/>
    <m/>
    <x v="126"/>
    <m/>
    <x v="0"/>
    <x v="8"/>
    <x v="6"/>
    <n v="2025"/>
  </r>
  <r>
    <s v="INT-01378"/>
    <x v="261"/>
    <x v="0"/>
    <x v="10"/>
    <x v="0"/>
    <s v="Customer 576"/>
    <s v="CRM"/>
    <s v="Outbound"/>
    <x v="3"/>
    <n v="1"/>
    <n v="22400"/>
    <n v="0"/>
    <m/>
    <x v="132"/>
    <m/>
    <x v="0"/>
    <x v="4"/>
    <x v="1"/>
    <n v="2026"/>
  </r>
  <r>
    <s v="INT-01379"/>
    <x v="70"/>
    <x v="0"/>
    <x v="5"/>
    <x v="0"/>
    <s v="Customer 403"/>
    <s v="CRM"/>
    <s v="Outbound"/>
    <x v="5"/>
    <n v="1"/>
    <n v="6300"/>
    <n v="0"/>
    <m/>
    <x v="115"/>
    <m/>
    <x v="0"/>
    <x v="7"/>
    <x v="10"/>
    <n v="2025"/>
  </r>
  <r>
    <s v="INT-01380"/>
    <x v="342"/>
    <x v="1"/>
    <x v="15"/>
    <x v="0"/>
    <s v="Customer 081"/>
    <s v="WhatsApp API"/>
    <m/>
    <x v="1"/>
    <n v="0"/>
    <n v="0"/>
    <n v="0"/>
    <n v="1"/>
    <x v="64"/>
    <n v="8.5"/>
    <x v="17"/>
    <x v="1"/>
    <x v="1"/>
    <n v="2026"/>
  </r>
  <r>
    <s v="INT-01381"/>
    <x v="155"/>
    <x v="0"/>
    <x v="4"/>
    <x v="4"/>
    <s v="Customer 599"/>
    <s v="CRM"/>
    <s v="Website"/>
    <x v="2"/>
    <n v="1"/>
    <n v="34000"/>
    <n v="0"/>
    <m/>
    <x v="220"/>
    <m/>
    <x v="0"/>
    <x v="3"/>
    <x v="7"/>
    <n v="2026"/>
  </r>
  <r>
    <s v="INT-01382"/>
    <x v="104"/>
    <x v="0"/>
    <x v="4"/>
    <x v="2"/>
    <s v="Customer 662"/>
    <s v="CRM"/>
    <s v="Inbound"/>
    <x v="4"/>
    <n v="1"/>
    <n v="16600"/>
    <n v="0"/>
    <m/>
    <x v="102"/>
    <m/>
    <x v="0"/>
    <x v="6"/>
    <x v="2"/>
    <n v="2025"/>
  </r>
  <r>
    <s v="INT-01383"/>
    <x v="310"/>
    <x v="1"/>
    <x v="15"/>
    <x v="2"/>
    <s v="Customer 117"/>
    <s v="WhatsApp API"/>
    <m/>
    <x v="1"/>
    <n v="0"/>
    <n v="0"/>
    <n v="0"/>
    <n v="1"/>
    <x v="102"/>
    <n v="20.100000000000001"/>
    <x v="4"/>
    <x v="5"/>
    <x v="4"/>
    <n v="2026"/>
  </r>
  <r>
    <s v="INT-01384"/>
    <x v="95"/>
    <x v="0"/>
    <x v="10"/>
    <x v="4"/>
    <s v="Customer 343"/>
    <s v="CRM"/>
    <s v="Website"/>
    <x v="2"/>
    <n v="1"/>
    <n v="12700"/>
    <n v="0"/>
    <m/>
    <x v="225"/>
    <m/>
    <x v="0"/>
    <x v="3"/>
    <x v="6"/>
    <n v="2025"/>
  </r>
  <r>
    <s v="INT-01385"/>
    <x v="155"/>
    <x v="1"/>
    <x v="14"/>
    <x v="0"/>
    <s v="Customer 495"/>
    <s v="CRM"/>
    <m/>
    <x v="1"/>
    <n v="0"/>
    <n v="0"/>
    <n v="0"/>
    <n v="1"/>
    <x v="44"/>
    <n v="2.8"/>
    <x v="18"/>
    <x v="1"/>
    <x v="7"/>
    <n v="2026"/>
  </r>
  <r>
    <s v="INT-01386"/>
    <x v="186"/>
    <x v="0"/>
    <x v="0"/>
    <x v="0"/>
    <s v="Customer 118"/>
    <s v="CRM"/>
    <s v="Referral"/>
    <x v="3"/>
    <n v="1"/>
    <n v="20000"/>
    <n v="0"/>
    <m/>
    <x v="235"/>
    <m/>
    <x v="0"/>
    <x v="4"/>
    <x v="4"/>
    <n v="2026"/>
  </r>
  <r>
    <s v="INT-01387"/>
    <x v="62"/>
    <x v="1"/>
    <x v="9"/>
    <x v="2"/>
    <s v="Customer 237"/>
    <s v="WhatsApp API"/>
    <m/>
    <x v="1"/>
    <n v="0"/>
    <n v="0"/>
    <n v="0"/>
    <n v="1"/>
    <x v="75"/>
    <n v="11.6"/>
    <x v="17"/>
    <x v="2"/>
    <x v="5"/>
    <n v="2026"/>
  </r>
  <r>
    <s v="INT-01388"/>
    <x v="254"/>
    <x v="0"/>
    <x v="10"/>
    <x v="0"/>
    <s v="Customer 268"/>
    <s v="Automation"/>
    <s v="Outbound"/>
    <x v="5"/>
    <n v="1"/>
    <n v="17000"/>
    <n v="0"/>
    <m/>
    <x v="163"/>
    <m/>
    <x v="0"/>
    <x v="7"/>
    <x v="8"/>
    <n v="2026"/>
  </r>
  <r>
    <s v="INT-01389"/>
    <x v="144"/>
    <x v="1"/>
    <x v="12"/>
    <x v="0"/>
    <s v="Customer 233"/>
    <s v="CRM"/>
    <m/>
    <x v="1"/>
    <n v="0"/>
    <n v="0"/>
    <n v="0"/>
    <n v="1"/>
    <x v="108"/>
    <n v="31.5"/>
    <x v="2"/>
    <x v="2"/>
    <x v="6"/>
    <n v="2025"/>
  </r>
  <r>
    <s v="INT-01390"/>
    <x v="79"/>
    <x v="0"/>
    <x v="5"/>
    <x v="4"/>
    <s v="Customer 040"/>
    <s v="WhatsApp API"/>
    <s v="Website"/>
    <x v="4"/>
    <n v="1"/>
    <n v="23700"/>
    <n v="0"/>
    <m/>
    <x v="129"/>
    <m/>
    <x v="0"/>
    <x v="6"/>
    <x v="0"/>
    <n v="2026"/>
  </r>
  <r>
    <s v="INT-01391"/>
    <x v="195"/>
    <x v="0"/>
    <x v="13"/>
    <x v="0"/>
    <s v="Customer 605"/>
    <s v="CRM"/>
    <s v="Referral"/>
    <x v="2"/>
    <n v="1"/>
    <n v="43700"/>
    <n v="0"/>
    <m/>
    <x v="235"/>
    <m/>
    <x v="0"/>
    <x v="3"/>
    <x v="9"/>
    <n v="2025"/>
  </r>
  <r>
    <s v="INT-01392"/>
    <x v="284"/>
    <x v="0"/>
    <x v="0"/>
    <x v="2"/>
    <s v="Customer 252"/>
    <s v="WhatsApp API"/>
    <s v="Website"/>
    <x v="4"/>
    <n v="1"/>
    <n v="14800"/>
    <n v="0"/>
    <m/>
    <x v="147"/>
    <m/>
    <x v="0"/>
    <x v="6"/>
    <x v="5"/>
    <n v="2026"/>
  </r>
  <r>
    <s v="INT-01393"/>
    <x v="57"/>
    <x v="0"/>
    <x v="10"/>
    <x v="4"/>
    <s v="Customer 029"/>
    <s v="CRM"/>
    <s v="Outbound"/>
    <x v="3"/>
    <n v="1"/>
    <n v="91700"/>
    <n v="0"/>
    <m/>
    <x v="188"/>
    <m/>
    <x v="0"/>
    <x v="4"/>
    <x v="4"/>
    <n v="2026"/>
  </r>
  <r>
    <s v="INT-01394"/>
    <x v="181"/>
    <x v="0"/>
    <x v="0"/>
    <x v="0"/>
    <s v="Customer 324"/>
    <s v="WhatsApp API"/>
    <s v="Inbound"/>
    <x v="4"/>
    <n v="1"/>
    <n v="18900"/>
    <n v="0"/>
    <m/>
    <x v="195"/>
    <m/>
    <x v="0"/>
    <x v="6"/>
    <x v="11"/>
    <n v="2026"/>
  </r>
  <r>
    <s v="INT-01395"/>
    <x v="67"/>
    <x v="0"/>
    <x v="4"/>
    <x v="0"/>
    <s v="Customer 391"/>
    <s v="CRM"/>
    <s v="Inbound"/>
    <x v="5"/>
    <n v="1"/>
    <n v="20200"/>
    <n v="0"/>
    <m/>
    <x v="93"/>
    <m/>
    <x v="0"/>
    <x v="7"/>
    <x v="6"/>
    <n v="2025"/>
  </r>
  <r>
    <s v="INT-01396"/>
    <x v="267"/>
    <x v="1"/>
    <x v="8"/>
    <x v="4"/>
    <s v="Customer 521"/>
    <s v="CRM"/>
    <m/>
    <x v="1"/>
    <n v="0"/>
    <n v="0"/>
    <n v="0"/>
    <n v="1"/>
    <x v="182"/>
    <n v="8.4"/>
    <x v="4"/>
    <x v="5"/>
    <x v="5"/>
    <n v="2026"/>
  </r>
  <r>
    <s v="INT-01397"/>
    <x v="115"/>
    <x v="0"/>
    <x v="5"/>
    <x v="0"/>
    <s v="Customer 378"/>
    <s v="WhatsApp API"/>
    <s v="Inbound"/>
    <x v="2"/>
    <n v="1"/>
    <n v="19600"/>
    <n v="0"/>
    <m/>
    <x v="65"/>
    <m/>
    <x v="0"/>
    <x v="3"/>
    <x v="3"/>
    <n v="2026"/>
  </r>
  <r>
    <s v="INT-01398"/>
    <x v="21"/>
    <x v="0"/>
    <x v="6"/>
    <x v="0"/>
    <s v="Customer 106"/>
    <s v="Analytics"/>
    <s v="Inbound"/>
    <x v="6"/>
    <n v="1"/>
    <n v="50400"/>
    <n v="0"/>
    <m/>
    <x v="26"/>
    <m/>
    <x v="0"/>
    <x v="8"/>
    <x v="6"/>
    <n v="2025"/>
  </r>
  <r>
    <s v="INT-01399"/>
    <x v="355"/>
    <x v="1"/>
    <x v="12"/>
    <x v="1"/>
    <s v="Customer 476"/>
    <s v="WhatsApp API"/>
    <m/>
    <x v="1"/>
    <n v="0"/>
    <n v="0"/>
    <n v="0"/>
    <n v="1"/>
    <x v="60"/>
    <n v="13.2"/>
    <x v="6"/>
    <x v="1"/>
    <x v="4"/>
    <n v="2026"/>
  </r>
  <r>
    <s v="INT-01400"/>
    <x v="140"/>
    <x v="1"/>
    <x v="14"/>
    <x v="3"/>
    <s v="Customer 616"/>
    <s v="WhatsApp API"/>
    <m/>
    <x v="1"/>
    <n v="0"/>
    <n v="0"/>
    <n v="0"/>
    <n v="1"/>
    <x v="154"/>
    <n v="8.9"/>
    <x v="18"/>
    <x v="2"/>
    <x v="0"/>
    <n v="2026"/>
  </r>
  <r>
    <s v="INT-01401"/>
    <x v="276"/>
    <x v="0"/>
    <x v="7"/>
    <x v="0"/>
    <s v="Customer 251"/>
    <s v="Analytics"/>
    <s v="Partner"/>
    <x v="3"/>
    <n v="1"/>
    <n v="9200"/>
    <n v="0"/>
    <m/>
    <x v="20"/>
    <m/>
    <x v="0"/>
    <x v="4"/>
    <x v="4"/>
    <n v="2026"/>
  </r>
  <r>
    <s v="INT-01402"/>
    <x v="270"/>
    <x v="0"/>
    <x v="0"/>
    <x v="1"/>
    <s v="Customer 638"/>
    <s v="CRM"/>
    <s v="Inbound"/>
    <x v="2"/>
    <n v="1"/>
    <n v="16900"/>
    <n v="0"/>
    <m/>
    <x v="155"/>
    <m/>
    <x v="0"/>
    <x v="3"/>
    <x v="7"/>
    <n v="2026"/>
  </r>
  <r>
    <s v="INT-01403"/>
    <x v="19"/>
    <x v="0"/>
    <x v="13"/>
    <x v="0"/>
    <s v="Customer 170"/>
    <s v="CRM"/>
    <s v="Outbound"/>
    <x v="2"/>
    <n v="1"/>
    <n v="30100"/>
    <n v="0"/>
    <m/>
    <x v="231"/>
    <m/>
    <x v="0"/>
    <x v="3"/>
    <x v="7"/>
    <n v="2026"/>
  </r>
  <r>
    <s v="INT-01404"/>
    <x v="65"/>
    <x v="1"/>
    <x v="15"/>
    <x v="2"/>
    <s v="Customer 263"/>
    <s v="WhatsApp API"/>
    <m/>
    <x v="1"/>
    <n v="0"/>
    <n v="0"/>
    <n v="0"/>
    <n v="1"/>
    <x v="50"/>
    <n v="12.4"/>
    <x v="12"/>
    <x v="9"/>
    <x v="8"/>
    <n v="2026"/>
  </r>
  <r>
    <s v="INT-01405"/>
    <x v="136"/>
    <x v="1"/>
    <x v="15"/>
    <x v="0"/>
    <s v="Customer 242"/>
    <s v="WhatsApp API"/>
    <m/>
    <x v="1"/>
    <n v="0"/>
    <n v="0"/>
    <n v="0"/>
    <n v="1"/>
    <x v="8"/>
    <n v="5.5"/>
    <x v="15"/>
    <x v="2"/>
    <x v="0"/>
    <n v="2026"/>
  </r>
  <r>
    <s v="INT-01406"/>
    <x v="7"/>
    <x v="0"/>
    <x v="6"/>
    <x v="1"/>
    <s v="Customer 489"/>
    <s v="Automation"/>
    <s v="Partner"/>
    <x v="4"/>
    <n v="1"/>
    <n v="31100"/>
    <n v="0"/>
    <m/>
    <x v="34"/>
    <m/>
    <x v="0"/>
    <x v="6"/>
    <x v="3"/>
    <n v="2026"/>
  </r>
  <r>
    <s v="INT-01407"/>
    <x v="180"/>
    <x v="1"/>
    <x v="3"/>
    <x v="0"/>
    <s v="Customer 135"/>
    <s v="WhatsApp API"/>
    <m/>
    <x v="1"/>
    <n v="0"/>
    <n v="0"/>
    <n v="0"/>
    <n v="1"/>
    <x v="102"/>
    <n v="11"/>
    <x v="9"/>
    <x v="1"/>
    <x v="1"/>
    <n v="2026"/>
  </r>
  <r>
    <s v="INT-01408"/>
    <x v="238"/>
    <x v="1"/>
    <x v="2"/>
    <x v="0"/>
    <s v="Customer 200"/>
    <s v="Automation"/>
    <m/>
    <x v="1"/>
    <n v="0"/>
    <n v="0"/>
    <n v="0"/>
    <n v="1"/>
    <x v="4"/>
    <n v="3.8"/>
    <x v="6"/>
    <x v="1"/>
    <x v="11"/>
    <n v="2026"/>
  </r>
  <r>
    <s v="INT-01409"/>
    <x v="283"/>
    <x v="1"/>
    <x v="3"/>
    <x v="0"/>
    <s v="Customer 089"/>
    <s v="Analytics"/>
    <m/>
    <x v="1"/>
    <n v="0"/>
    <n v="0"/>
    <n v="0"/>
    <n v="1"/>
    <x v="179"/>
    <n v="4"/>
    <x v="10"/>
    <x v="2"/>
    <x v="10"/>
    <n v="2025"/>
  </r>
  <r>
    <s v="INT-01410"/>
    <x v="242"/>
    <x v="1"/>
    <x v="15"/>
    <x v="4"/>
    <s v="Customer 654"/>
    <s v="Automation"/>
    <m/>
    <x v="1"/>
    <n v="0"/>
    <n v="0"/>
    <n v="0"/>
    <n v="1"/>
    <x v="84"/>
    <n v="6.8"/>
    <x v="5"/>
    <x v="2"/>
    <x v="8"/>
    <n v="2026"/>
  </r>
  <r>
    <s v="INT-01411"/>
    <x v="27"/>
    <x v="0"/>
    <x v="7"/>
    <x v="0"/>
    <s v="Customer 368"/>
    <s v="CRM"/>
    <s v="Outbound"/>
    <x v="5"/>
    <n v="1"/>
    <n v="5000"/>
    <n v="0"/>
    <m/>
    <x v="217"/>
    <m/>
    <x v="0"/>
    <x v="7"/>
    <x v="11"/>
    <n v="2026"/>
  </r>
  <r>
    <s v="INT-01412"/>
    <x v="150"/>
    <x v="0"/>
    <x v="10"/>
    <x v="0"/>
    <s v="Customer 284"/>
    <s v="Automation"/>
    <s v="Outbound"/>
    <x v="3"/>
    <n v="1"/>
    <n v="9400"/>
    <n v="0"/>
    <m/>
    <x v="64"/>
    <m/>
    <x v="0"/>
    <x v="4"/>
    <x v="1"/>
    <n v="2026"/>
  </r>
  <r>
    <s v="INT-01413"/>
    <x v="233"/>
    <x v="0"/>
    <x v="10"/>
    <x v="2"/>
    <s v="Customer 656"/>
    <s v="CRM"/>
    <s v="Inbound"/>
    <x v="4"/>
    <n v="1"/>
    <n v="17600"/>
    <n v="0"/>
    <m/>
    <x v="133"/>
    <m/>
    <x v="0"/>
    <x v="6"/>
    <x v="9"/>
    <n v="2025"/>
  </r>
  <r>
    <s v="INT-01414"/>
    <x v="256"/>
    <x v="0"/>
    <x v="11"/>
    <x v="0"/>
    <s v="Customer 673"/>
    <s v="Analytics"/>
    <s v="Referral"/>
    <x v="2"/>
    <n v="1"/>
    <n v="17000"/>
    <n v="0"/>
    <m/>
    <x v="159"/>
    <m/>
    <x v="0"/>
    <x v="3"/>
    <x v="4"/>
    <n v="2026"/>
  </r>
  <r>
    <s v="INT-01415"/>
    <x v="92"/>
    <x v="0"/>
    <x v="4"/>
    <x v="1"/>
    <s v="Customer 600"/>
    <s v="Analytics"/>
    <s v="Inbound"/>
    <x v="5"/>
    <n v="1"/>
    <n v="17900"/>
    <n v="0"/>
    <m/>
    <x v="113"/>
    <m/>
    <x v="0"/>
    <x v="7"/>
    <x v="1"/>
    <n v="2026"/>
  </r>
  <r>
    <s v="INT-01416"/>
    <x v="241"/>
    <x v="1"/>
    <x v="2"/>
    <x v="2"/>
    <s v="Customer 469"/>
    <s v="WhatsApp API"/>
    <m/>
    <x v="1"/>
    <n v="0"/>
    <n v="0"/>
    <n v="0"/>
    <n v="1"/>
    <x v="223"/>
    <n v="8.6999999999999993"/>
    <x v="13"/>
    <x v="1"/>
    <x v="5"/>
    <n v="2026"/>
  </r>
  <r>
    <s v="INT-01417"/>
    <x v="9"/>
    <x v="0"/>
    <x v="4"/>
    <x v="4"/>
    <s v="Customer 553"/>
    <s v="CRM"/>
    <s v="Inbound"/>
    <x v="4"/>
    <n v="1"/>
    <n v="9900"/>
    <n v="0"/>
    <m/>
    <x v="20"/>
    <m/>
    <x v="0"/>
    <x v="6"/>
    <x v="0"/>
    <n v="2026"/>
  </r>
  <r>
    <s v="INT-01418"/>
    <x v="177"/>
    <x v="0"/>
    <x v="5"/>
    <x v="0"/>
    <s v="Customer 221"/>
    <s v="CRM"/>
    <s v="Website"/>
    <x v="2"/>
    <n v="1"/>
    <n v="17100"/>
    <n v="0"/>
    <m/>
    <x v="21"/>
    <m/>
    <x v="0"/>
    <x v="3"/>
    <x v="1"/>
    <n v="2026"/>
  </r>
  <r>
    <s v="INT-01419"/>
    <x v="250"/>
    <x v="0"/>
    <x v="5"/>
    <x v="0"/>
    <s v="Customer 086"/>
    <s v="WhatsApp API"/>
    <s v="Outbound"/>
    <x v="5"/>
    <n v="1"/>
    <n v="22000"/>
    <n v="0"/>
    <m/>
    <x v="33"/>
    <m/>
    <x v="0"/>
    <x v="7"/>
    <x v="3"/>
    <n v="2026"/>
  </r>
  <r>
    <s v="INT-01420"/>
    <x v="324"/>
    <x v="1"/>
    <x v="15"/>
    <x v="0"/>
    <s v="Customer 011"/>
    <s v="CRM"/>
    <m/>
    <x v="1"/>
    <n v="0"/>
    <n v="0"/>
    <n v="0"/>
    <n v="1"/>
    <x v="142"/>
    <n v="6.3"/>
    <x v="2"/>
    <x v="5"/>
    <x v="11"/>
    <n v="2026"/>
  </r>
  <r>
    <s v="INT-01421"/>
    <x v="14"/>
    <x v="0"/>
    <x v="5"/>
    <x v="0"/>
    <s v="Customer 694"/>
    <s v="CRM"/>
    <s v="Referral"/>
    <x v="6"/>
    <n v="1"/>
    <n v="50000"/>
    <n v="0"/>
    <m/>
    <x v="233"/>
    <m/>
    <x v="0"/>
    <x v="8"/>
    <x v="9"/>
    <n v="2025"/>
  </r>
  <r>
    <s v="INT-01422"/>
    <x v="203"/>
    <x v="0"/>
    <x v="6"/>
    <x v="2"/>
    <s v="Customer 420"/>
    <s v="CRM"/>
    <s v="Website"/>
    <x v="2"/>
    <n v="1"/>
    <n v="38800"/>
    <n v="0"/>
    <m/>
    <x v="138"/>
    <m/>
    <x v="0"/>
    <x v="3"/>
    <x v="4"/>
    <n v="2026"/>
  </r>
  <r>
    <s v="INT-01423"/>
    <x v="21"/>
    <x v="0"/>
    <x v="6"/>
    <x v="0"/>
    <s v="Customer 699"/>
    <s v="Automation"/>
    <s v="Referral"/>
    <x v="4"/>
    <n v="1"/>
    <n v="37000"/>
    <n v="0"/>
    <m/>
    <x v="7"/>
    <m/>
    <x v="0"/>
    <x v="6"/>
    <x v="6"/>
    <n v="2025"/>
  </r>
  <r>
    <s v="INT-01424"/>
    <x v="207"/>
    <x v="0"/>
    <x v="7"/>
    <x v="0"/>
    <s v="Customer 190"/>
    <s v="WhatsApp API"/>
    <s v="Inbound"/>
    <x v="5"/>
    <n v="1"/>
    <n v="18900"/>
    <n v="0"/>
    <m/>
    <x v="143"/>
    <m/>
    <x v="0"/>
    <x v="7"/>
    <x v="8"/>
    <n v="2026"/>
  </r>
  <r>
    <s v="INT-01425"/>
    <x v="269"/>
    <x v="1"/>
    <x v="14"/>
    <x v="1"/>
    <s v="Customer 401"/>
    <s v="WhatsApp API"/>
    <m/>
    <x v="1"/>
    <n v="0"/>
    <n v="0"/>
    <n v="0"/>
    <n v="1"/>
    <x v="168"/>
    <n v="6.6"/>
    <x v="1"/>
    <x v="2"/>
    <x v="2"/>
    <n v="2025"/>
  </r>
  <r>
    <s v="INT-01426"/>
    <x v="225"/>
    <x v="1"/>
    <x v="14"/>
    <x v="0"/>
    <s v="Customer 650"/>
    <s v="CRM"/>
    <m/>
    <x v="1"/>
    <n v="0"/>
    <n v="0"/>
    <n v="0"/>
    <n v="1"/>
    <x v="31"/>
    <n v="15.4"/>
    <x v="15"/>
    <x v="1"/>
    <x v="3"/>
    <n v="2026"/>
  </r>
  <r>
    <s v="INT-01427"/>
    <x v="141"/>
    <x v="0"/>
    <x v="6"/>
    <x v="3"/>
    <s v="Customer 103"/>
    <s v="Automation"/>
    <s v="Inbound"/>
    <x v="0"/>
    <n v="1"/>
    <n v="49700"/>
    <n v="49700"/>
    <m/>
    <x v="8"/>
    <m/>
    <x v="0"/>
    <x v="0"/>
    <x v="11"/>
    <n v="2026"/>
  </r>
  <r>
    <s v="INT-01428"/>
    <x v="350"/>
    <x v="1"/>
    <x v="3"/>
    <x v="3"/>
    <s v="Customer 513"/>
    <s v="Automation"/>
    <m/>
    <x v="1"/>
    <n v="0"/>
    <n v="0"/>
    <n v="0"/>
    <n v="1"/>
    <x v="167"/>
    <n v="3.7"/>
    <x v="1"/>
    <x v="1"/>
    <x v="2"/>
    <n v="2025"/>
  </r>
  <r>
    <s v="INT-01429"/>
    <x v="150"/>
    <x v="1"/>
    <x v="12"/>
    <x v="1"/>
    <s v="Customer 572"/>
    <s v="Automation"/>
    <m/>
    <x v="1"/>
    <n v="0"/>
    <n v="0"/>
    <n v="0"/>
    <n v="1"/>
    <x v="143"/>
    <n v="5.5"/>
    <x v="11"/>
    <x v="2"/>
    <x v="1"/>
    <n v="2026"/>
  </r>
  <r>
    <s v="INT-01430"/>
    <x v="12"/>
    <x v="1"/>
    <x v="9"/>
    <x v="0"/>
    <s v="Customer 632"/>
    <s v="WhatsApp API"/>
    <m/>
    <x v="1"/>
    <n v="0"/>
    <n v="0"/>
    <n v="0"/>
    <n v="1"/>
    <x v="22"/>
    <n v="7.7"/>
    <x v="10"/>
    <x v="2"/>
    <x v="2"/>
    <n v="2025"/>
  </r>
  <r>
    <s v="INT-01431"/>
    <x v="116"/>
    <x v="0"/>
    <x v="13"/>
    <x v="2"/>
    <s v="Customer 091"/>
    <s v="CRM"/>
    <s v="Outbound"/>
    <x v="4"/>
    <n v="1"/>
    <n v="29200"/>
    <n v="0"/>
    <m/>
    <x v="66"/>
    <m/>
    <x v="0"/>
    <x v="6"/>
    <x v="5"/>
    <n v="2026"/>
  </r>
  <r>
    <s v="INT-01432"/>
    <x v="323"/>
    <x v="0"/>
    <x v="0"/>
    <x v="1"/>
    <s v="Customer 234"/>
    <s v="CRM"/>
    <s v="Referral"/>
    <x v="0"/>
    <n v="1"/>
    <n v="18700"/>
    <n v="18700"/>
    <m/>
    <x v="17"/>
    <m/>
    <x v="0"/>
    <x v="0"/>
    <x v="3"/>
    <n v="2026"/>
  </r>
  <r>
    <s v="INT-01433"/>
    <x v="149"/>
    <x v="0"/>
    <x v="7"/>
    <x v="0"/>
    <s v="Customer 135"/>
    <s v="CRM"/>
    <s v="Website"/>
    <x v="0"/>
    <n v="1"/>
    <n v="11700"/>
    <n v="11700"/>
    <m/>
    <x v="200"/>
    <m/>
    <x v="0"/>
    <x v="0"/>
    <x v="5"/>
    <n v="2026"/>
  </r>
  <r>
    <s v="INT-01434"/>
    <x v="204"/>
    <x v="1"/>
    <x v="1"/>
    <x v="0"/>
    <s v="Customer 399"/>
    <s v="CRM"/>
    <m/>
    <x v="1"/>
    <n v="0"/>
    <n v="0"/>
    <n v="0"/>
    <n v="1"/>
    <x v="127"/>
    <n v="5.5"/>
    <x v="14"/>
    <x v="2"/>
    <x v="10"/>
    <n v="2025"/>
  </r>
  <r>
    <s v="INT-01435"/>
    <x v="316"/>
    <x v="0"/>
    <x v="6"/>
    <x v="1"/>
    <s v="Customer 630"/>
    <s v="Automation"/>
    <s v="Inbound"/>
    <x v="2"/>
    <n v="1"/>
    <n v="65100"/>
    <n v="0"/>
    <m/>
    <x v="122"/>
    <m/>
    <x v="0"/>
    <x v="3"/>
    <x v="8"/>
    <n v="2026"/>
  </r>
  <r>
    <s v="INT-01436"/>
    <x v="323"/>
    <x v="0"/>
    <x v="6"/>
    <x v="1"/>
    <s v="Customer 111"/>
    <s v="Automation"/>
    <s v="Inbound"/>
    <x v="6"/>
    <n v="1"/>
    <n v="6300"/>
    <n v="0"/>
    <m/>
    <x v="50"/>
    <m/>
    <x v="0"/>
    <x v="8"/>
    <x v="3"/>
    <n v="2026"/>
  </r>
  <r>
    <s v="INT-01437"/>
    <x v="27"/>
    <x v="0"/>
    <x v="5"/>
    <x v="4"/>
    <s v="Customer 671"/>
    <s v="Automation"/>
    <s v="Outbound"/>
    <x v="4"/>
    <n v="1"/>
    <n v="28500"/>
    <n v="0"/>
    <m/>
    <x v="186"/>
    <m/>
    <x v="0"/>
    <x v="6"/>
    <x v="11"/>
    <n v="2026"/>
  </r>
  <r>
    <s v="INT-01438"/>
    <x v="138"/>
    <x v="1"/>
    <x v="12"/>
    <x v="4"/>
    <s v="Customer 430"/>
    <s v="WhatsApp API"/>
    <m/>
    <x v="1"/>
    <n v="0"/>
    <n v="0"/>
    <n v="0"/>
    <n v="1"/>
    <x v="134"/>
    <n v="1.3"/>
    <x v="21"/>
    <x v="2"/>
    <x v="6"/>
    <n v="2025"/>
  </r>
  <r>
    <s v="INT-01439"/>
    <x v="110"/>
    <x v="0"/>
    <x v="4"/>
    <x v="0"/>
    <s v="Customer 240"/>
    <s v="CRM"/>
    <s v="Website"/>
    <x v="2"/>
    <n v="1"/>
    <n v="5000"/>
    <n v="0"/>
    <m/>
    <x v="221"/>
    <m/>
    <x v="0"/>
    <x v="3"/>
    <x v="11"/>
    <n v="2026"/>
  </r>
  <r>
    <s v="INT-01440"/>
    <x v="301"/>
    <x v="1"/>
    <x v="15"/>
    <x v="0"/>
    <s v="Customer 029"/>
    <s v="WhatsApp API"/>
    <m/>
    <x v="1"/>
    <n v="0"/>
    <n v="0"/>
    <n v="0"/>
    <n v="1"/>
    <x v="59"/>
    <n v="3.7"/>
    <x v="11"/>
    <x v="2"/>
    <x v="10"/>
    <n v="2025"/>
  </r>
  <r>
    <s v="INT-01441"/>
    <x v="105"/>
    <x v="1"/>
    <x v="14"/>
    <x v="2"/>
    <s v="Customer 421"/>
    <s v="Automation"/>
    <m/>
    <x v="1"/>
    <n v="0"/>
    <n v="0"/>
    <n v="0"/>
    <n v="1"/>
    <x v="40"/>
    <n v="2.1"/>
    <x v="23"/>
    <x v="2"/>
    <x v="9"/>
    <n v="2025"/>
  </r>
  <r>
    <s v="INT-01442"/>
    <x v="50"/>
    <x v="0"/>
    <x v="13"/>
    <x v="1"/>
    <s v="Customer 527"/>
    <s v="WhatsApp API"/>
    <s v="Website"/>
    <x v="5"/>
    <n v="1"/>
    <n v="5000"/>
    <n v="0"/>
    <m/>
    <x v="76"/>
    <m/>
    <x v="0"/>
    <x v="7"/>
    <x v="1"/>
    <n v="2026"/>
  </r>
  <r>
    <s v="INT-01443"/>
    <x v="202"/>
    <x v="1"/>
    <x v="9"/>
    <x v="0"/>
    <s v="Customer 361"/>
    <s v="Automation"/>
    <m/>
    <x v="1"/>
    <n v="0"/>
    <n v="0"/>
    <n v="0"/>
    <n v="1"/>
    <x v="4"/>
    <n v="3.2"/>
    <x v="5"/>
    <x v="2"/>
    <x v="5"/>
    <n v="2026"/>
  </r>
  <r>
    <s v="INT-01444"/>
    <x v="55"/>
    <x v="0"/>
    <x v="10"/>
    <x v="0"/>
    <s v="Customer 623"/>
    <s v="CRM"/>
    <s v="Referral"/>
    <x v="2"/>
    <n v="1"/>
    <n v="25300"/>
    <n v="0"/>
    <m/>
    <x v="82"/>
    <m/>
    <x v="0"/>
    <x v="3"/>
    <x v="3"/>
    <n v="2026"/>
  </r>
  <r>
    <s v="INT-01445"/>
    <x v="107"/>
    <x v="1"/>
    <x v="15"/>
    <x v="1"/>
    <s v="Customer 222"/>
    <s v="CRM"/>
    <m/>
    <x v="1"/>
    <n v="0"/>
    <n v="0"/>
    <n v="0"/>
    <n v="1"/>
    <x v="119"/>
    <n v="13.8"/>
    <x v="6"/>
    <x v="2"/>
    <x v="2"/>
    <n v="2025"/>
  </r>
  <r>
    <s v="INT-01446"/>
    <x v="266"/>
    <x v="0"/>
    <x v="5"/>
    <x v="0"/>
    <s v="Customer 512"/>
    <s v="CRM"/>
    <s v="Referral"/>
    <x v="3"/>
    <n v="1"/>
    <n v="185100"/>
    <n v="0"/>
    <m/>
    <x v="58"/>
    <m/>
    <x v="0"/>
    <x v="4"/>
    <x v="4"/>
    <n v="2026"/>
  </r>
  <r>
    <s v="INT-01447"/>
    <x v="14"/>
    <x v="1"/>
    <x v="15"/>
    <x v="2"/>
    <s v="Customer 476"/>
    <s v="Automation"/>
    <m/>
    <x v="1"/>
    <n v="0"/>
    <n v="0"/>
    <n v="0"/>
    <n v="1"/>
    <x v="177"/>
    <n v="3.8"/>
    <x v="15"/>
    <x v="1"/>
    <x v="9"/>
    <n v="2025"/>
  </r>
  <r>
    <s v="INT-01448"/>
    <x v="186"/>
    <x v="1"/>
    <x v="15"/>
    <x v="4"/>
    <s v="Customer 387"/>
    <s v="Automation"/>
    <m/>
    <x v="1"/>
    <n v="0"/>
    <n v="0"/>
    <n v="0"/>
    <n v="1"/>
    <x v="7"/>
    <n v="9.4"/>
    <x v="2"/>
    <x v="2"/>
    <x v="4"/>
    <n v="2026"/>
  </r>
  <r>
    <s v="INT-01449"/>
    <x v="294"/>
    <x v="1"/>
    <x v="8"/>
    <x v="3"/>
    <s v="Customer 150"/>
    <s v="Automation"/>
    <m/>
    <x v="1"/>
    <n v="0"/>
    <n v="0"/>
    <n v="0"/>
    <n v="1"/>
    <x v="121"/>
    <n v="3.2"/>
    <x v="5"/>
    <x v="2"/>
    <x v="5"/>
    <n v="2026"/>
  </r>
  <r>
    <s v="INT-01450"/>
    <x v="330"/>
    <x v="1"/>
    <x v="9"/>
    <x v="0"/>
    <s v="Customer 431"/>
    <s v="CRM"/>
    <m/>
    <x v="1"/>
    <n v="0"/>
    <n v="0"/>
    <n v="0"/>
    <n v="1"/>
    <x v="201"/>
    <n v="6.1"/>
    <x v="13"/>
    <x v="2"/>
    <x v="10"/>
    <n v="2025"/>
  </r>
  <r>
    <s v="INT-01451"/>
    <x v="165"/>
    <x v="0"/>
    <x v="4"/>
    <x v="0"/>
    <s v="Customer 278"/>
    <s v="CRM"/>
    <s v="Inbound"/>
    <x v="0"/>
    <n v="1"/>
    <n v="6300"/>
    <n v="6300"/>
    <m/>
    <x v="40"/>
    <m/>
    <x v="0"/>
    <x v="0"/>
    <x v="0"/>
    <n v="2026"/>
  </r>
  <r>
    <s v="INT-01452"/>
    <x v="249"/>
    <x v="1"/>
    <x v="14"/>
    <x v="0"/>
    <s v="Customer 038"/>
    <s v="CRM"/>
    <m/>
    <x v="1"/>
    <n v="0"/>
    <n v="0"/>
    <n v="0"/>
    <n v="1"/>
    <x v="84"/>
    <n v="21.7"/>
    <x v="19"/>
    <x v="2"/>
    <x v="4"/>
    <n v="2026"/>
  </r>
  <r>
    <s v="INT-01453"/>
    <x v="205"/>
    <x v="1"/>
    <x v="8"/>
    <x v="4"/>
    <s v="Customer 595"/>
    <s v="CRM"/>
    <m/>
    <x v="1"/>
    <n v="0"/>
    <n v="0"/>
    <n v="0"/>
    <n v="1"/>
    <x v="223"/>
    <n v="3.8"/>
    <x v="19"/>
    <x v="1"/>
    <x v="2"/>
    <n v="2025"/>
  </r>
  <r>
    <s v="INT-01454"/>
    <x v="152"/>
    <x v="1"/>
    <x v="8"/>
    <x v="0"/>
    <s v="Customer 073"/>
    <s v="Automation"/>
    <m/>
    <x v="1"/>
    <n v="0"/>
    <n v="0"/>
    <n v="0"/>
    <n v="1"/>
    <x v="27"/>
    <n v="14.5"/>
    <x v="5"/>
    <x v="9"/>
    <x v="6"/>
    <n v="2025"/>
  </r>
  <r>
    <s v="INT-01455"/>
    <x v="130"/>
    <x v="0"/>
    <x v="6"/>
    <x v="2"/>
    <s v="Customer 145"/>
    <s v="WhatsApp API"/>
    <s v="Outbound"/>
    <x v="2"/>
    <n v="1"/>
    <n v="20100"/>
    <n v="0"/>
    <m/>
    <x v="177"/>
    <m/>
    <x v="0"/>
    <x v="3"/>
    <x v="1"/>
    <n v="2026"/>
  </r>
  <r>
    <s v="INT-01456"/>
    <x v="245"/>
    <x v="1"/>
    <x v="14"/>
    <x v="1"/>
    <s v="Customer 567"/>
    <s v="Automation"/>
    <m/>
    <x v="1"/>
    <n v="0"/>
    <n v="0"/>
    <n v="0"/>
    <n v="1"/>
    <x v="168"/>
    <n v="5.8"/>
    <x v="4"/>
    <x v="5"/>
    <x v="10"/>
    <n v="2025"/>
  </r>
  <r>
    <s v="INT-01457"/>
    <x v="13"/>
    <x v="1"/>
    <x v="1"/>
    <x v="0"/>
    <s v="Customer 308"/>
    <s v="CRM"/>
    <m/>
    <x v="1"/>
    <n v="0"/>
    <n v="0"/>
    <n v="0"/>
    <n v="1"/>
    <x v="15"/>
    <n v="12.4"/>
    <x v="8"/>
    <x v="2"/>
    <x v="8"/>
    <n v="2026"/>
  </r>
  <r>
    <s v="INT-01458"/>
    <x v="57"/>
    <x v="1"/>
    <x v="8"/>
    <x v="1"/>
    <s v="Customer 608"/>
    <s v="CRM"/>
    <m/>
    <x v="1"/>
    <n v="0"/>
    <n v="0"/>
    <n v="0"/>
    <n v="1"/>
    <x v="61"/>
    <n v="24.1"/>
    <x v="25"/>
    <x v="2"/>
    <x v="4"/>
    <n v="2026"/>
  </r>
  <r>
    <s v="INT-01459"/>
    <x v="244"/>
    <x v="0"/>
    <x v="4"/>
    <x v="0"/>
    <s v="Customer 462"/>
    <s v="WhatsApp API"/>
    <s v="Website"/>
    <x v="2"/>
    <n v="1"/>
    <n v="17100"/>
    <n v="0"/>
    <m/>
    <x v="230"/>
    <m/>
    <x v="0"/>
    <x v="3"/>
    <x v="5"/>
    <n v="2026"/>
  </r>
  <r>
    <s v="INT-01460"/>
    <x v="308"/>
    <x v="1"/>
    <x v="15"/>
    <x v="3"/>
    <s v="Customer 511"/>
    <s v="WhatsApp API"/>
    <m/>
    <x v="1"/>
    <n v="0"/>
    <n v="0"/>
    <n v="0"/>
    <n v="1"/>
    <x v="128"/>
    <n v="2.7"/>
    <x v="7"/>
    <x v="9"/>
    <x v="8"/>
    <n v="2026"/>
  </r>
  <r>
    <s v="INT-01461"/>
    <x v="42"/>
    <x v="0"/>
    <x v="0"/>
    <x v="3"/>
    <s v="Customer 659"/>
    <s v="CRM"/>
    <s v="Outbound"/>
    <x v="4"/>
    <n v="1"/>
    <n v="46100"/>
    <n v="0"/>
    <m/>
    <x v="38"/>
    <m/>
    <x v="0"/>
    <x v="6"/>
    <x v="11"/>
    <n v="2026"/>
  </r>
  <r>
    <s v="INT-01462"/>
    <x v="138"/>
    <x v="1"/>
    <x v="9"/>
    <x v="3"/>
    <s v="Customer 497"/>
    <s v="WhatsApp API"/>
    <m/>
    <x v="1"/>
    <n v="0"/>
    <n v="0"/>
    <n v="0"/>
    <n v="1"/>
    <x v="11"/>
    <n v="17"/>
    <x v="19"/>
    <x v="2"/>
    <x v="6"/>
    <n v="2025"/>
  </r>
  <r>
    <s v="INT-01463"/>
    <x v="136"/>
    <x v="0"/>
    <x v="7"/>
    <x v="0"/>
    <s v="Customer 287"/>
    <s v="CRM"/>
    <s v="Outbound"/>
    <x v="0"/>
    <n v="1"/>
    <n v="187300"/>
    <n v="187300"/>
    <m/>
    <x v="208"/>
    <m/>
    <x v="0"/>
    <x v="0"/>
    <x v="0"/>
    <n v="2026"/>
  </r>
  <r>
    <s v="INT-01464"/>
    <x v="354"/>
    <x v="1"/>
    <x v="9"/>
    <x v="1"/>
    <s v="Customer 493"/>
    <s v="Automation"/>
    <m/>
    <x v="1"/>
    <n v="0"/>
    <n v="0"/>
    <n v="0"/>
    <n v="1"/>
    <x v="84"/>
    <n v="15.5"/>
    <x v="1"/>
    <x v="1"/>
    <x v="8"/>
    <n v="2026"/>
  </r>
  <r>
    <s v="INT-01465"/>
    <x v="218"/>
    <x v="1"/>
    <x v="8"/>
    <x v="0"/>
    <s v="Customer 589"/>
    <s v="CRM"/>
    <m/>
    <x v="1"/>
    <n v="0"/>
    <n v="0"/>
    <n v="0"/>
    <n v="1"/>
    <x v="147"/>
    <n v="6.6"/>
    <x v="3"/>
    <x v="2"/>
    <x v="5"/>
    <n v="2026"/>
  </r>
  <r>
    <s v="INT-01466"/>
    <x v="244"/>
    <x v="0"/>
    <x v="0"/>
    <x v="1"/>
    <s v="Customer 500"/>
    <s v="CRM"/>
    <s v="Partner"/>
    <x v="3"/>
    <n v="1"/>
    <n v="55700"/>
    <n v="0"/>
    <m/>
    <x v="143"/>
    <m/>
    <x v="0"/>
    <x v="4"/>
    <x v="5"/>
    <n v="2026"/>
  </r>
  <r>
    <s v="INT-01467"/>
    <x v="8"/>
    <x v="1"/>
    <x v="8"/>
    <x v="2"/>
    <s v="Customer 343"/>
    <s v="Analytics"/>
    <m/>
    <x v="1"/>
    <n v="0"/>
    <n v="0"/>
    <n v="0"/>
    <n v="1"/>
    <x v="112"/>
    <n v="6.1"/>
    <x v="1"/>
    <x v="5"/>
    <x v="6"/>
    <n v="2025"/>
  </r>
  <r>
    <s v="INT-01468"/>
    <x v="20"/>
    <x v="0"/>
    <x v="4"/>
    <x v="1"/>
    <s v="Customer 001"/>
    <s v="WhatsApp API"/>
    <s v="Referral"/>
    <x v="4"/>
    <n v="1"/>
    <n v="35100"/>
    <n v="0"/>
    <m/>
    <x v="195"/>
    <m/>
    <x v="0"/>
    <x v="6"/>
    <x v="3"/>
    <n v="2026"/>
  </r>
  <r>
    <s v="INT-01469"/>
    <x v="261"/>
    <x v="1"/>
    <x v="8"/>
    <x v="0"/>
    <s v="Customer 500"/>
    <s v="CRM"/>
    <m/>
    <x v="1"/>
    <n v="0"/>
    <n v="0"/>
    <n v="0"/>
    <n v="1"/>
    <x v="223"/>
    <n v="10.1"/>
    <x v="5"/>
    <x v="5"/>
    <x v="1"/>
    <n v="2026"/>
  </r>
  <r>
    <s v="INT-01470"/>
    <x v="355"/>
    <x v="1"/>
    <x v="12"/>
    <x v="1"/>
    <s v="Customer 583"/>
    <s v="CRM"/>
    <m/>
    <x v="1"/>
    <n v="0"/>
    <n v="0"/>
    <n v="0"/>
    <n v="1"/>
    <x v="44"/>
    <n v="10.8"/>
    <x v="9"/>
    <x v="2"/>
    <x v="4"/>
    <n v="2026"/>
  </r>
  <r>
    <s v="INT-01471"/>
    <x v="339"/>
    <x v="1"/>
    <x v="8"/>
    <x v="2"/>
    <s v="Customer 603"/>
    <s v="WhatsApp API"/>
    <m/>
    <x v="1"/>
    <n v="0"/>
    <n v="0"/>
    <n v="0"/>
    <n v="1"/>
    <x v="63"/>
    <n v="3.1"/>
    <x v="13"/>
    <x v="9"/>
    <x v="6"/>
    <n v="2025"/>
  </r>
  <r>
    <s v="INT-01472"/>
    <x v="356"/>
    <x v="1"/>
    <x v="9"/>
    <x v="0"/>
    <s v="Customer 202"/>
    <s v="CRM"/>
    <m/>
    <x v="1"/>
    <n v="0"/>
    <n v="0"/>
    <n v="0"/>
    <n v="1"/>
    <x v="72"/>
    <n v="3.6"/>
    <x v="5"/>
    <x v="2"/>
    <x v="1"/>
    <n v="2026"/>
  </r>
  <r>
    <s v="INT-01473"/>
    <x v="343"/>
    <x v="1"/>
    <x v="1"/>
    <x v="2"/>
    <s v="Customer 531"/>
    <s v="Automation"/>
    <m/>
    <x v="1"/>
    <n v="0"/>
    <n v="0"/>
    <n v="0"/>
    <n v="1"/>
    <x v="70"/>
    <n v="5.5"/>
    <x v="5"/>
    <x v="1"/>
    <x v="8"/>
    <n v="2026"/>
  </r>
  <r>
    <s v="INT-01474"/>
    <x v="344"/>
    <x v="0"/>
    <x v="0"/>
    <x v="4"/>
    <s v="Customer 222"/>
    <s v="Automation"/>
    <s v="Inbound"/>
    <x v="2"/>
    <n v="1"/>
    <n v="45800"/>
    <n v="0"/>
    <m/>
    <x v="198"/>
    <m/>
    <x v="0"/>
    <x v="3"/>
    <x v="7"/>
    <n v="2026"/>
  </r>
  <r>
    <s v="INT-01475"/>
    <x v="18"/>
    <x v="0"/>
    <x v="4"/>
    <x v="0"/>
    <s v="Customer 633"/>
    <s v="Analytics"/>
    <s v="Outbound"/>
    <x v="4"/>
    <n v="1"/>
    <n v="126800"/>
    <n v="0"/>
    <m/>
    <x v="14"/>
    <m/>
    <x v="0"/>
    <x v="6"/>
    <x v="4"/>
    <n v="2026"/>
  </r>
  <r>
    <s v="INT-01476"/>
    <x v="81"/>
    <x v="1"/>
    <x v="2"/>
    <x v="4"/>
    <s v="Customer 590"/>
    <s v="CRM"/>
    <m/>
    <x v="1"/>
    <n v="0"/>
    <n v="0"/>
    <n v="0"/>
    <n v="1"/>
    <x v="223"/>
    <n v="6"/>
    <x v="20"/>
    <x v="2"/>
    <x v="10"/>
    <n v="2025"/>
  </r>
  <r>
    <s v="INT-01477"/>
    <x v="355"/>
    <x v="1"/>
    <x v="14"/>
    <x v="1"/>
    <s v="Customer 175"/>
    <s v="CRM"/>
    <m/>
    <x v="1"/>
    <n v="0"/>
    <n v="0"/>
    <n v="0"/>
    <n v="1"/>
    <x v="112"/>
    <n v="12.4"/>
    <x v="7"/>
    <x v="5"/>
    <x v="4"/>
    <n v="2026"/>
  </r>
  <r>
    <s v="INT-01478"/>
    <x v="244"/>
    <x v="1"/>
    <x v="8"/>
    <x v="1"/>
    <s v="Customer 570"/>
    <s v="Analytics"/>
    <m/>
    <x v="1"/>
    <n v="0"/>
    <n v="0"/>
    <n v="0"/>
    <n v="1"/>
    <x v="144"/>
    <n v="9.6"/>
    <x v="3"/>
    <x v="2"/>
    <x v="5"/>
    <n v="2026"/>
  </r>
  <r>
    <s v="INT-01479"/>
    <x v="325"/>
    <x v="1"/>
    <x v="1"/>
    <x v="3"/>
    <s v="Customer 223"/>
    <s v="WhatsApp API"/>
    <m/>
    <x v="1"/>
    <n v="0"/>
    <n v="0"/>
    <n v="0"/>
    <n v="1"/>
    <x v="9"/>
    <n v="5.6"/>
    <x v="19"/>
    <x v="2"/>
    <x v="10"/>
    <n v="2025"/>
  </r>
  <r>
    <s v="INT-01480"/>
    <x v="10"/>
    <x v="0"/>
    <x v="10"/>
    <x v="1"/>
    <s v="Customer 443"/>
    <s v="CRM"/>
    <s v="Outbound"/>
    <x v="0"/>
    <n v="1"/>
    <n v="7600"/>
    <n v="7600"/>
    <m/>
    <x v="24"/>
    <m/>
    <x v="0"/>
    <x v="0"/>
    <x v="2"/>
    <n v="2025"/>
  </r>
  <r>
    <s v="INT-01481"/>
    <x v="135"/>
    <x v="1"/>
    <x v="12"/>
    <x v="1"/>
    <s v="Customer 011"/>
    <s v="WhatsApp API"/>
    <m/>
    <x v="1"/>
    <n v="0"/>
    <n v="0"/>
    <n v="0"/>
    <n v="1"/>
    <x v="136"/>
    <n v="7.7"/>
    <x v="10"/>
    <x v="5"/>
    <x v="7"/>
    <n v="2026"/>
  </r>
  <r>
    <s v="INT-01482"/>
    <x v="90"/>
    <x v="0"/>
    <x v="11"/>
    <x v="0"/>
    <s v="Customer 112"/>
    <s v="CRM"/>
    <s v="Inbound"/>
    <x v="2"/>
    <n v="1"/>
    <n v="125000"/>
    <n v="0"/>
    <m/>
    <x v="0"/>
    <m/>
    <x v="0"/>
    <x v="3"/>
    <x v="6"/>
    <n v="2025"/>
  </r>
  <r>
    <s v="INT-01483"/>
    <x v="106"/>
    <x v="0"/>
    <x v="13"/>
    <x v="0"/>
    <s v="Customer 331"/>
    <s v="CRM"/>
    <s v="Outbound"/>
    <x v="3"/>
    <n v="1"/>
    <n v="11500"/>
    <n v="0"/>
    <m/>
    <x v="113"/>
    <m/>
    <x v="0"/>
    <x v="4"/>
    <x v="3"/>
    <n v="2026"/>
  </r>
  <r>
    <s v="INT-01484"/>
    <x v="36"/>
    <x v="0"/>
    <x v="5"/>
    <x v="4"/>
    <s v="Customer 469"/>
    <s v="WhatsApp API"/>
    <s v="Inbound"/>
    <x v="3"/>
    <n v="1"/>
    <n v="78200"/>
    <n v="0"/>
    <m/>
    <x v="215"/>
    <m/>
    <x v="0"/>
    <x v="4"/>
    <x v="6"/>
    <n v="2025"/>
  </r>
  <r>
    <s v="INT-01485"/>
    <x v="254"/>
    <x v="0"/>
    <x v="4"/>
    <x v="0"/>
    <s v="Customer 457"/>
    <s v="Automation"/>
    <s v="Outbound"/>
    <x v="3"/>
    <n v="1"/>
    <n v="59700"/>
    <n v="0"/>
    <m/>
    <x v="162"/>
    <m/>
    <x v="0"/>
    <x v="4"/>
    <x v="8"/>
    <n v="2026"/>
  </r>
  <r>
    <s v="INT-01486"/>
    <x v="40"/>
    <x v="0"/>
    <x v="13"/>
    <x v="4"/>
    <s v="Customer 216"/>
    <s v="CRM"/>
    <s v="Outbound"/>
    <x v="2"/>
    <n v="1"/>
    <n v="14200"/>
    <n v="0"/>
    <m/>
    <x v="114"/>
    <m/>
    <x v="0"/>
    <x v="3"/>
    <x v="11"/>
    <n v="2026"/>
  </r>
  <r>
    <s v="INT-01487"/>
    <x v="25"/>
    <x v="0"/>
    <x v="7"/>
    <x v="3"/>
    <s v="Customer 688"/>
    <s v="Automation"/>
    <s v="Outbound"/>
    <x v="2"/>
    <n v="1"/>
    <n v="12400"/>
    <n v="0"/>
    <m/>
    <x v="214"/>
    <m/>
    <x v="0"/>
    <x v="3"/>
    <x v="5"/>
    <n v="2026"/>
  </r>
  <r>
    <s v="INT-01488"/>
    <x v="265"/>
    <x v="1"/>
    <x v="2"/>
    <x v="0"/>
    <s v="Customer 323"/>
    <s v="Automation"/>
    <m/>
    <x v="1"/>
    <n v="0"/>
    <n v="0"/>
    <n v="0"/>
    <n v="1"/>
    <x v="141"/>
    <n v="6.3"/>
    <x v="15"/>
    <x v="5"/>
    <x v="7"/>
    <n v="2026"/>
  </r>
  <r>
    <s v="INT-01489"/>
    <x v="107"/>
    <x v="0"/>
    <x v="11"/>
    <x v="0"/>
    <s v="Customer 663"/>
    <s v="WhatsApp API"/>
    <s v="Outbound"/>
    <x v="6"/>
    <n v="1"/>
    <n v="18600"/>
    <n v="0"/>
    <m/>
    <x v="128"/>
    <m/>
    <x v="0"/>
    <x v="8"/>
    <x v="2"/>
    <n v="2025"/>
  </r>
  <r>
    <s v="INT-01490"/>
    <x v="104"/>
    <x v="0"/>
    <x v="6"/>
    <x v="1"/>
    <s v="Customer 328"/>
    <s v="Analytics"/>
    <s v="Inbound"/>
    <x v="5"/>
    <n v="1"/>
    <n v="28600"/>
    <n v="0"/>
    <m/>
    <x v="159"/>
    <m/>
    <x v="0"/>
    <x v="7"/>
    <x v="2"/>
    <n v="2025"/>
  </r>
  <r>
    <s v="INT-01491"/>
    <x v="196"/>
    <x v="0"/>
    <x v="0"/>
    <x v="4"/>
    <s v="Customer 022"/>
    <s v="Analytics"/>
    <s v="Website"/>
    <x v="3"/>
    <n v="1"/>
    <n v="27900"/>
    <n v="0"/>
    <m/>
    <x v="6"/>
    <m/>
    <x v="0"/>
    <x v="4"/>
    <x v="4"/>
    <n v="2026"/>
  </r>
  <r>
    <s v="INT-01492"/>
    <x v="152"/>
    <x v="0"/>
    <x v="6"/>
    <x v="2"/>
    <s v="Customer 301"/>
    <s v="CRM"/>
    <s v="Website"/>
    <x v="2"/>
    <n v="1"/>
    <n v="24800"/>
    <n v="0"/>
    <m/>
    <x v="22"/>
    <m/>
    <x v="0"/>
    <x v="3"/>
    <x v="6"/>
    <n v="2025"/>
  </r>
  <r>
    <s v="INT-01493"/>
    <x v="155"/>
    <x v="0"/>
    <x v="7"/>
    <x v="2"/>
    <s v="Customer 037"/>
    <s v="Automation"/>
    <s v="Partner"/>
    <x v="3"/>
    <n v="1"/>
    <n v="46800"/>
    <n v="0"/>
    <m/>
    <x v="29"/>
    <m/>
    <x v="0"/>
    <x v="4"/>
    <x v="7"/>
    <n v="2026"/>
  </r>
  <r>
    <s v="INT-01494"/>
    <x v="12"/>
    <x v="0"/>
    <x v="6"/>
    <x v="1"/>
    <s v="Customer 488"/>
    <s v="Automation"/>
    <s v="Inbound"/>
    <x v="2"/>
    <n v="1"/>
    <n v="17400"/>
    <n v="0"/>
    <m/>
    <x v="135"/>
    <m/>
    <x v="0"/>
    <x v="3"/>
    <x v="2"/>
    <n v="2025"/>
  </r>
  <r>
    <s v="INT-01495"/>
    <x v="123"/>
    <x v="1"/>
    <x v="2"/>
    <x v="1"/>
    <s v="Customer 018"/>
    <s v="CRM"/>
    <m/>
    <x v="1"/>
    <n v="0"/>
    <n v="0"/>
    <n v="0"/>
    <n v="1"/>
    <x v="112"/>
    <n v="13.9"/>
    <x v="5"/>
    <x v="1"/>
    <x v="3"/>
    <n v="2026"/>
  </r>
  <r>
    <s v="INT-01496"/>
    <x v="255"/>
    <x v="1"/>
    <x v="9"/>
    <x v="0"/>
    <s v="Customer 651"/>
    <s v="Analytics"/>
    <m/>
    <x v="1"/>
    <n v="0"/>
    <n v="0"/>
    <n v="0"/>
    <n v="1"/>
    <x v="179"/>
    <n v="6.4"/>
    <x v="2"/>
    <x v="2"/>
    <x v="9"/>
    <n v="2025"/>
  </r>
  <r>
    <s v="INT-01497"/>
    <x v="31"/>
    <x v="1"/>
    <x v="2"/>
    <x v="4"/>
    <s v="Customer 323"/>
    <s v="Analytics"/>
    <m/>
    <x v="1"/>
    <n v="0"/>
    <n v="0"/>
    <n v="0"/>
    <n v="1"/>
    <x v="197"/>
    <n v="6.2"/>
    <x v="18"/>
    <x v="2"/>
    <x v="4"/>
    <n v="2026"/>
  </r>
  <r>
    <s v="INT-01498"/>
    <x v="337"/>
    <x v="0"/>
    <x v="10"/>
    <x v="0"/>
    <s v="Customer 525"/>
    <s v="WhatsApp API"/>
    <s v="Website"/>
    <x v="4"/>
    <n v="1"/>
    <n v="28600"/>
    <n v="0"/>
    <m/>
    <x v="170"/>
    <m/>
    <x v="0"/>
    <x v="6"/>
    <x v="10"/>
    <n v="2025"/>
  </r>
  <r>
    <s v="INT-01499"/>
    <x v="29"/>
    <x v="0"/>
    <x v="4"/>
    <x v="2"/>
    <s v="Customer 448"/>
    <s v="WhatsApp API"/>
    <s v="Referral"/>
    <x v="6"/>
    <n v="1"/>
    <n v="7900"/>
    <n v="0"/>
    <m/>
    <x v="236"/>
    <m/>
    <x v="0"/>
    <x v="8"/>
    <x v="11"/>
    <n v="2026"/>
  </r>
  <r>
    <s v="INT-01500"/>
    <x v="357"/>
    <x v="1"/>
    <x v="14"/>
    <x v="4"/>
    <s v="Customer 654"/>
    <s v="CRM"/>
    <m/>
    <x v="1"/>
    <n v="0"/>
    <n v="0"/>
    <n v="0"/>
    <n v="1"/>
    <x v="150"/>
    <n v="9.4"/>
    <x v="5"/>
    <x v="5"/>
    <x v="1"/>
    <n v="2026"/>
  </r>
  <r>
    <s v="INT-01501"/>
    <x v="2"/>
    <x v="0"/>
    <x v="10"/>
    <x v="0"/>
    <s v="Customer 579"/>
    <s v="Analytics"/>
    <s v="Partner"/>
    <x v="0"/>
    <n v="1"/>
    <n v="5000"/>
    <n v="5000"/>
    <m/>
    <x v="170"/>
    <m/>
    <x v="0"/>
    <x v="0"/>
    <x v="2"/>
    <n v="2025"/>
  </r>
  <r>
    <s v="INT-01502"/>
    <x v="74"/>
    <x v="0"/>
    <x v="5"/>
    <x v="0"/>
    <s v="Customer 510"/>
    <s v="WhatsApp API"/>
    <s v="Inbound"/>
    <x v="2"/>
    <n v="1"/>
    <n v="30800"/>
    <n v="0"/>
    <m/>
    <x v="153"/>
    <m/>
    <x v="0"/>
    <x v="3"/>
    <x v="3"/>
    <n v="2026"/>
  </r>
  <r>
    <s v="INT-01503"/>
    <x v="251"/>
    <x v="0"/>
    <x v="10"/>
    <x v="0"/>
    <s v="Customer 210"/>
    <s v="CRM"/>
    <s v="Referral"/>
    <x v="2"/>
    <n v="1"/>
    <n v="34600"/>
    <n v="0"/>
    <m/>
    <x v="118"/>
    <m/>
    <x v="0"/>
    <x v="3"/>
    <x v="11"/>
    <n v="2026"/>
  </r>
  <r>
    <s v="INT-01504"/>
    <x v="43"/>
    <x v="0"/>
    <x v="0"/>
    <x v="1"/>
    <s v="Customer 413"/>
    <s v="WhatsApp API"/>
    <s v="Outbound"/>
    <x v="3"/>
    <n v="1"/>
    <n v="17100"/>
    <n v="0"/>
    <m/>
    <x v="172"/>
    <m/>
    <x v="0"/>
    <x v="4"/>
    <x v="5"/>
    <n v="2026"/>
  </r>
  <r>
    <s v="INT-01505"/>
    <x v="309"/>
    <x v="0"/>
    <x v="11"/>
    <x v="4"/>
    <s v="Customer 139"/>
    <s v="Automation"/>
    <s v="Outbound"/>
    <x v="2"/>
    <n v="1"/>
    <n v="17100"/>
    <n v="0"/>
    <m/>
    <x v="170"/>
    <m/>
    <x v="0"/>
    <x v="3"/>
    <x v="1"/>
    <n v="2026"/>
  </r>
  <r>
    <s v="INT-01506"/>
    <x v="44"/>
    <x v="0"/>
    <x v="4"/>
    <x v="4"/>
    <s v="Customer 114"/>
    <s v="Analytics"/>
    <s v="Website"/>
    <x v="0"/>
    <n v="1"/>
    <n v="12300"/>
    <n v="12300"/>
    <m/>
    <x v="213"/>
    <m/>
    <x v="0"/>
    <x v="0"/>
    <x v="11"/>
    <n v="2026"/>
  </r>
  <r>
    <s v="INT-01507"/>
    <x v="268"/>
    <x v="1"/>
    <x v="2"/>
    <x v="0"/>
    <s v="Customer 158"/>
    <s v="CRM"/>
    <m/>
    <x v="1"/>
    <n v="0"/>
    <n v="0"/>
    <n v="0"/>
    <n v="1"/>
    <x v="19"/>
    <n v="6.3"/>
    <x v="5"/>
    <x v="1"/>
    <x v="11"/>
    <n v="2026"/>
  </r>
  <r>
    <s v="INT-01508"/>
    <x v="46"/>
    <x v="0"/>
    <x v="0"/>
    <x v="4"/>
    <s v="Customer 279"/>
    <s v="WhatsApp API"/>
    <s v="Partner"/>
    <x v="4"/>
    <n v="1"/>
    <n v="15900"/>
    <n v="0"/>
    <m/>
    <x v="89"/>
    <m/>
    <x v="0"/>
    <x v="6"/>
    <x v="2"/>
    <n v="2025"/>
  </r>
  <r>
    <s v="INT-01509"/>
    <x v="215"/>
    <x v="1"/>
    <x v="1"/>
    <x v="1"/>
    <s v="Customer 500"/>
    <s v="Analytics"/>
    <m/>
    <x v="1"/>
    <n v="0"/>
    <n v="0"/>
    <n v="0"/>
    <n v="1"/>
    <x v="19"/>
    <n v="5.0999999999999996"/>
    <x v="5"/>
    <x v="2"/>
    <x v="10"/>
    <n v="2025"/>
  </r>
  <r>
    <s v="INT-01510"/>
    <x v="19"/>
    <x v="1"/>
    <x v="3"/>
    <x v="0"/>
    <s v="Customer 031"/>
    <s v="Analytics"/>
    <m/>
    <x v="1"/>
    <n v="0"/>
    <n v="0"/>
    <n v="0"/>
    <n v="1"/>
    <x v="148"/>
    <n v="8.4"/>
    <x v="22"/>
    <x v="2"/>
    <x v="7"/>
    <n v="2026"/>
  </r>
  <r>
    <s v="INT-01511"/>
    <x v="180"/>
    <x v="1"/>
    <x v="2"/>
    <x v="2"/>
    <s v="Customer 215"/>
    <s v="Automation"/>
    <m/>
    <x v="1"/>
    <n v="0"/>
    <n v="0"/>
    <n v="0"/>
    <n v="1"/>
    <x v="134"/>
    <n v="4.3"/>
    <x v="11"/>
    <x v="2"/>
    <x v="1"/>
    <n v="2026"/>
  </r>
  <r>
    <s v="INT-01512"/>
    <x v="275"/>
    <x v="1"/>
    <x v="2"/>
    <x v="0"/>
    <s v="Customer 145"/>
    <s v="CRM"/>
    <m/>
    <x v="1"/>
    <n v="0"/>
    <n v="0"/>
    <n v="0"/>
    <n v="1"/>
    <x v="40"/>
    <n v="6.1"/>
    <x v="3"/>
    <x v="1"/>
    <x v="10"/>
    <n v="2025"/>
  </r>
  <r>
    <s v="INT-01513"/>
    <x v="255"/>
    <x v="1"/>
    <x v="14"/>
    <x v="4"/>
    <s v="Customer 592"/>
    <s v="WhatsApp API"/>
    <m/>
    <x v="1"/>
    <n v="0"/>
    <n v="0"/>
    <n v="0"/>
    <n v="1"/>
    <x v="53"/>
    <n v="11.8"/>
    <x v="22"/>
    <x v="9"/>
    <x v="9"/>
    <n v="2025"/>
  </r>
  <r>
    <s v="INT-01514"/>
    <x v="180"/>
    <x v="0"/>
    <x v="5"/>
    <x v="2"/>
    <s v="Customer 334"/>
    <s v="WhatsApp API"/>
    <s v="Inbound"/>
    <x v="2"/>
    <n v="1"/>
    <n v="5700"/>
    <n v="0"/>
    <m/>
    <x v="14"/>
    <m/>
    <x v="0"/>
    <x v="3"/>
    <x v="1"/>
    <n v="2026"/>
  </r>
  <r>
    <s v="INT-01515"/>
    <x v="105"/>
    <x v="0"/>
    <x v="6"/>
    <x v="4"/>
    <s v="Customer 454"/>
    <s v="CRM"/>
    <s v="Outbound"/>
    <x v="4"/>
    <n v="1"/>
    <n v="14900"/>
    <n v="0"/>
    <m/>
    <x v="45"/>
    <m/>
    <x v="0"/>
    <x v="6"/>
    <x v="9"/>
    <n v="2025"/>
  </r>
  <r>
    <s v="INT-01516"/>
    <x v="312"/>
    <x v="0"/>
    <x v="10"/>
    <x v="0"/>
    <s v="Customer 234"/>
    <s v="WhatsApp API"/>
    <s v="Inbound"/>
    <x v="3"/>
    <n v="1"/>
    <n v="66400"/>
    <n v="0"/>
    <m/>
    <x v="128"/>
    <m/>
    <x v="0"/>
    <x v="4"/>
    <x v="6"/>
    <n v="2025"/>
  </r>
  <r>
    <s v="INT-01517"/>
    <x v="38"/>
    <x v="1"/>
    <x v="2"/>
    <x v="4"/>
    <s v="Customer 075"/>
    <s v="WhatsApp API"/>
    <m/>
    <x v="1"/>
    <n v="0"/>
    <n v="0"/>
    <n v="0"/>
    <n v="1"/>
    <x v="168"/>
    <n v="6.3"/>
    <x v="10"/>
    <x v="9"/>
    <x v="0"/>
    <n v="2026"/>
  </r>
  <r>
    <s v="INT-01518"/>
    <x v="198"/>
    <x v="1"/>
    <x v="9"/>
    <x v="0"/>
    <s v="Customer 062"/>
    <s v="Automation"/>
    <m/>
    <x v="1"/>
    <n v="0"/>
    <n v="0"/>
    <n v="0"/>
    <n v="1"/>
    <x v="80"/>
    <n v="2.9"/>
    <x v="13"/>
    <x v="2"/>
    <x v="7"/>
    <n v="2026"/>
  </r>
  <r>
    <s v="INT-01519"/>
    <x v="13"/>
    <x v="0"/>
    <x v="5"/>
    <x v="0"/>
    <s v="Customer 224"/>
    <s v="CRM"/>
    <s v="Partner"/>
    <x v="4"/>
    <n v="1"/>
    <n v="39100"/>
    <n v="0"/>
    <m/>
    <x v="200"/>
    <m/>
    <x v="0"/>
    <x v="6"/>
    <x v="8"/>
    <n v="2026"/>
  </r>
  <r>
    <s v="INT-01520"/>
    <x v="269"/>
    <x v="1"/>
    <x v="1"/>
    <x v="2"/>
    <s v="Customer 062"/>
    <s v="WhatsApp API"/>
    <m/>
    <x v="1"/>
    <n v="0"/>
    <n v="0"/>
    <n v="0"/>
    <n v="1"/>
    <x v="40"/>
    <n v="5"/>
    <x v="13"/>
    <x v="2"/>
    <x v="2"/>
    <n v="2025"/>
  </r>
  <r>
    <s v="INT-01521"/>
    <x v="343"/>
    <x v="0"/>
    <x v="6"/>
    <x v="4"/>
    <s v="Customer 202"/>
    <s v="WhatsApp API"/>
    <s v="Partner"/>
    <x v="3"/>
    <n v="1"/>
    <n v="26200"/>
    <n v="0"/>
    <m/>
    <x v="135"/>
    <m/>
    <x v="0"/>
    <x v="4"/>
    <x v="8"/>
    <n v="2026"/>
  </r>
  <r>
    <s v="INT-01522"/>
    <x v="82"/>
    <x v="1"/>
    <x v="2"/>
    <x v="0"/>
    <s v="Customer 485"/>
    <s v="Analytics"/>
    <m/>
    <x v="1"/>
    <n v="0"/>
    <n v="0"/>
    <n v="0"/>
    <n v="1"/>
    <x v="60"/>
    <n v="12.2"/>
    <x v="14"/>
    <x v="1"/>
    <x v="0"/>
    <n v="2026"/>
  </r>
  <r>
    <s v="INT-01523"/>
    <x v="35"/>
    <x v="0"/>
    <x v="13"/>
    <x v="0"/>
    <s v="Customer 373"/>
    <s v="CRM"/>
    <s v="Referral"/>
    <x v="2"/>
    <n v="1"/>
    <n v="22600"/>
    <n v="0"/>
    <m/>
    <x v="229"/>
    <m/>
    <x v="0"/>
    <x v="3"/>
    <x v="8"/>
    <n v="2026"/>
  </r>
  <r>
    <s v="INT-01524"/>
    <x v="154"/>
    <x v="0"/>
    <x v="0"/>
    <x v="1"/>
    <s v="Customer 274"/>
    <s v="Analytics"/>
    <s v="Outbound"/>
    <x v="4"/>
    <n v="1"/>
    <n v="17400"/>
    <n v="0"/>
    <m/>
    <x v="128"/>
    <m/>
    <x v="0"/>
    <x v="6"/>
    <x v="10"/>
    <n v="2025"/>
  </r>
  <r>
    <s v="INT-01525"/>
    <x v="296"/>
    <x v="0"/>
    <x v="11"/>
    <x v="3"/>
    <s v="Customer 126"/>
    <s v="Automation"/>
    <s v="Partner"/>
    <x v="4"/>
    <n v="1"/>
    <n v="59500"/>
    <n v="0"/>
    <m/>
    <x v="100"/>
    <m/>
    <x v="0"/>
    <x v="6"/>
    <x v="3"/>
    <n v="2026"/>
  </r>
  <r>
    <s v="INT-01526"/>
    <x v="45"/>
    <x v="0"/>
    <x v="7"/>
    <x v="4"/>
    <s v="Customer 428"/>
    <s v="Automation"/>
    <s v="Outbound"/>
    <x v="4"/>
    <n v="1"/>
    <n v="67800"/>
    <n v="0"/>
    <m/>
    <x v="63"/>
    <m/>
    <x v="0"/>
    <x v="6"/>
    <x v="6"/>
    <n v="2025"/>
  </r>
  <r>
    <s v="INT-01527"/>
    <x v="201"/>
    <x v="0"/>
    <x v="0"/>
    <x v="2"/>
    <s v="Customer 126"/>
    <s v="WhatsApp API"/>
    <s v="Referral"/>
    <x v="5"/>
    <n v="1"/>
    <n v="38200"/>
    <n v="0"/>
    <m/>
    <x v="30"/>
    <m/>
    <x v="0"/>
    <x v="7"/>
    <x v="7"/>
    <n v="2026"/>
  </r>
  <r>
    <s v="INT-01528"/>
    <x v="27"/>
    <x v="0"/>
    <x v="10"/>
    <x v="3"/>
    <s v="Customer 110"/>
    <s v="Analytics"/>
    <s v="Website"/>
    <x v="2"/>
    <n v="1"/>
    <n v="56600"/>
    <n v="0"/>
    <m/>
    <x v="98"/>
    <m/>
    <x v="0"/>
    <x v="3"/>
    <x v="11"/>
    <n v="2026"/>
  </r>
  <r>
    <s v="INT-01529"/>
    <x v="190"/>
    <x v="1"/>
    <x v="8"/>
    <x v="2"/>
    <s v="Customer 017"/>
    <s v="Analytics"/>
    <m/>
    <x v="1"/>
    <n v="0"/>
    <n v="0"/>
    <n v="0"/>
    <n v="1"/>
    <x v="174"/>
    <n v="7.8"/>
    <x v="14"/>
    <x v="2"/>
    <x v="9"/>
    <n v="2025"/>
  </r>
  <r>
    <s v="INT-01530"/>
    <x v="149"/>
    <x v="0"/>
    <x v="6"/>
    <x v="0"/>
    <s v="Customer 461"/>
    <s v="WhatsApp API"/>
    <s v="Outbound"/>
    <x v="6"/>
    <n v="1"/>
    <n v="28200"/>
    <n v="0"/>
    <m/>
    <x v="168"/>
    <m/>
    <x v="0"/>
    <x v="8"/>
    <x v="5"/>
    <n v="2026"/>
  </r>
  <r>
    <s v="INT-01531"/>
    <x v="43"/>
    <x v="0"/>
    <x v="0"/>
    <x v="4"/>
    <s v="Customer 279"/>
    <s v="Automation"/>
    <s v="Inbound"/>
    <x v="6"/>
    <n v="1"/>
    <n v="16700"/>
    <n v="0"/>
    <m/>
    <x v="67"/>
    <m/>
    <x v="0"/>
    <x v="8"/>
    <x v="5"/>
    <n v="2026"/>
  </r>
  <r>
    <s v="INT-01532"/>
    <x v="280"/>
    <x v="1"/>
    <x v="1"/>
    <x v="0"/>
    <s v="Customer 496"/>
    <s v="CRM"/>
    <m/>
    <x v="1"/>
    <n v="0"/>
    <n v="0"/>
    <n v="0"/>
    <n v="1"/>
    <x v="69"/>
    <n v="12.8"/>
    <x v="21"/>
    <x v="9"/>
    <x v="10"/>
    <n v="2025"/>
  </r>
  <r>
    <s v="INT-01533"/>
    <x v="195"/>
    <x v="1"/>
    <x v="14"/>
    <x v="2"/>
    <s v="Customer 118"/>
    <s v="CRM"/>
    <m/>
    <x v="1"/>
    <n v="0"/>
    <n v="0"/>
    <n v="0"/>
    <n v="1"/>
    <x v="112"/>
    <n v="6.2"/>
    <x v="11"/>
    <x v="1"/>
    <x v="9"/>
    <n v="2025"/>
  </r>
  <r>
    <s v="INT-01534"/>
    <x v="239"/>
    <x v="0"/>
    <x v="10"/>
    <x v="4"/>
    <s v="Customer 121"/>
    <s v="Automation"/>
    <s v="Website"/>
    <x v="0"/>
    <n v="1"/>
    <n v="33200"/>
    <n v="33200"/>
    <m/>
    <x v="119"/>
    <m/>
    <x v="0"/>
    <x v="0"/>
    <x v="7"/>
    <n v="2026"/>
  </r>
  <r>
    <s v="INT-01535"/>
    <x v="305"/>
    <x v="0"/>
    <x v="0"/>
    <x v="4"/>
    <s v="Customer 346"/>
    <s v="Automation"/>
    <s v="Referral"/>
    <x v="2"/>
    <n v="1"/>
    <n v="61800"/>
    <n v="0"/>
    <m/>
    <x v="164"/>
    <m/>
    <x v="0"/>
    <x v="3"/>
    <x v="7"/>
    <n v="2026"/>
  </r>
  <r>
    <s v="INT-01536"/>
    <x v="205"/>
    <x v="0"/>
    <x v="7"/>
    <x v="3"/>
    <s v="Customer 195"/>
    <s v="Analytics"/>
    <s v="Referral"/>
    <x v="0"/>
    <n v="1"/>
    <n v="23500"/>
    <n v="23500"/>
    <m/>
    <x v="45"/>
    <m/>
    <x v="0"/>
    <x v="0"/>
    <x v="2"/>
    <n v="2025"/>
  </r>
  <r>
    <s v="INT-01537"/>
    <x v="13"/>
    <x v="0"/>
    <x v="0"/>
    <x v="4"/>
    <s v="Customer 225"/>
    <s v="CRM"/>
    <s v="Website"/>
    <x v="6"/>
    <n v="1"/>
    <n v="13200"/>
    <n v="0"/>
    <m/>
    <x v="110"/>
    <m/>
    <x v="0"/>
    <x v="8"/>
    <x v="8"/>
    <n v="2026"/>
  </r>
  <r>
    <s v="INT-01538"/>
    <x v="251"/>
    <x v="1"/>
    <x v="2"/>
    <x v="2"/>
    <s v="Customer 041"/>
    <s v="WhatsApp API"/>
    <m/>
    <x v="1"/>
    <n v="0"/>
    <n v="0"/>
    <n v="0"/>
    <n v="1"/>
    <x v="74"/>
    <n v="27.1"/>
    <x v="4"/>
    <x v="5"/>
    <x v="11"/>
    <n v="2026"/>
  </r>
  <r>
    <s v="INT-01539"/>
    <x v="69"/>
    <x v="0"/>
    <x v="13"/>
    <x v="0"/>
    <s v="Customer 278"/>
    <s v="Automation"/>
    <s v="Inbound"/>
    <x v="0"/>
    <n v="1"/>
    <n v="22800"/>
    <n v="22800"/>
    <m/>
    <x v="23"/>
    <m/>
    <x v="0"/>
    <x v="0"/>
    <x v="5"/>
    <n v="2026"/>
  </r>
  <r>
    <s v="INT-01540"/>
    <x v="226"/>
    <x v="0"/>
    <x v="7"/>
    <x v="2"/>
    <s v="Customer 158"/>
    <s v="CRM"/>
    <s v="Website"/>
    <x v="4"/>
    <n v="1"/>
    <n v="15300"/>
    <n v="0"/>
    <m/>
    <x v="232"/>
    <m/>
    <x v="0"/>
    <x v="6"/>
    <x v="0"/>
    <n v="2026"/>
  </r>
  <r>
    <s v="INT-01541"/>
    <x v="180"/>
    <x v="1"/>
    <x v="1"/>
    <x v="4"/>
    <s v="Customer 532"/>
    <s v="Analytics"/>
    <m/>
    <x v="1"/>
    <n v="0"/>
    <n v="0"/>
    <n v="0"/>
    <n v="1"/>
    <x v="111"/>
    <n v="9.3000000000000007"/>
    <x v="1"/>
    <x v="2"/>
    <x v="1"/>
    <n v="2026"/>
  </r>
  <r>
    <s v="INT-01542"/>
    <x v="326"/>
    <x v="0"/>
    <x v="11"/>
    <x v="1"/>
    <s v="Customer 220"/>
    <s v="Analytics"/>
    <s v="Inbound"/>
    <x v="5"/>
    <n v="1"/>
    <n v="8100"/>
    <n v="0"/>
    <m/>
    <x v="211"/>
    <m/>
    <x v="0"/>
    <x v="7"/>
    <x v="1"/>
    <n v="2026"/>
  </r>
  <r>
    <s v="INT-01543"/>
    <x v="151"/>
    <x v="1"/>
    <x v="8"/>
    <x v="0"/>
    <s v="Customer 352"/>
    <s v="CRM"/>
    <m/>
    <x v="1"/>
    <n v="0"/>
    <n v="0"/>
    <n v="0"/>
    <n v="1"/>
    <x v="8"/>
    <n v="2.4"/>
    <x v="5"/>
    <x v="1"/>
    <x v="9"/>
    <n v="2025"/>
  </r>
  <r>
    <s v="INT-01544"/>
    <x v="351"/>
    <x v="0"/>
    <x v="4"/>
    <x v="0"/>
    <s v="Customer 612"/>
    <s v="Automation"/>
    <s v="Inbound"/>
    <x v="0"/>
    <n v="1"/>
    <n v="30200"/>
    <n v="30200"/>
    <m/>
    <x v="173"/>
    <m/>
    <x v="0"/>
    <x v="0"/>
    <x v="11"/>
    <n v="2026"/>
  </r>
  <r>
    <s v="INT-01545"/>
    <x v="76"/>
    <x v="1"/>
    <x v="9"/>
    <x v="3"/>
    <s v="Customer 583"/>
    <s v="Analytics"/>
    <m/>
    <x v="1"/>
    <n v="0"/>
    <n v="0"/>
    <n v="0"/>
    <n v="1"/>
    <x v="8"/>
    <n v="4.7"/>
    <x v="31"/>
    <x v="9"/>
    <x v="4"/>
    <n v="2026"/>
  </r>
  <r>
    <s v="INT-01546"/>
    <x v="284"/>
    <x v="0"/>
    <x v="10"/>
    <x v="2"/>
    <s v="Customer 205"/>
    <s v="Analytics"/>
    <s v="Website"/>
    <x v="5"/>
    <n v="1"/>
    <n v="39600"/>
    <n v="0"/>
    <m/>
    <x v="220"/>
    <m/>
    <x v="0"/>
    <x v="7"/>
    <x v="5"/>
    <n v="2026"/>
  </r>
  <r>
    <s v="INT-01547"/>
    <x v="279"/>
    <x v="1"/>
    <x v="14"/>
    <x v="4"/>
    <s v="Customer 202"/>
    <s v="CRM"/>
    <m/>
    <x v="1"/>
    <n v="0"/>
    <n v="0"/>
    <n v="0"/>
    <n v="1"/>
    <x v="19"/>
    <n v="14.6"/>
    <x v="5"/>
    <x v="1"/>
    <x v="2"/>
    <n v="2025"/>
  </r>
  <r>
    <s v="INT-01548"/>
    <x v="279"/>
    <x v="1"/>
    <x v="8"/>
    <x v="0"/>
    <s v="Customer 461"/>
    <s v="Analytics"/>
    <m/>
    <x v="1"/>
    <n v="0"/>
    <n v="0"/>
    <n v="0"/>
    <n v="1"/>
    <x v="163"/>
    <n v="14.6"/>
    <x v="18"/>
    <x v="1"/>
    <x v="2"/>
    <n v="2025"/>
  </r>
  <r>
    <s v="INT-01549"/>
    <x v="42"/>
    <x v="0"/>
    <x v="5"/>
    <x v="0"/>
    <s v="Customer 449"/>
    <s v="CRM"/>
    <s v="Outbound"/>
    <x v="5"/>
    <n v="1"/>
    <n v="20700"/>
    <n v="0"/>
    <m/>
    <x v="169"/>
    <m/>
    <x v="0"/>
    <x v="7"/>
    <x v="11"/>
    <n v="2026"/>
  </r>
  <r>
    <s v="INT-01550"/>
    <x v="331"/>
    <x v="1"/>
    <x v="12"/>
    <x v="0"/>
    <s v="Customer 606"/>
    <s v="WhatsApp API"/>
    <m/>
    <x v="1"/>
    <n v="0"/>
    <n v="0"/>
    <n v="0"/>
    <n v="1"/>
    <x v="43"/>
    <n v="14.4"/>
    <x v="7"/>
    <x v="2"/>
    <x v="5"/>
    <n v="2026"/>
  </r>
  <r>
    <s v="INT-01551"/>
    <x v="291"/>
    <x v="1"/>
    <x v="14"/>
    <x v="1"/>
    <s v="Customer 460"/>
    <s v="CRM"/>
    <m/>
    <x v="1"/>
    <n v="0"/>
    <n v="0"/>
    <n v="0"/>
    <n v="1"/>
    <x v="49"/>
    <n v="11.2"/>
    <x v="1"/>
    <x v="5"/>
    <x v="4"/>
    <n v="2026"/>
  </r>
  <r>
    <s v="INT-01552"/>
    <x v="241"/>
    <x v="1"/>
    <x v="3"/>
    <x v="1"/>
    <s v="Customer 579"/>
    <s v="Automation"/>
    <m/>
    <x v="1"/>
    <n v="0"/>
    <n v="0"/>
    <n v="0"/>
    <n v="1"/>
    <x v="100"/>
    <n v="10.1"/>
    <x v="13"/>
    <x v="1"/>
    <x v="5"/>
    <n v="2026"/>
  </r>
  <r>
    <s v="INT-01553"/>
    <x v="46"/>
    <x v="1"/>
    <x v="15"/>
    <x v="0"/>
    <s v="Customer 354"/>
    <s v="WhatsApp API"/>
    <m/>
    <x v="1"/>
    <n v="0"/>
    <n v="0"/>
    <n v="0"/>
    <n v="1"/>
    <x v="34"/>
    <n v="14.8"/>
    <x v="1"/>
    <x v="2"/>
    <x v="2"/>
    <n v="2025"/>
  </r>
  <r>
    <s v="INT-01554"/>
    <x v="317"/>
    <x v="1"/>
    <x v="8"/>
    <x v="4"/>
    <s v="Customer 158"/>
    <s v="WhatsApp API"/>
    <m/>
    <x v="1"/>
    <n v="0"/>
    <n v="0"/>
    <n v="0"/>
    <n v="1"/>
    <x v="100"/>
    <n v="5.3"/>
    <x v="3"/>
    <x v="1"/>
    <x v="9"/>
    <n v="2025"/>
  </r>
  <r>
    <s v="INT-01555"/>
    <x v="121"/>
    <x v="0"/>
    <x v="5"/>
    <x v="1"/>
    <s v="Customer 643"/>
    <s v="CRM"/>
    <s v="Outbound"/>
    <x v="4"/>
    <n v="1"/>
    <n v="11000"/>
    <n v="0"/>
    <m/>
    <x v="97"/>
    <m/>
    <x v="0"/>
    <x v="6"/>
    <x v="2"/>
    <n v="2025"/>
  </r>
  <r>
    <s v="INT-01556"/>
    <x v="81"/>
    <x v="0"/>
    <x v="6"/>
    <x v="0"/>
    <s v="Customer 204"/>
    <s v="CRM"/>
    <s v="Referral"/>
    <x v="4"/>
    <n v="1"/>
    <n v="29800"/>
    <n v="0"/>
    <m/>
    <x v="34"/>
    <m/>
    <x v="0"/>
    <x v="6"/>
    <x v="10"/>
    <n v="2025"/>
  </r>
  <r>
    <s v="INT-01557"/>
    <x v="32"/>
    <x v="1"/>
    <x v="8"/>
    <x v="0"/>
    <s v="Customer 067"/>
    <s v="WhatsApp API"/>
    <m/>
    <x v="1"/>
    <n v="0"/>
    <n v="0"/>
    <n v="0"/>
    <n v="1"/>
    <x v="29"/>
    <n v="15.1"/>
    <x v="5"/>
    <x v="1"/>
    <x v="2"/>
    <n v="2025"/>
  </r>
  <r>
    <s v="INT-01558"/>
    <x v="340"/>
    <x v="0"/>
    <x v="4"/>
    <x v="1"/>
    <s v="Customer 535"/>
    <s v="CRM"/>
    <s v="Referral"/>
    <x v="0"/>
    <n v="1"/>
    <n v="20500"/>
    <n v="20500"/>
    <m/>
    <x v="34"/>
    <m/>
    <x v="0"/>
    <x v="0"/>
    <x v="9"/>
    <n v="2025"/>
  </r>
  <r>
    <s v="INT-01559"/>
    <x v="323"/>
    <x v="1"/>
    <x v="2"/>
    <x v="0"/>
    <s v="Customer 436"/>
    <s v="CRM"/>
    <m/>
    <x v="1"/>
    <n v="0"/>
    <n v="0"/>
    <n v="0"/>
    <n v="1"/>
    <x v="40"/>
    <n v="11.4"/>
    <x v="21"/>
    <x v="1"/>
    <x v="3"/>
    <n v="2026"/>
  </r>
  <r>
    <s v="INT-01560"/>
    <x v="269"/>
    <x v="1"/>
    <x v="15"/>
    <x v="3"/>
    <s v="Customer 196"/>
    <s v="WhatsApp API"/>
    <m/>
    <x v="1"/>
    <n v="0"/>
    <n v="0"/>
    <n v="0"/>
    <n v="1"/>
    <x v="80"/>
    <n v="1.6"/>
    <x v="11"/>
    <x v="1"/>
    <x v="2"/>
    <n v="2025"/>
  </r>
  <r>
    <s v="INT-01561"/>
    <x v="177"/>
    <x v="0"/>
    <x v="7"/>
    <x v="4"/>
    <s v="Customer 651"/>
    <s v="WhatsApp API"/>
    <s v="Inbound"/>
    <x v="0"/>
    <n v="1"/>
    <n v="9700"/>
    <n v="9700"/>
    <m/>
    <x v="146"/>
    <m/>
    <x v="0"/>
    <x v="0"/>
    <x v="1"/>
    <n v="2026"/>
  </r>
  <r>
    <s v="INT-01562"/>
    <x v="272"/>
    <x v="0"/>
    <x v="13"/>
    <x v="2"/>
    <s v="Customer 252"/>
    <s v="Automation"/>
    <s v="Inbound"/>
    <x v="6"/>
    <n v="1"/>
    <n v="26600"/>
    <n v="0"/>
    <m/>
    <x v="79"/>
    <m/>
    <x v="0"/>
    <x v="8"/>
    <x v="6"/>
    <n v="2025"/>
  </r>
  <r>
    <s v="INT-01563"/>
    <x v="162"/>
    <x v="1"/>
    <x v="12"/>
    <x v="1"/>
    <s v="Customer 514"/>
    <s v="CRM"/>
    <m/>
    <x v="1"/>
    <n v="0"/>
    <n v="0"/>
    <n v="0"/>
    <n v="1"/>
    <x v="7"/>
    <n v="2.2000000000000002"/>
    <x v="26"/>
    <x v="2"/>
    <x v="2"/>
    <n v="2025"/>
  </r>
  <r>
    <s v="INT-01564"/>
    <x v="24"/>
    <x v="0"/>
    <x v="4"/>
    <x v="2"/>
    <s v="Customer 173"/>
    <s v="CRM"/>
    <s v="Referral"/>
    <x v="5"/>
    <n v="1"/>
    <n v="17200"/>
    <n v="0"/>
    <m/>
    <x v="166"/>
    <m/>
    <x v="0"/>
    <x v="7"/>
    <x v="4"/>
    <n v="2026"/>
  </r>
  <r>
    <s v="INT-01565"/>
    <x v="300"/>
    <x v="1"/>
    <x v="2"/>
    <x v="0"/>
    <s v="Customer 034"/>
    <s v="Analytics"/>
    <m/>
    <x v="1"/>
    <n v="0"/>
    <n v="0"/>
    <n v="0"/>
    <n v="1"/>
    <x v="25"/>
    <n v="8.3000000000000007"/>
    <x v="4"/>
    <x v="1"/>
    <x v="8"/>
    <n v="2026"/>
  </r>
  <r>
    <s v="INT-01566"/>
    <x v="311"/>
    <x v="0"/>
    <x v="10"/>
    <x v="0"/>
    <s v="Customer 402"/>
    <s v="CRM"/>
    <s v="Website"/>
    <x v="4"/>
    <n v="1"/>
    <n v="46000"/>
    <n v="0"/>
    <m/>
    <x v="135"/>
    <m/>
    <x v="0"/>
    <x v="6"/>
    <x v="4"/>
    <n v="2026"/>
  </r>
  <r>
    <s v="INT-01567"/>
    <x v="45"/>
    <x v="1"/>
    <x v="15"/>
    <x v="0"/>
    <s v="Customer 630"/>
    <s v="WhatsApp API"/>
    <m/>
    <x v="1"/>
    <n v="0"/>
    <n v="0"/>
    <n v="0"/>
    <n v="1"/>
    <x v="62"/>
    <n v="7"/>
    <x v="24"/>
    <x v="5"/>
    <x v="6"/>
    <n v="2025"/>
  </r>
  <r>
    <s v="INT-01568"/>
    <x v="46"/>
    <x v="0"/>
    <x v="7"/>
    <x v="1"/>
    <s v="Customer 342"/>
    <s v="WhatsApp API"/>
    <s v="Partner"/>
    <x v="6"/>
    <n v="1"/>
    <n v="14400"/>
    <n v="0"/>
    <m/>
    <x v="191"/>
    <m/>
    <x v="0"/>
    <x v="8"/>
    <x v="2"/>
    <n v="2025"/>
  </r>
  <r>
    <s v="INT-01569"/>
    <x v="251"/>
    <x v="1"/>
    <x v="12"/>
    <x v="0"/>
    <s v="Customer 420"/>
    <s v="CRM"/>
    <m/>
    <x v="1"/>
    <n v="0"/>
    <n v="0"/>
    <n v="0"/>
    <n v="1"/>
    <x v="44"/>
    <n v="9.6999999999999993"/>
    <x v="9"/>
    <x v="2"/>
    <x v="11"/>
    <n v="2026"/>
  </r>
  <r>
    <s v="INT-01570"/>
    <x v="5"/>
    <x v="0"/>
    <x v="13"/>
    <x v="3"/>
    <s v="Customer 054"/>
    <s v="CRM"/>
    <s v="Website"/>
    <x v="2"/>
    <n v="1"/>
    <n v="26600"/>
    <n v="0"/>
    <m/>
    <x v="64"/>
    <m/>
    <x v="0"/>
    <x v="3"/>
    <x v="2"/>
    <n v="2025"/>
  </r>
  <r>
    <s v="INT-01571"/>
    <x v="66"/>
    <x v="1"/>
    <x v="14"/>
    <x v="0"/>
    <s v="Customer 058"/>
    <s v="WhatsApp API"/>
    <m/>
    <x v="1"/>
    <n v="0"/>
    <n v="0"/>
    <n v="0"/>
    <n v="1"/>
    <x v="72"/>
    <n v="8.1"/>
    <x v="19"/>
    <x v="2"/>
    <x v="9"/>
    <n v="2025"/>
  </r>
  <r>
    <s v="INT-01572"/>
    <x v="287"/>
    <x v="0"/>
    <x v="4"/>
    <x v="0"/>
    <s v="Customer 695"/>
    <s v="Analytics"/>
    <s v="Partner"/>
    <x v="3"/>
    <n v="1"/>
    <n v="16600"/>
    <n v="0"/>
    <m/>
    <x v="63"/>
    <m/>
    <x v="0"/>
    <x v="4"/>
    <x v="7"/>
    <n v="2026"/>
  </r>
  <r>
    <s v="INT-01573"/>
    <x v="77"/>
    <x v="1"/>
    <x v="8"/>
    <x v="0"/>
    <s v="Customer 014"/>
    <s v="Automation"/>
    <m/>
    <x v="1"/>
    <n v="0"/>
    <n v="0"/>
    <n v="0"/>
    <n v="1"/>
    <x v="23"/>
    <n v="8.6"/>
    <x v="10"/>
    <x v="2"/>
    <x v="0"/>
    <n v="2026"/>
  </r>
  <r>
    <s v="INT-01574"/>
    <x v="200"/>
    <x v="1"/>
    <x v="15"/>
    <x v="1"/>
    <s v="Customer 146"/>
    <s v="CRM"/>
    <m/>
    <x v="1"/>
    <n v="0"/>
    <n v="0"/>
    <n v="0"/>
    <n v="1"/>
    <x v="24"/>
    <n v="7.5"/>
    <x v="11"/>
    <x v="9"/>
    <x v="9"/>
    <n v="2025"/>
  </r>
  <r>
    <s v="INT-01575"/>
    <x v="53"/>
    <x v="0"/>
    <x v="0"/>
    <x v="4"/>
    <s v="Customer 053"/>
    <s v="CRM"/>
    <s v="Referral"/>
    <x v="0"/>
    <n v="1"/>
    <n v="7300"/>
    <n v="7300"/>
    <m/>
    <x v="111"/>
    <m/>
    <x v="0"/>
    <x v="0"/>
    <x v="8"/>
    <n v="2026"/>
  </r>
  <r>
    <s v="INT-01576"/>
    <x v="37"/>
    <x v="0"/>
    <x v="13"/>
    <x v="0"/>
    <s v="Customer 403"/>
    <s v="Analytics"/>
    <s v="Outbound"/>
    <x v="2"/>
    <n v="1"/>
    <n v="63000"/>
    <n v="0"/>
    <m/>
    <x v="78"/>
    <m/>
    <x v="0"/>
    <x v="3"/>
    <x v="6"/>
    <n v="2025"/>
  </r>
  <r>
    <s v="INT-01577"/>
    <x v="273"/>
    <x v="0"/>
    <x v="7"/>
    <x v="2"/>
    <s v="Customer 208"/>
    <s v="WhatsApp API"/>
    <s v="Inbound"/>
    <x v="3"/>
    <n v="1"/>
    <n v="20700"/>
    <n v="0"/>
    <m/>
    <x v="40"/>
    <m/>
    <x v="0"/>
    <x v="4"/>
    <x v="10"/>
    <n v="2025"/>
  </r>
  <r>
    <s v="INT-01578"/>
    <x v="0"/>
    <x v="1"/>
    <x v="2"/>
    <x v="1"/>
    <s v="Customer 066"/>
    <s v="WhatsApp API"/>
    <m/>
    <x v="1"/>
    <n v="0"/>
    <n v="0"/>
    <n v="0"/>
    <n v="1"/>
    <x v="147"/>
    <n v="2.9"/>
    <x v="10"/>
    <x v="1"/>
    <x v="0"/>
    <n v="2026"/>
  </r>
  <r>
    <s v="INT-01579"/>
    <x v="49"/>
    <x v="1"/>
    <x v="3"/>
    <x v="0"/>
    <s v="Customer 111"/>
    <s v="Automation"/>
    <m/>
    <x v="1"/>
    <n v="0"/>
    <n v="0"/>
    <n v="0"/>
    <n v="1"/>
    <x v="84"/>
    <n v="12.7"/>
    <x v="25"/>
    <x v="5"/>
    <x v="3"/>
    <n v="2026"/>
  </r>
  <r>
    <s v="INT-01580"/>
    <x v="58"/>
    <x v="0"/>
    <x v="6"/>
    <x v="2"/>
    <s v="Customer 068"/>
    <s v="CRM"/>
    <s v="Outbound"/>
    <x v="2"/>
    <n v="1"/>
    <n v="58600"/>
    <n v="0"/>
    <m/>
    <x v="194"/>
    <m/>
    <x v="0"/>
    <x v="3"/>
    <x v="11"/>
    <n v="2026"/>
  </r>
  <r>
    <s v="INT-01581"/>
    <x v="235"/>
    <x v="0"/>
    <x v="13"/>
    <x v="4"/>
    <s v="Customer 588"/>
    <s v="CRM"/>
    <s v="Partner"/>
    <x v="5"/>
    <n v="1"/>
    <n v="15900"/>
    <n v="0"/>
    <m/>
    <x v="62"/>
    <m/>
    <x v="0"/>
    <x v="7"/>
    <x v="5"/>
    <n v="2026"/>
  </r>
  <r>
    <s v="INT-01582"/>
    <x v="3"/>
    <x v="0"/>
    <x v="11"/>
    <x v="4"/>
    <s v="Customer 031"/>
    <s v="WhatsApp API"/>
    <s v="Inbound"/>
    <x v="5"/>
    <n v="1"/>
    <n v="47700"/>
    <n v="0"/>
    <m/>
    <x v="133"/>
    <m/>
    <x v="0"/>
    <x v="7"/>
    <x v="3"/>
    <n v="2026"/>
  </r>
  <r>
    <s v="INT-01583"/>
    <x v="137"/>
    <x v="1"/>
    <x v="1"/>
    <x v="4"/>
    <s v="Customer 053"/>
    <s v="WhatsApp API"/>
    <m/>
    <x v="1"/>
    <n v="0"/>
    <n v="0"/>
    <n v="0"/>
    <n v="1"/>
    <x v="173"/>
    <n v="1.8"/>
    <x v="11"/>
    <x v="5"/>
    <x v="1"/>
    <n v="2026"/>
  </r>
  <r>
    <s v="INT-01584"/>
    <x v="195"/>
    <x v="0"/>
    <x v="7"/>
    <x v="0"/>
    <s v="Customer 685"/>
    <s v="WhatsApp API"/>
    <s v="Outbound"/>
    <x v="5"/>
    <n v="1"/>
    <n v="12600"/>
    <n v="0"/>
    <m/>
    <x v="117"/>
    <m/>
    <x v="0"/>
    <x v="7"/>
    <x v="9"/>
    <n v="2025"/>
  </r>
  <r>
    <s v="INT-01585"/>
    <x v="210"/>
    <x v="1"/>
    <x v="15"/>
    <x v="0"/>
    <s v="Customer 121"/>
    <s v="Analytics"/>
    <m/>
    <x v="1"/>
    <n v="0"/>
    <n v="0"/>
    <n v="0"/>
    <n v="1"/>
    <x v="46"/>
    <n v="4.0999999999999996"/>
    <x v="18"/>
    <x v="5"/>
    <x v="2"/>
    <n v="2025"/>
  </r>
  <r>
    <s v="INT-01586"/>
    <x v="248"/>
    <x v="0"/>
    <x v="0"/>
    <x v="1"/>
    <s v="Customer 181"/>
    <s v="Automation"/>
    <s v="Partner"/>
    <x v="6"/>
    <n v="1"/>
    <n v="33200"/>
    <n v="0"/>
    <m/>
    <x v="156"/>
    <m/>
    <x v="0"/>
    <x v="8"/>
    <x v="2"/>
    <n v="2025"/>
  </r>
  <r>
    <s v="INT-01587"/>
    <x v="258"/>
    <x v="1"/>
    <x v="15"/>
    <x v="2"/>
    <s v="Customer 645"/>
    <s v="Analytics"/>
    <m/>
    <x v="1"/>
    <n v="0"/>
    <n v="0"/>
    <n v="0"/>
    <n v="1"/>
    <x v="214"/>
    <n v="12.6"/>
    <x v="5"/>
    <x v="2"/>
    <x v="2"/>
    <n v="2025"/>
  </r>
  <r>
    <s v="INT-01588"/>
    <x v="105"/>
    <x v="0"/>
    <x v="7"/>
    <x v="4"/>
    <s v="Customer 079"/>
    <s v="WhatsApp API"/>
    <s v="Website"/>
    <x v="2"/>
    <n v="1"/>
    <n v="36100"/>
    <n v="0"/>
    <m/>
    <x v="100"/>
    <m/>
    <x v="0"/>
    <x v="3"/>
    <x v="9"/>
    <n v="2025"/>
  </r>
  <r>
    <s v="INT-01589"/>
    <x v="285"/>
    <x v="0"/>
    <x v="13"/>
    <x v="0"/>
    <s v="Customer 522"/>
    <s v="Automation"/>
    <s v="Partner"/>
    <x v="5"/>
    <n v="1"/>
    <n v="77600"/>
    <n v="0"/>
    <m/>
    <x v="98"/>
    <m/>
    <x v="0"/>
    <x v="7"/>
    <x v="0"/>
    <n v="2026"/>
  </r>
  <r>
    <s v="INT-01590"/>
    <x v="253"/>
    <x v="1"/>
    <x v="9"/>
    <x v="0"/>
    <s v="Customer 448"/>
    <s v="Analytics"/>
    <m/>
    <x v="1"/>
    <n v="0"/>
    <n v="0"/>
    <n v="0"/>
    <n v="1"/>
    <x v="117"/>
    <n v="3.4"/>
    <x v="28"/>
    <x v="1"/>
    <x v="3"/>
    <n v="2026"/>
  </r>
  <r>
    <s v="INT-01591"/>
    <x v="83"/>
    <x v="1"/>
    <x v="14"/>
    <x v="0"/>
    <s v="Customer 180"/>
    <s v="Analytics"/>
    <m/>
    <x v="1"/>
    <n v="0"/>
    <n v="0"/>
    <n v="0"/>
    <n v="1"/>
    <x v="127"/>
    <n v="5.3"/>
    <x v="5"/>
    <x v="5"/>
    <x v="5"/>
    <n v="2026"/>
  </r>
  <r>
    <s v="INT-01592"/>
    <x v="261"/>
    <x v="1"/>
    <x v="3"/>
    <x v="0"/>
    <s v="Customer 404"/>
    <s v="WhatsApp API"/>
    <m/>
    <x v="1"/>
    <n v="0"/>
    <n v="0"/>
    <n v="0"/>
    <n v="1"/>
    <x v="117"/>
    <n v="2.2000000000000002"/>
    <x v="3"/>
    <x v="2"/>
    <x v="1"/>
    <n v="2026"/>
  </r>
  <r>
    <s v="INT-01593"/>
    <x v="252"/>
    <x v="0"/>
    <x v="0"/>
    <x v="2"/>
    <s v="Customer 111"/>
    <s v="CRM"/>
    <s v="Inbound"/>
    <x v="0"/>
    <n v="1"/>
    <n v="12500"/>
    <n v="12500"/>
    <m/>
    <x v="59"/>
    <m/>
    <x v="0"/>
    <x v="0"/>
    <x v="0"/>
    <n v="2026"/>
  </r>
  <r>
    <s v="INT-01594"/>
    <x v="287"/>
    <x v="0"/>
    <x v="4"/>
    <x v="0"/>
    <s v="Customer 075"/>
    <s v="Automation"/>
    <s v="Outbound"/>
    <x v="2"/>
    <n v="1"/>
    <n v="28100"/>
    <n v="0"/>
    <m/>
    <x v="170"/>
    <m/>
    <x v="0"/>
    <x v="3"/>
    <x v="7"/>
    <n v="2026"/>
  </r>
  <r>
    <s v="INT-01595"/>
    <x v="0"/>
    <x v="1"/>
    <x v="12"/>
    <x v="2"/>
    <s v="Customer 652"/>
    <s v="CRM"/>
    <m/>
    <x v="1"/>
    <n v="0"/>
    <n v="0"/>
    <n v="0"/>
    <n v="1"/>
    <x v="85"/>
    <n v="3.5"/>
    <x v="1"/>
    <x v="1"/>
    <x v="0"/>
    <n v="2026"/>
  </r>
  <r>
    <s v="INT-01596"/>
    <x v="159"/>
    <x v="1"/>
    <x v="8"/>
    <x v="4"/>
    <s v="Customer 137"/>
    <s v="CRM"/>
    <m/>
    <x v="1"/>
    <n v="0"/>
    <n v="0"/>
    <n v="0"/>
    <n v="1"/>
    <x v="13"/>
    <n v="3"/>
    <x v="23"/>
    <x v="2"/>
    <x v="9"/>
    <n v="2025"/>
  </r>
  <r>
    <s v="INT-01597"/>
    <x v="19"/>
    <x v="0"/>
    <x v="0"/>
    <x v="0"/>
    <s v="Customer 490"/>
    <s v="CRM"/>
    <s v="Partner"/>
    <x v="6"/>
    <n v="1"/>
    <n v="8800"/>
    <n v="0"/>
    <m/>
    <x v="237"/>
    <m/>
    <x v="0"/>
    <x v="8"/>
    <x v="7"/>
    <n v="2026"/>
  </r>
  <r>
    <s v="INT-01598"/>
    <x v="91"/>
    <x v="0"/>
    <x v="6"/>
    <x v="4"/>
    <s v="Customer 193"/>
    <s v="WhatsApp API"/>
    <s v="Outbound"/>
    <x v="5"/>
    <n v="1"/>
    <n v="60400"/>
    <n v="0"/>
    <m/>
    <x v="131"/>
    <m/>
    <x v="0"/>
    <x v="7"/>
    <x v="3"/>
    <n v="2026"/>
  </r>
  <r>
    <s v="INT-01599"/>
    <x v="245"/>
    <x v="0"/>
    <x v="0"/>
    <x v="4"/>
    <s v="Customer 057"/>
    <s v="WhatsApp API"/>
    <s v="Outbound"/>
    <x v="0"/>
    <n v="1"/>
    <n v="14000"/>
    <n v="14000"/>
    <m/>
    <x v="176"/>
    <m/>
    <x v="0"/>
    <x v="0"/>
    <x v="10"/>
    <n v="2025"/>
  </r>
  <r>
    <s v="INT-01600"/>
    <x v="230"/>
    <x v="1"/>
    <x v="9"/>
    <x v="0"/>
    <s v="Customer 034"/>
    <s v="WhatsApp API"/>
    <m/>
    <x v="1"/>
    <n v="0"/>
    <n v="0"/>
    <n v="0"/>
    <n v="1"/>
    <x v="234"/>
    <n v="5.7"/>
    <x v="21"/>
    <x v="5"/>
    <x v="8"/>
    <n v="2026"/>
  </r>
  <r>
    <s v="INT-01601"/>
    <x v="29"/>
    <x v="0"/>
    <x v="11"/>
    <x v="0"/>
    <s v="Customer 117"/>
    <s v="WhatsApp API"/>
    <s v="Referral"/>
    <x v="2"/>
    <n v="1"/>
    <n v="50300"/>
    <n v="0"/>
    <m/>
    <x v="94"/>
    <m/>
    <x v="0"/>
    <x v="3"/>
    <x v="11"/>
    <n v="2026"/>
  </r>
  <r>
    <s v="INT-01602"/>
    <x v="234"/>
    <x v="0"/>
    <x v="4"/>
    <x v="1"/>
    <s v="Customer 379"/>
    <s v="CRM"/>
    <s v="Inbound"/>
    <x v="2"/>
    <n v="1"/>
    <n v="47600"/>
    <n v="0"/>
    <m/>
    <x v="125"/>
    <m/>
    <x v="0"/>
    <x v="3"/>
    <x v="8"/>
    <n v="2026"/>
  </r>
  <r>
    <s v="INT-01603"/>
    <x v="358"/>
    <x v="0"/>
    <x v="13"/>
    <x v="4"/>
    <s v="Customer 157"/>
    <s v="WhatsApp API"/>
    <s v="Inbound"/>
    <x v="6"/>
    <n v="1"/>
    <n v="14800"/>
    <n v="0"/>
    <m/>
    <x v="231"/>
    <m/>
    <x v="0"/>
    <x v="8"/>
    <x v="6"/>
    <n v="2025"/>
  </r>
  <r>
    <s v="INT-01604"/>
    <x v="142"/>
    <x v="0"/>
    <x v="6"/>
    <x v="4"/>
    <s v="Customer 289"/>
    <s v="CRM"/>
    <s v="Website"/>
    <x v="5"/>
    <n v="1"/>
    <n v="7700"/>
    <n v="0"/>
    <m/>
    <x v="12"/>
    <m/>
    <x v="0"/>
    <x v="7"/>
    <x v="7"/>
    <n v="2026"/>
  </r>
  <r>
    <s v="INT-01605"/>
    <x v="225"/>
    <x v="0"/>
    <x v="0"/>
    <x v="0"/>
    <s v="Customer 640"/>
    <s v="Automation"/>
    <s v="Outbound"/>
    <x v="4"/>
    <n v="1"/>
    <n v="16900"/>
    <n v="0"/>
    <m/>
    <x v="120"/>
    <m/>
    <x v="0"/>
    <x v="6"/>
    <x v="3"/>
    <n v="2026"/>
  </r>
  <r>
    <s v="INT-01606"/>
    <x v="98"/>
    <x v="0"/>
    <x v="0"/>
    <x v="0"/>
    <s v="Customer 548"/>
    <s v="WhatsApp API"/>
    <s v="Outbound"/>
    <x v="2"/>
    <n v="1"/>
    <n v="37300"/>
    <n v="0"/>
    <m/>
    <x v="211"/>
    <m/>
    <x v="0"/>
    <x v="3"/>
    <x v="4"/>
    <n v="2026"/>
  </r>
  <r>
    <s v="INT-01607"/>
    <x v="238"/>
    <x v="0"/>
    <x v="10"/>
    <x v="0"/>
    <s v="Customer 628"/>
    <s v="WhatsApp API"/>
    <s v="Referral"/>
    <x v="3"/>
    <n v="1"/>
    <n v="16100"/>
    <n v="0"/>
    <m/>
    <x v="202"/>
    <m/>
    <x v="0"/>
    <x v="4"/>
    <x v="11"/>
    <n v="2026"/>
  </r>
  <r>
    <s v="INT-01608"/>
    <x v="162"/>
    <x v="1"/>
    <x v="12"/>
    <x v="1"/>
    <s v="Customer 333"/>
    <s v="Analytics"/>
    <m/>
    <x v="1"/>
    <n v="0"/>
    <n v="0"/>
    <n v="0"/>
    <n v="1"/>
    <x v="160"/>
    <n v="11.5"/>
    <x v="9"/>
    <x v="1"/>
    <x v="2"/>
    <n v="2025"/>
  </r>
  <r>
    <s v="INT-01609"/>
    <x v="304"/>
    <x v="0"/>
    <x v="0"/>
    <x v="0"/>
    <s v="Customer 308"/>
    <s v="WhatsApp API"/>
    <s v="Inbound"/>
    <x v="4"/>
    <n v="1"/>
    <n v="5000"/>
    <n v="0"/>
    <m/>
    <x v="182"/>
    <m/>
    <x v="0"/>
    <x v="6"/>
    <x v="2"/>
    <n v="2025"/>
  </r>
  <r>
    <s v="INT-01610"/>
    <x v="93"/>
    <x v="0"/>
    <x v="7"/>
    <x v="0"/>
    <s v="Customer 349"/>
    <s v="WhatsApp API"/>
    <s v="Outbound"/>
    <x v="4"/>
    <n v="1"/>
    <n v="7700"/>
    <n v="0"/>
    <m/>
    <x v="51"/>
    <m/>
    <x v="0"/>
    <x v="6"/>
    <x v="7"/>
    <n v="2026"/>
  </r>
  <r>
    <s v="INT-01611"/>
    <x v="58"/>
    <x v="1"/>
    <x v="3"/>
    <x v="0"/>
    <s v="Customer 554"/>
    <s v="WhatsApp API"/>
    <m/>
    <x v="1"/>
    <n v="0"/>
    <n v="0"/>
    <n v="0"/>
    <n v="1"/>
    <x v="25"/>
    <n v="5.5"/>
    <x v="14"/>
    <x v="2"/>
    <x v="11"/>
    <n v="2026"/>
  </r>
  <r>
    <s v="INT-01612"/>
    <x v="357"/>
    <x v="1"/>
    <x v="9"/>
    <x v="1"/>
    <s v="Customer 695"/>
    <s v="WhatsApp API"/>
    <m/>
    <x v="1"/>
    <n v="0"/>
    <n v="0"/>
    <n v="0"/>
    <n v="1"/>
    <x v="167"/>
    <n v="10.5"/>
    <x v="26"/>
    <x v="2"/>
    <x v="1"/>
    <n v="2026"/>
  </r>
  <r>
    <s v="INT-01613"/>
    <x v="82"/>
    <x v="0"/>
    <x v="10"/>
    <x v="1"/>
    <s v="Customer 348"/>
    <s v="CRM"/>
    <s v="Partner"/>
    <x v="4"/>
    <n v="1"/>
    <n v="59600"/>
    <n v="0"/>
    <m/>
    <x v="119"/>
    <m/>
    <x v="0"/>
    <x v="6"/>
    <x v="0"/>
    <n v="2026"/>
  </r>
  <r>
    <s v="INT-01614"/>
    <x v="349"/>
    <x v="0"/>
    <x v="6"/>
    <x v="0"/>
    <s v="Customer 182"/>
    <s v="CRM"/>
    <s v="Inbound"/>
    <x v="2"/>
    <n v="1"/>
    <n v="40900"/>
    <n v="0"/>
    <m/>
    <x v="186"/>
    <m/>
    <x v="0"/>
    <x v="3"/>
    <x v="8"/>
    <n v="2026"/>
  </r>
  <r>
    <s v="INT-01615"/>
    <x v="65"/>
    <x v="0"/>
    <x v="10"/>
    <x v="0"/>
    <s v="Customer 052"/>
    <s v="WhatsApp API"/>
    <s v="Referral"/>
    <x v="6"/>
    <n v="1"/>
    <n v="23300"/>
    <n v="0"/>
    <m/>
    <x v="115"/>
    <m/>
    <x v="0"/>
    <x v="8"/>
    <x v="8"/>
    <n v="2026"/>
  </r>
  <r>
    <s v="INT-01616"/>
    <x v="170"/>
    <x v="1"/>
    <x v="12"/>
    <x v="0"/>
    <s v="Customer 607"/>
    <s v="CRM"/>
    <m/>
    <x v="1"/>
    <n v="0"/>
    <n v="0"/>
    <n v="0"/>
    <n v="1"/>
    <x v="59"/>
    <n v="8.5"/>
    <x v="3"/>
    <x v="2"/>
    <x v="7"/>
    <n v="2026"/>
  </r>
  <r>
    <s v="INT-01617"/>
    <x v="208"/>
    <x v="1"/>
    <x v="9"/>
    <x v="1"/>
    <s v="Customer 561"/>
    <s v="WhatsApp API"/>
    <m/>
    <x v="1"/>
    <n v="0"/>
    <n v="0"/>
    <n v="0"/>
    <n v="1"/>
    <x v="103"/>
    <n v="4.5999999999999996"/>
    <x v="3"/>
    <x v="1"/>
    <x v="0"/>
    <n v="2026"/>
  </r>
  <r>
    <s v="INT-01618"/>
    <x v="17"/>
    <x v="1"/>
    <x v="14"/>
    <x v="0"/>
    <s v="Customer 113"/>
    <s v="WhatsApp API"/>
    <m/>
    <x v="1"/>
    <n v="0"/>
    <n v="0"/>
    <n v="0"/>
    <n v="1"/>
    <x v="68"/>
    <n v="13.1"/>
    <x v="11"/>
    <x v="1"/>
    <x v="8"/>
    <n v="2026"/>
  </r>
  <r>
    <s v="INT-01619"/>
    <x v="124"/>
    <x v="1"/>
    <x v="3"/>
    <x v="3"/>
    <s v="Customer 323"/>
    <s v="Automation"/>
    <m/>
    <x v="1"/>
    <n v="0"/>
    <n v="0"/>
    <n v="0"/>
    <n v="1"/>
    <x v="49"/>
    <n v="5.9"/>
    <x v="10"/>
    <x v="9"/>
    <x v="0"/>
    <n v="2026"/>
  </r>
  <r>
    <s v="INT-01620"/>
    <x v="177"/>
    <x v="1"/>
    <x v="9"/>
    <x v="3"/>
    <s v="Customer 582"/>
    <s v="Analytics"/>
    <m/>
    <x v="1"/>
    <n v="0"/>
    <n v="0"/>
    <n v="0"/>
    <n v="1"/>
    <x v="144"/>
    <n v="6.4"/>
    <x v="17"/>
    <x v="2"/>
    <x v="1"/>
    <n v="2026"/>
  </r>
  <r>
    <s v="INT-01621"/>
    <x v="320"/>
    <x v="0"/>
    <x v="0"/>
    <x v="4"/>
    <s v="Customer 263"/>
    <s v="CRM"/>
    <s v="Partner"/>
    <x v="0"/>
    <n v="1"/>
    <n v="17700"/>
    <n v="17700"/>
    <m/>
    <x v="198"/>
    <m/>
    <x v="0"/>
    <x v="0"/>
    <x v="1"/>
    <n v="2026"/>
  </r>
  <r>
    <s v="INT-01622"/>
    <x v="344"/>
    <x v="0"/>
    <x v="5"/>
    <x v="3"/>
    <s v="Customer 022"/>
    <s v="CRM"/>
    <s v="Website"/>
    <x v="6"/>
    <n v="1"/>
    <n v="147900"/>
    <n v="0"/>
    <m/>
    <x v="102"/>
    <m/>
    <x v="0"/>
    <x v="8"/>
    <x v="7"/>
    <n v="2026"/>
  </r>
  <r>
    <s v="INT-01623"/>
    <x v="83"/>
    <x v="1"/>
    <x v="3"/>
    <x v="0"/>
    <s v="Customer 555"/>
    <s v="CRM"/>
    <m/>
    <x v="1"/>
    <n v="0"/>
    <n v="0"/>
    <n v="0"/>
    <n v="1"/>
    <x v="167"/>
    <n v="10.8"/>
    <x v="11"/>
    <x v="2"/>
    <x v="5"/>
    <n v="2026"/>
  </r>
  <r>
    <s v="INT-01624"/>
    <x v="13"/>
    <x v="1"/>
    <x v="1"/>
    <x v="0"/>
    <s v="Customer 566"/>
    <s v="CRM"/>
    <m/>
    <x v="1"/>
    <n v="0"/>
    <n v="0"/>
    <n v="0"/>
    <n v="1"/>
    <x v="147"/>
    <n v="5.5"/>
    <x v="12"/>
    <x v="2"/>
    <x v="8"/>
    <n v="2026"/>
  </r>
  <r>
    <s v="INT-01625"/>
    <x v="315"/>
    <x v="0"/>
    <x v="13"/>
    <x v="0"/>
    <s v="Customer 488"/>
    <s v="Automation"/>
    <s v="Outbound"/>
    <x v="5"/>
    <n v="1"/>
    <n v="21300"/>
    <n v="0"/>
    <m/>
    <x v="47"/>
    <m/>
    <x v="0"/>
    <x v="7"/>
    <x v="7"/>
    <n v="2026"/>
  </r>
  <r>
    <s v="INT-01626"/>
    <x v="359"/>
    <x v="1"/>
    <x v="12"/>
    <x v="0"/>
    <s v="Customer 454"/>
    <s v="CRM"/>
    <m/>
    <x v="1"/>
    <n v="0"/>
    <n v="0"/>
    <n v="0"/>
    <n v="1"/>
    <x v="69"/>
    <n v="6"/>
    <x v="12"/>
    <x v="2"/>
    <x v="0"/>
    <n v="2026"/>
  </r>
  <r>
    <s v="INT-01627"/>
    <x v="262"/>
    <x v="0"/>
    <x v="11"/>
    <x v="0"/>
    <s v="Customer 010"/>
    <s v="CRM"/>
    <s v="Referral"/>
    <x v="2"/>
    <n v="1"/>
    <n v="13900"/>
    <n v="0"/>
    <m/>
    <x v="31"/>
    <m/>
    <x v="0"/>
    <x v="3"/>
    <x v="11"/>
    <n v="2026"/>
  </r>
  <r>
    <s v="INT-01628"/>
    <x v="93"/>
    <x v="0"/>
    <x v="7"/>
    <x v="0"/>
    <s v="Customer 336"/>
    <s v="Automation"/>
    <s v="Inbound"/>
    <x v="0"/>
    <n v="1"/>
    <n v="14200"/>
    <n v="14200"/>
    <m/>
    <x v="184"/>
    <m/>
    <x v="0"/>
    <x v="0"/>
    <x v="7"/>
    <n v="2026"/>
  </r>
  <r>
    <s v="INT-01629"/>
    <x v="34"/>
    <x v="0"/>
    <x v="5"/>
    <x v="0"/>
    <s v="Customer 456"/>
    <s v="WhatsApp API"/>
    <s v="Inbound"/>
    <x v="2"/>
    <n v="1"/>
    <n v="9600"/>
    <n v="0"/>
    <m/>
    <x v="14"/>
    <m/>
    <x v="0"/>
    <x v="3"/>
    <x v="3"/>
    <n v="2026"/>
  </r>
  <r>
    <s v="INT-01630"/>
    <x v="182"/>
    <x v="0"/>
    <x v="13"/>
    <x v="0"/>
    <s v="Customer 169"/>
    <s v="CRM"/>
    <s v="Website"/>
    <x v="4"/>
    <n v="1"/>
    <n v="5300"/>
    <n v="0"/>
    <m/>
    <x v="227"/>
    <m/>
    <x v="0"/>
    <x v="6"/>
    <x v="6"/>
    <n v="2025"/>
  </r>
  <r>
    <s v="INT-01631"/>
    <x v="158"/>
    <x v="1"/>
    <x v="3"/>
    <x v="0"/>
    <s v="Customer 148"/>
    <s v="WhatsApp API"/>
    <m/>
    <x v="1"/>
    <n v="0"/>
    <n v="0"/>
    <n v="0"/>
    <n v="1"/>
    <x v="15"/>
    <n v="3.4"/>
    <x v="15"/>
    <x v="1"/>
    <x v="0"/>
    <n v="2026"/>
  </r>
  <r>
    <s v="INT-01632"/>
    <x v="259"/>
    <x v="0"/>
    <x v="10"/>
    <x v="0"/>
    <s v="Customer 508"/>
    <s v="CRM"/>
    <s v="Referral"/>
    <x v="2"/>
    <n v="1"/>
    <n v="5000"/>
    <n v="0"/>
    <m/>
    <x v="125"/>
    <m/>
    <x v="0"/>
    <x v="3"/>
    <x v="1"/>
    <n v="2026"/>
  </r>
  <r>
    <s v="INT-01633"/>
    <x v="160"/>
    <x v="1"/>
    <x v="1"/>
    <x v="0"/>
    <s v="Customer 425"/>
    <s v="CRM"/>
    <m/>
    <x v="1"/>
    <n v="0"/>
    <n v="0"/>
    <n v="0"/>
    <n v="1"/>
    <x v="19"/>
    <n v="10.3"/>
    <x v="11"/>
    <x v="2"/>
    <x v="1"/>
    <n v="2026"/>
  </r>
  <r>
    <s v="INT-01634"/>
    <x v="63"/>
    <x v="1"/>
    <x v="2"/>
    <x v="0"/>
    <s v="Customer 449"/>
    <s v="Automation"/>
    <m/>
    <x v="1"/>
    <n v="0"/>
    <n v="0"/>
    <n v="0"/>
    <n v="1"/>
    <x v="34"/>
    <n v="1.7"/>
    <x v="1"/>
    <x v="2"/>
    <x v="4"/>
    <n v="2026"/>
  </r>
  <r>
    <s v="INT-01635"/>
    <x v="50"/>
    <x v="1"/>
    <x v="2"/>
    <x v="4"/>
    <s v="Customer 409"/>
    <s v="Analytics"/>
    <m/>
    <x v="1"/>
    <n v="0"/>
    <n v="0"/>
    <n v="0"/>
    <n v="1"/>
    <x v="11"/>
    <n v="3.8"/>
    <x v="19"/>
    <x v="2"/>
    <x v="1"/>
    <n v="2026"/>
  </r>
  <r>
    <s v="INT-01636"/>
    <x v="48"/>
    <x v="0"/>
    <x v="0"/>
    <x v="4"/>
    <s v="Customer 393"/>
    <s v="WhatsApp API"/>
    <s v="Referral"/>
    <x v="2"/>
    <n v="1"/>
    <n v="36600"/>
    <n v="0"/>
    <m/>
    <x v="31"/>
    <m/>
    <x v="0"/>
    <x v="3"/>
    <x v="0"/>
    <n v="2026"/>
  </r>
  <r>
    <s v="INT-01637"/>
    <x v="302"/>
    <x v="0"/>
    <x v="0"/>
    <x v="4"/>
    <s v="Customer 646"/>
    <s v="Automation"/>
    <s v="Website"/>
    <x v="5"/>
    <n v="1"/>
    <n v="16100"/>
    <n v="0"/>
    <m/>
    <x v="40"/>
    <m/>
    <x v="0"/>
    <x v="7"/>
    <x v="2"/>
    <n v="2025"/>
  </r>
  <r>
    <s v="INT-01638"/>
    <x v="36"/>
    <x v="0"/>
    <x v="4"/>
    <x v="4"/>
    <s v="Customer 505"/>
    <s v="WhatsApp API"/>
    <s v="Referral"/>
    <x v="3"/>
    <n v="1"/>
    <n v="25100"/>
    <n v="0"/>
    <m/>
    <x v="217"/>
    <m/>
    <x v="0"/>
    <x v="4"/>
    <x v="6"/>
    <n v="2025"/>
  </r>
  <r>
    <s v="INT-01639"/>
    <x v="340"/>
    <x v="1"/>
    <x v="8"/>
    <x v="4"/>
    <s v="Customer 277"/>
    <s v="Automation"/>
    <m/>
    <x v="1"/>
    <n v="0"/>
    <n v="0"/>
    <n v="0"/>
    <n v="1"/>
    <x v="59"/>
    <n v="7.1"/>
    <x v="24"/>
    <x v="1"/>
    <x v="9"/>
    <n v="2025"/>
  </r>
  <r>
    <s v="INT-01640"/>
    <x v="247"/>
    <x v="1"/>
    <x v="14"/>
    <x v="0"/>
    <s v="Customer 531"/>
    <s v="WhatsApp API"/>
    <m/>
    <x v="1"/>
    <n v="0"/>
    <n v="0"/>
    <n v="0"/>
    <n v="1"/>
    <x v="37"/>
    <n v="17.600000000000001"/>
    <x v="9"/>
    <x v="2"/>
    <x v="3"/>
    <n v="2026"/>
  </r>
  <r>
    <s v="INT-01641"/>
    <x v="275"/>
    <x v="0"/>
    <x v="4"/>
    <x v="0"/>
    <s v="Customer 084"/>
    <s v="CRM"/>
    <s v="Referral"/>
    <x v="2"/>
    <n v="1"/>
    <n v="12300"/>
    <n v="0"/>
    <m/>
    <x v="160"/>
    <m/>
    <x v="0"/>
    <x v="3"/>
    <x v="10"/>
    <n v="2025"/>
  </r>
  <r>
    <s v="INT-01642"/>
    <x v="25"/>
    <x v="1"/>
    <x v="15"/>
    <x v="3"/>
    <s v="Customer 697"/>
    <s v="WhatsApp API"/>
    <m/>
    <x v="1"/>
    <n v="0"/>
    <n v="0"/>
    <n v="0"/>
    <n v="1"/>
    <x v="128"/>
    <n v="16.3"/>
    <x v="6"/>
    <x v="2"/>
    <x v="5"/>
    <n v="2026"/>
  </r>
  <r>
    <s v="INT-01643"/>
    <x v="258"/>
    <x v="0"/>
    <x v="5"/>
    <x v="0"/>
    <s v="Customer 111"/>
    <s v="WhatsApp API"/>
    <s v="Referral"/>
    <x v="3"/>
    <n v="1"/>
    <n v="18100"/>
    <n v="0"/>
    <m/>
    <x v="158"/>
    <m/>
    <x v="0"/>
    <x v="4"/>
    <x v="2"/>
    <n v="2025"/>
  </r>
  <r>
    <s v="INT-01644"/>
    <x v="182"/>
    <x v="1"/>
    <x v="8"/>
    <x v="0"/>
    <s v="Customer 392"/>
    <s v="Analytics"/>
    <m/>
    <x v="1"/>
    <n v="0"/>
    <n v="0"/>
    <n v="0"/>
    <n v="1"/>
    <x v="154"/>
    <n v="14"/>
    <x v="5"/>
    <x v="9"/>
    <x v="6"/>
    <n v="2025"/>
  </r>
  <r>
    <s v="INT-01645"/>
    <x v="75"/>
    <x v="0"/>
    <x v="4"/>
    <x v="0"/>
    <s v="Customer 280"/>
    <s v="CRM"/>
    <s v="Inbound"/>
    <x v="6"/>
    <n v="1"/>
    <n v="20200"/>
    <n v="0"/>
    <m/>
    <x v="145"/>
    <m/>
    <x v="0"/>
    <x v="8"/>
    <x v="9"/>
    <n v="2025"/>
  </r>
  <r>
    <s v="INT-01646"/>
    <x v="183"/>
    <x v="1"/>
    <x v="1"/>
    <x v="2"/>
    <s v="Customer 640"/>
    <s v="CRM"/>
    <m/>
    <x v="1"/>
    <n v="0"/>
    <n v="0"/>
    <n v="0"/>
    <n v="1"/>
    <x v="163"/>
    <n v="11.5"/>
    <x v="1"/>
    <x v="2"/>
    <x v="10"/>
    <n v="2025"/>
  </r>
  <r>
    <s v="INT-01647"/>
    <x v="256"/>
    <x v="0"/>
    <x v="0"/>
    <x v="2"/>
    <s v="Customer 150"/>
    <s v="CRM"/>
    <s v="Partner"/>
    <x v="0"/>
    <n v="1"/>
    <n v="13700"/>
    <n v="13700"/>
    <m/>
    <x v="45"/>
    <m/>
    <x v="0"/>
    <x v="0"/>
    <x v="4"/>
    <n v="2026"/>
  </r>
  <r>
    <s v="INT-01648"/>
    <x v="239"/>
    <x v="1"/>
    <x v="15"/>
    <x v="0"/>
    <s v="Customer 336"/>
    <s v="CRM"/>
    <m/>
    <x v="1"/>
    <n v="0"/>
    <n v="0"/>
    <n v="0"/>
    <n v="1"/>
    <x v="164"/>
    <n v="2.2999999999999998"/>
    <x v="17"/>
    <x v="1"/>
    <x v="7"/>
    <n v="2026"/>
  </r>
  <r>
    <s v="INT-01649"/>
    <x v="154"/>
    <x v="1"/>
    <x v="15"/>
    <x v="0"/>
    <s v="Customer 443"/>
    <s v="Analytics"/>
    <m/>
    <x v="1"/>
    <n v="0"/>
    <n v="0"/>
    <n v="0"/>
    <n v="1"/>
    <x v="47"/>
    <n v="7.3"/>
    <x v="19"/>
    <x v="2"/>
    <x v="10"/>
    <n v="2025"/>
  </r>
  <r>
    <s v="INT-01650"/>
    <x v="168"/>
    <x v="1"/>
    <x v="14"/>
    <x v="0"/>
    <s v="Customer 031"/>
    <s v="Automation"/>
    <m/>
    <x v="1"/>
    <n v="0"/>
    <n v="0"/>
    <n v="0"/>
    <n v="1"/>
    <x v="174"/>
    <n v="5.2"/>
    <x v="2"/>
    <x v="5"/>
    <x v="8"/>
    <n v="2026"/>
  </r>
  <r>
    <s v="INT-01651"/>
    <x v="309"/>
    <x v="0"/>
    <x v="10"/>
    <x v="0"/>
    <s v="Customer 080"/>
    <s v="Automation"/>
    <s v="Website"/>
    <x v="0"/>
    <n v="1"/>
    <n v="11000"/>
    <n v="11000"/>
    <m/>
    <x v="144"/>
    <m/>
    <x v="0"/>
    <x v="0"/>
    <x v="1"/>
    <n v="2026"/>
  </r>
  <r>
    <s v="INT-01652"/>
    <x v="117"/>
    <x v="0"/>
    <x v="0"/>
    <x v="0"/>
    <s v="Customer 240"/>
    <s v="Automation"/>
    <s v="Outbound"/>
    <x v="5"/>
    <n v="1"/>
    <n v="26300"/>
    <n v="0"/>
    <m/>
    <x v="203"/>
    <m/>
    <x v="0"/>
    <x v="7"/>
    <x v="10"/>
    <n v="2025"/>
  </r>
  <r>
    <s v="INT-01653"/>
    <x v="86"/>
    <x v="0"/>
    <x v="0"/>
    <x v="4"/>
    <s v="Customer 551"/>
    <s v="Automation"/>
    <s v="Inbound"/>
    <x v="6"/>
    <n v="1"/>
    <n v="17900"/>
    <n v="0"/>
    <m/>
    <x v="169"/>
    <m/>
    <x v="0"/>
    <x v="8"/>
    <x v="0"/>
    <n v="2026"/>
  </r>
  <r>
    <s v="INT-01654"/>
    <x v="206"/>
    <x v="0"/>
    <x v="11"/>
    <x v="2"/>
    <s v="Customer 579"/>
    <s v="CRM"/>
    <s v="Referral"/>
    <x v="2"/>
    <n v="1"/>
    <n v="19000"/>
    <n v="0"/>
    <m/>
    <x v="152"/>
    <m/>
    <x v="0"/>
    <x v="3"/>
    <x v="7"/>
    <n v="2026"/>
  </r>
  <r>
    <s v="INT-01655"/>
    <x v="7"/>
    <x v="0"/>
    <x v="7"/>
    <x v="0"/>
    <s v="Customer 638"/>
    <s v="CRM"/>
    <s v="Website"/>
    <x v="2"/>
    <n v="1"/>
    <n v="7200"/>
    <n v="0"/>
    <m/>
    <x v="104"/>
    <m/>
    <x v="0"/>
    <x v="3"/>
    <x v="3"/>
    <n v="2026"/>
  </r>
  <r>
    <s v="INT-01656"/>
    <x v="347"/>
    <x v="1"/>
    <x v="9"/>
    <x v="0"/>
    <s v="Customer 376"/>
    <s v="CRM"/>
    <m/>
    <x v="1"/>
    <n v="0"/>
    <n v="0"/>
    <n v="0"/>
    <n v="1"/>
    <x v="172"/>
    <n v="15.8"/>
    <x v="13"/>
    <x v="2"/>
    <x v="5"/>
    <n v="2026"/>
  </r>
  <r>
    <s v="INT-01657"/>
    <x v="302"/>
    <x v="1"/>
    <x v="15"/>
    <x v="3"/>
    <s v="Customer 691"/>
    <s v="WhatsApp API"/>
    <m/>
    <x v="1"/>
    <n v="0"/>
    <n v="0"/>
    <n v="0"/>
    <n v="1"/>
    <x v="118"/>
    <n v="10"/>
    <x v="14"/>
    <x v="2"/>
    <x v="2"/>
    <n v="2025"/>
  </r>
  <r>
    <s v="INT-01658"/>
    <x v="77"/>
    <x v="0"/>
    <x v="0"/>
    <x v="0"/>
    <s v="Customer 526"/>
    <s v="Automation"/>
    <s v="Inbound"/>
    <x v="4"/>
    <n v="1"/>
    <n v="42900"/>
    <n v="0"/>
    <m/>
    <x v="46"/>
    <m/>
    <x v="0"/>
    <x v="6"/>
    <x v="0"/>
    <n v="2026"/>
  </r>
  <r>
    <s v="INT-01659"/>
    <x v="326"/>
    <x v="0"/>
    <x v="11"/>
    <x v="0"/>
    <s v="Customer 401"/>
    <s v="CRM"/>
    <s v="Outbound"/>
    <x v="0"/>
    <n v="1"/>
    <n v="20600"/>
    <n v="20600"/>
    <m/>
    <x v="197"/>
    <m/>
    <x v="0"/>
    <x v="0"/>
    <x v="1"/>
    <n v="2026"/>
  </r>
  <r>
    <s v="INT-01660"/>
    <x v="88"/>
    <x v="0"/>
    <x v="0"/>
    <x v="0"/>
    <s v="Customer 319"/>
    <s v="CRM"/>
    <s v="Inbound"/>
    <x v="4"/>
    <n v="1"/>
    <n v="16600"/>
    <n v="0"/>
    <m/>
    <x v="98"/>
    <m/>
    <x v="0"/>
    <x v="6"/>
    <x v="4"/>
    <n v="2026"/>
  </r>
  <r>
    <s v="INT-01661"/>
    <x v="67"/>
    <x v="1"/>
    <x v="14"/>
    <x v="0"/>
    <s v="Customer 607"/>
    <s v="WhatsApp API"/>
    <m/>
    <x v="1"/>
    <n v="0"/>
    <n v="0"/>
    <n v="0"/>
    <n v="1"/>
    <x v="64"/>
    <n v="18.399999999999999"/>
    <x v="5"/>
    <x v="2"/>
    <x v="6"/>
    <n v="2025"/>
  </r>
  <r>
    <s v="INT-01662"/>
    <x v="194"/>
    <x v="0"/>
    <x v="5"/>
    <x v="0"/>
    <s v="Customer 561"/>
    <s v="CRM"/>
    <s v="Inbound"/>
    <x v="6"/>
    <n v="1"/>
    <n v="7400"/>
    <n v="0"/>
    <m/>
    <x v="166"/>
    <m/>
    <x v="0"/>
    <x v="8"/>
    <x v="8"/>
    <n v="2026"/>
  </r>
  <r>
    <s v="INT-01663"/>
    <x v="76"/>
    <x v="1"/>
    <x v="12"/>
    <x v="0"/>
    <s v="Customer 676"/>
    <s v="WhatsApp API"/>
    <m/>
    <x v="1"/>
    <n v="0"/>
    <n v="0"/>
    <n v="0"/>
    <n v="1"/>
    <x v="8"/>
    <n v="5.6"/>
    <x v="14"/>
    <x v="2"/>
    <x v="4"/>
    <n v="2026"/>
  </r>
  <r>
    <s v="INT-01664"/>
    <x v="256"/>
    <x v="0"/>
    <x v="13"/>
    <x v="1"/>
    <s v="Customer 024"/>
    <s v="CRM"/>
    <s v="Partner"/>
    <x v="2"/>
    <n v="1"/>
    <n v="22200"/>
    <n v="0"/>
    <m/>
    <x v="91"/>
    <m/>
    <x v="0"/>
    <x v="3"/>
    <x v="4"/>
    <n v="2026"/>
  </r>
  <r>
    <s v="INT-01665"/>
    <x v="359"/>
    <x v="1"/>
    <x v="1"/>
    <x v="0"/>
    <s v="Customer 635"/>
    <s v="WhatsApp API"/>
    <m/>
    <x v="1"/>
    <n v="0"/>
    <n v="0"/>
    <n v="0"/>
    <n v="1"/>
    <x v="223"/>
    <n v="5.7"/>
    <x v="14"/>
    <x v="1"/>
    <x v="0"/>
    <n v="2026"/>
  </r>
  <r>
    <s v="INT-01666"/>
    <x v="80"/>
    <x v="1"/>
    <x v="15"/>
    <x v="0"/>
    <s v="Customer 617"/>
    <s v="Analytics"/>
    <m/>
    <x v="1"/>
    <n v="0"/>
    <n v="0"/>
    <n v="0"/>
    <n v="1"/>
    <x v="197"/>
    <n v="11.1"/>
    <x v="7"/>
    <x v="2"/>
    <x v="7"/>
    <n v="2026"/>
  </r>
  <r>
    <s v="INT-01667"/>
    <x v="139"/>
    <x v="0"/>
    <x v="6"/>
    <x v="0"/>
    <s v="Customer 454"/>
    <s v="Analytics"/>
    <s v="Inbound"/>
    <x v="5"/>
    <n v="1"/>
    <n v="6700"/>
    <n v="0"/>
    <m/>
    <x v="47"/>
    <m/>
    <x v="0"/>
    <x v="7"/>
    <x v="1"/>
    <n v="2026"/>
  </r>
  <r>
    <s v="INT-01668"/>
    <x v="313"/>
    <x v="1"/>
    <x v="12"/>
    <x v="0"/>
    <s v="Customer 507"/>
    <s v="CRM"/>
    <m/>
    <x v="1"/>
    <n v="0"/>
    <n v="0"/>
    <n v="0"/>
    <n v="1"/>
    <x v="9"/>
    <n v="9.8000000000000007"/>
    <x v="10"/>
    <x v="2"/>
    <x v="11"/>
    <n v="2026"/>
  </r>
  <r>
    <s v="INT-01669"/>
    <x v="219"/>
    <x v="0"/>
    <x v="13"/>
    <x v="0"/>
    <s v="Customer 492"/>
    <s v="CRM"/>
    <s v="Website"/>
    <x v="2"/>
    <n v="1"/>
    <n v="7600"/>
    <n v="0"/>
    <m/>
    <x v="208"/>
    <m/>
    <x v="0"/>
    <x v="3"/>
    <x v="10"/>
    <n v="2025"/>
  </r>
  <r>
    <s v="INT-01670"/>
    <x v="305"/>
    <x v="1"/>
    <x v="9"/>
    <x v="3"/>
    <s v="Customer 620"/>
    <s v="Analytics"/>
    <m/>
    <x v="1"/>
    <n v="0"/>
    <n v="0"/>
    <n v="0"/>
    <n v="1"/>
    <x v="172"/>
    <n v="5.4"/>
    <x v="23"/>
    <x v="5"/>
    <x v="7"/>
    <n v="2026"/>
  </r>
  <r>
    <s v="INT-01671"/>
    <x v="64"/>
    <x v="0"/>
    <x v="11"/>
    <x v="2"/>
    <s v="Customer 293"/>
    <s v="WhatsApp API"/>
    <s v="Website"/>
    <x v="4"/>
    <n v="1"/>
    <n v="19100"/>
    <n v="0"/>
    <m/>
    <x v="111"/>
    <m/>
    <x v="0"/>
    <x v="6"/>
    <x v="3"/>
    <n v="2026"/>
  </r>
  <r>
    <s v="INT-01672"/>
    <x v="62"/>
    <x v="1"/>
    <x v="14"/>
    <x v="0"/>
    <s v="Customer 085"/>
    <s v="WhatsApp API"/>
    <m/>
    <x v="1"/>
    <n v="0"/>
    <n v="0"/>
    <n v="0"/>
    <n v="1"/>
    <x v="11"/>
    <n v="4.4000000000000004"/>
    <x v="14"/>
    <x v="1"/>
    <x v="5"/>
    <n v="2026"/>
  </r>
  <r>
    <s v="INT-01673"/>
    <x v="77"/>
    <x v="1"/>
    <x v="8"/>
    <x v="2"/>
    <s v="Customer 129"/>
    <s v="Analytics"/>
    <m/>
    <x v="1"/>
    <n v="0"/>
    <n v="0"/>
    <n v="0"/>
    <n v="1"/>
    <x v="65"/>
    <n v="4.0999999999999996"/>
    <x v="8"/>
    <x v="5"/>
    <x v="0"/>
    <n v="2026"/>
  </r>
  <r>
    <s v="INT-01674"/>
    <x v="312"/>
    <x v="1"/>
    <x v="9"/>
    <x v="0"/>
    <s v="Customer 578"/>
    <s v="CRM"/>
    <m/>
    <x v="1"/>
    <n v="0"/>
    <n v="0"/>
    <n v="0"/>
    <n v="1"/>
    <x v="11"/>
    <n v="6.8"/>
    <x v="11"/>
    <x v="2"/>
    <x v="6"/>
    <n v="2025"/>
  </r>
  <r>
    <s v="INT-01675"/>
    <x v="267"/>
    <x v="1"/>
    <x v="14"/>
    <x v="0"/>
    <s v="Customer 246"/>
    <s v="WhatsApp API"/>
    <m/>
    <x v="1"/>
    <n v="0"/>
    <n v="0"/>
    <n v="0"/>
    <n v="1"/>
    <x v="17"/>
    <n v="15.1"/>
    <x v="19"/>
    <x v="2"/>
    <x v="5"/>
    <n v="2026"/>
  </r>
  <r>
    <s v="INT-01676"/>
    <x v="136"/>
    <x v="0"/>
    <x v="5"/>
    <x v="4"/>
    <s v="Customer 032"/>
    <s v="WhatsApp API"/>
    <s v="Inbound"/>
    <x v="0"/>
    <n v="1"/>
    <n v="91500"/>
    <n v="91500"/>
    <m/>
    <x v="195"/>
    <m/>
    <x v="0"/>
    <x v="0"/>
    <x v="0"/>
    <n v="2026"/>
  </r>
  <r>
    <s v="INT-01677"/>
    <x v="319"/>
    <x v="0"/>
    <x v="0"/>
    <x v="0"/>
    <s v="Customer 408"/>
    <s v="CRM"/>
    <s v="Partner"/>
    <x v="2"/>
    <n v="1"/>
    <n v="22900"/>
    <n v="0"/>
    <m/>
    <x v="140"/>
    <m/>
    <x v="0"/>
    <x v="3"/>
    <x v="3"/>
    <n v="2026"/>
  </r>
  <r>
    <s v="INT-01678"/>
    <x v="29"/>
    <x v="0"/>
    <x v="10"/>
    <x v="4"/>
    <s v="Customer 208"/>
    <s v="WhatsApp API"/>
    <s v="Website"/>
    <x v="2"/>
    <n v="1"/>
    <n v="61100"/>
    <n v="0"/>
    <m/>
    <x v="94"/>
    <m/>
    <x v="0"/>
    <x v="3"/>
    <x v="11"/>
    <n v="2026"/>
  </r>
  <r>
    <s v="INT-01679"/>
    <x v="202"/>
    <x v="0"/>
    <x v="0"/>
    <x v="0"/>
    <s v="Customer 442"/>
    <s v="Analytics"/>
    <s v="Outbound"/>
    <x v="3"/>
    <n v="1"/>
    <n v="7900"/>
    <n v="0"/>
    <m/>
    <x v="216"/>
    <m/>
    <x v="0"/>
    <x v="4"/>
    <x v="5"/>
    <n v="2026"/>
  </r>
  <r>
    <s v="INT-01680"/>
    <x v="351"/>
    <x v="1"/>
    <x v="15"/>
    <x v="3"/>
    <s v="Customer 394"/>
    <s v="CRM"/>
    <m/>
    <x v="1"/>
    <n v="0"/>
    <n v="0"/>
    <n v="0"/>
    <n v="1"/>
    <x v="46"/>
    <n v="7.1"/>
    <x v="13"/>
    <x v="9"/>
    <x v="11"/>
    <n v="2026"/>
  </r>
  <r>
    <s v="INT-01681"/>
    <x v="63"/>
    <x v="0"/>
    <x v="10"/>
    <x v="3"/>
    <s v="Customer 663"/>
    <s v="CRM"/>
    <s v="Inbound"/>
    <x v="4"/>
    <n v="1"/>
    <n v="20200"/>
    <n v="0"/>
    <m/>
    <x v="69"/>
    <m/>
    <x v="0"/>
    <x v="6"/>
    <x v="4"/>
    <n v="2026"/>
  </r>
  <r>
    <s v="INT-01682"/>
    <x v="22"/>
    <x v="1"/>
    <x v="15"/>
    <x v="0"/>
    <s v="Customer 533"/>
    <s v="WhatsApp API"/>
    <m/>
    <x v="1"/>
    <n v="0"/>
    <n v="0"/>
    <n v="0"/>
    <n v="1"/>
    <x v="2"/>
    <n v="7.1"/>
    <x v="4"/>
    <x v="9"/>
    <x v="1"/>
    <n v="2026"/>
  </r>
  <r>
    <s v="INT-01683"/>
    <x v="315"/>
    <x v="1"/>
    <x v="9"/>
    <x v="3"/>
    <s v="Customer 047"/>
    <s v="Analytics"/>
    <m/>
    <x v="1"/>
    <n v="0"/>
    <n v="0"/>
    <n v="0"/>
    <n v="1"/>
    <x v="49"/>
    <n v="16.2"/>
    <x v="21"/>
    <x v="2"/>
    <x v="7"/>
    <n v="2026"/>
  </r>
  <r>
    <s v="INT-01684"/>
    <x v="92"/>
    <x v="1"/>
    <x v="8"/>
    <x v="0"/>
    <s v="Customer 148"/>
    <s v="Analytics"/>
    <m/>
    <x v="1"/>
    <n v="0"/>
    <n v="0"/>
    <n v="0"/>
    <n v="1"/>
    <x v="196"/>
    <n v="7.7"/>
    <x v="2"/>
    <x v="2"/>
    <x v="1"/>
    <n v="2026"/>
  </r>
  <r>
    <s v="INT-01685"/>
    <x v="292"/>
    <x v="0"/>
    <x v="5"/>
    <x v="2"/>
    <s v="Customer 030"/>
    <s v="Automation"/>
    <s v="Website"/>
    <x v="0"/>
    <n v="1"/>
    <n v="14100"/>
    <n v="14100"/>
    <m/>
    <x v="58"/>
    <m/>
    <x v="0"/>
    <x v="0"/>
    <x v="9"/>
    <n v="2025"/>
  </r>
  <r>
    <s v="INT-01686"/>
    <x v="48"/>
    <x v="1"/>
    <x v="2"/>
    <x v="0"/>
    <s v="Customer 292"/>
    <s v="Analytics"/>
    <m/>
    <x v="1"/>
    <n v="0"/>
    <n v="0"/>
    <n v="0"/>
    <n v="1"/>
    <x v="41"/>
    <n v="3.8"/>
    <x v="20"/>
    <x v="2"/>
    <x v="0"/>
    <n v="2026"/>
  </r>
  <r>
    <s v="INT-01687"/>
    <x v="43"/>
    <x v="1"/>
    <x v="8"/>
    <x v="1"/>
    <s v="Customer 070"/>
    <s v="WhatsApp API"/>
    <m/>
    <x v="1"/>
    <n v="0"/>
    <n v="0"/>
    <n v="0"/>
    <n v="1"/>
    <x v="29"/>
    <n v="7.7"/>
    <x v="3"/>
    <x v="2"/>
    <x v="5"/>
    <n v="2026"/>
  </r>
  <r>
    <s v="INT-01688"/>
    <x v="231"/>
    <x v="0"/>
    <x v="7"/>
    <x v="0"/>
    <s v="Customer 663"/>
    <s v="Analytics"/>
    <s v="Inbound"/>
    <x v="2"/>
    <n v="1"/>
    <n v="28300"/>
    <n v="0"/>
    <m/>
    <x v="123"/>
    <m/>
    <x v="0"/>
    <x v="3"/>
    <x v="2"/>
    <n v="2025"/>
  </r>
  <r>
    <s v="INT-01689"/>
    <x v="192"/>
    <x v="1"/>
    <x v="8"/>
    <x v="3"/>
    <s v="Customer 526"/>
    <s v="WhatsApp API"/>
    <m/>
    <x v="1"/>
    <n v="0"/>
    <n v="0"/>
    <n v="0"/>
    <n v="1"/>
    <x v="32"/>
    <n v="4"/>
    <x v="7"/>
    <x v="1"/>
    <x v="11"/>
    <n v="2026"/>
  </r>
  <r>
    <s v="INT-01690"/>
    <x v="17"/>
    <x v="1"/>
    <x v="14"/>
    <x v="0"/>
    <s v="Customer 523"/>
    <s v="Analytics"/>
    <m/>
    <x v="1"/>
    <n v="0"/>
    <n v="0"/>
    <n v="0"/>
    <n v="1"/>
    <x v="0"/>
    <n v="4.4000000000000004"/>
    <x v="14"/>
    <x v="2"/>
    <x v="8"/>
    <n v="2026"/>
  </r>
  <r>
    <s v="INT-01691"/>
    <x v="333"/>
    <x v="0"/>
    <x v="6"/>
    <x v="0"/>
    <s v="Customer 599"/>
    <s v="WhatsApp API"/>
    <s v="Inbound"/>
    <x v="4"/>
    <n v="1"/>
    <n v="31300"/>
    <n v="0"/>
    <m/>
    <x v="124"/>
    <m/>
    <x v="0"/>
    <x v="6"/>
    <x v="8"/>
    <n v="2026"/>
  </r>
  <r>
    <s v="INT-01692"/>
    <x v="225"/>
    <x v="0"/>
    <x v="4"/>
    <x v="0"/>
    <s v="Customer 651"/>
    <s v="CRM"/>
    <s v="Referral"/>
    <x v="2"/>
    <n v="1"/>
    <n v="25200"/>
    <n v="0"/>
    <m/>
    <x v="115"/>
    <m/>
    <x v="0"/>
    <x v="3"/>
    <x v="3"/>
    <n v="2026"/>
  </r>
  <r>
    <s v="INT-01693"/>
    <x v="121"/>
    <x v="0"/>
    <x v="13"/>
    <x v="1"/>
    <s v="Customer 698"/>
    <s v="CRM"/>
    <s v="Partner"/>
    <x v="4"/>
    <n v="1"/>
    <n v="62900"/>
    <n v="0"/>
    <m/>
    <x v="169"/>
    <m/>
    <x v="0"/>
    <x v="6"/>
    <x v="2"/>
    <n v="2025"/>
  </r>
  <r>
    <s v="INT-01694"/>
    <x v="75"/>
    <x v="0"/>
    <x v="7"/>
    <x v="0"/>
    <s v="Customer 598"/>
    <s v="WhatsApp API"/>
    <s v="Partner"/>
    <x v="6"/>
    <n v="1"/>
    <n v="30200"/>
    <n v="0"/>
    <m/>
    <x v="196"/>
    <m/>
    <x v="0"/>
    <x v="8"/>
    <x v="9"/>
    <n v="2025"/>
  </r>
  <r>
    <s v="INT-01695"/>
    <x v="316"/>
    <x v="0"/>
    <x v="6"/>
    <x v="0"/>
    <s v="Customer 576"/>
    <s v="CRM"/>
    <s v="Referral"/>
    <x v="5"/>
    <n v="1"/>
    <n v="11900"/>
    <n v="0"/>
    <m/>
    <x v="180"/>
    <m/>
    <x v="0"/>
    <x v="7"/>
    <x v="8"/>
    <n v="2026"/>
  </r>
  <r>
    <s v="INT-01696"/>
    <x v="295"/>
    <x v="0"/>
    <x v="13"/>
    <x v="3"/>
    <s v="Customer 481"/>
    <s v="CRM"/>
    <s v="Outbound"/>
    <x v="2"/>
    <n v="1"/>
    <n v="47400"/>
    <n v="0"/>
    <m/>
    <x v="1"/>
    <m/>
    <x v="0"/>
    <x v="3"/>
    <x v="3"/>
    <n v="2026"/>
  </r>
  <r>
    <s v="INT-01697"/>
    <x v="58"/>
    <x v="0"/>
    <x v="11"/>
    <x v="3"/>
    <s v="Customer 377"/>
    <s v="Analytics"/>
    <s v="Inbound"/>
    <x v="6"/>
    <n v="1"/>
    <n v="26200"/>
    <n v="0"/>
    <m/>
    <x v="165"/>
    <m/>
    <x v="0"/>
    <x v="8"/>
    <x v="11"/>
    <n v="2026"/>
  </r>
  <r>
    <s v="INT-01698"/>
    <x v="36"/>
    <x v="0"/>
    <x v="0"/>
    <x v="3"/>
    <s v="Customer 057"/>
    <s v="WhatsApp API"/>
    <s v="Outbound"/>
    <x v="2"/>
    <n v="1"/>
    <n v="11300"/>
    <n v="0"/>
    <m/>
    <x v="110"/>
    <m/>
    <x v="0"/>
    <x v="3"/>
    <x v="6"/>
    <n v="2025"/>
  </r>
  <r>
    <s v="INT-01699"/>
    <x v="186"/>
    <x v="1"/>
    <x v="14"/>
    <x v="2"/>
    <s v="Customer 632"/>
    <s v="WhatsApp API"/>
    <m/>
    <x v="1"/>
    <n v="0"/>
    <n v="0"/>
    <n v="0"/>
    <n v="1"/>
    <x v="151"/>
    <n v="2.1"/>
    <x v="19"/>
    <x v="1"/>
    <x v="4"/>
    <n v="2026"/>
  </r>
  <r>
    <s v="INT-01700"/>
    <x v="79"/>
    <x v="0"/>
    <x v="7"/>
    <x v="3"/>
    <s v="Customer 252"/>
    <s v="CRM"/>
    <s v="Website"/>
    <x v="3"/>
    <n v="1"/>
    <n v="12000"/>
    <n v="0"/>
    <m/>
    <x v="212"/>
    <m/>
    <x v="0"/>
    <x v="4"/>
    <x v="0"/>
    <n v="2026"/>
  </r>
  <r>
    <s v="INT-01701"/>
    <x v="263"/>
    <x v="1"/>
    <x v="1"/>
    <x v="1"/>
    <s v="Customer 201"/>
    <s v="CRM"/>
    <m/>
    <x v="1"/>
    <n v="0"/>
    <n v="0"/>
    <n v="0"/>
    <n v="1"/>
    <x v="24"/>
    <n v="9.1"/>
    <x v="3"/>
    <x v="1"/>
    <x v="4"/>
    <n v="2026"/>
  </r>
  <r>
    <s v="INT-01702"/>
    <x v="309"/>
    <x v="0"/>
    <x v="4"/>
    <x v="4"/>
    <s v="Customer 509"/>
    <s v="WhatsApp API"/>
    <s v="Inbound"/>
    <x v="2"/>
    <n v="1"/>
    <n v="72800"/>
    <n v="0"/>
    <m/>
    <x v="165"/>
    <m/>
    <x v="0"/>
    <x v="3"/>
    <x v="1"/>
    <n v="2026"/>
  </r>
  <r>
    <s v="INT-01703"/>
    <x v="62"/>
    <x v="0"/>
    <x v="0"/>
    <x v="4"/>
    <s v="Customer 187"/>
    <s v="Automation"/>
    <s v="Outbound"/>
    <x v="2"/>
    <n v="1"/>
    <n v="10300"/>
    <n v="0"/>
    <m/>
    <x v="120"/>
    <m/>
    <x v="0"/>
    <x v="3"/>
    <x v="5"/>
    <n v="2026"/>
  </r>
  <r>
    <s v="INT-01704"/>
    <x v="4"/>
    <x v="0"/>
    <x v="7"/>
    <x v="0"/>
    <s v="Customer 680"/>
    <s v="CRM"/>
    <s v="Website"/>
    <x v="0"/>
    <n v="1"/>
    <n v="49600"/>
    <n v="49600"/>
    <m/>
    <x v="152"/>
    <m/>
    <x v="0"/>
    <x v="0"/>
    <x v="4"/>
    <n v="2026"/>
  </r>
  <r>
    <s v="INT-01705"/>
    <x v="128"/>
    <x v="0"/>
    <x v="5"/>
    <x v="1"/>
    <s v="Customer 030"/>
    <s v="Automation"/>
    <s v="Referral"/>
    <x v="2"/>
    <n v="1"/>
    <n v="57900"/>
    <n v="0"/>
    <m/>
    <x v="144"/>
    <m/>
    <x v="0"/>
    <x v="3"/>
    <x v="11"/>
    <n v="2026"/>
  </r>
  <r>
    <s v="INT-01706"/>
    <x v="262"/>
    <x v="0"/>
    <x v="13"/>
    <x v="4"/>
    <s v="Customer 371"/>
    <s v="Automation"/>
    <s v="Inbound"/>
    <x v="3"/>
    <n v="1"/>
    <n v="47400"/>
    <n v="0"/>
    <m/>
    <x v="226"/>
    <m/>
    <x v="0"/>
    <x v="4"/>
    <x v="11"/>
    <n v="2026"/>
  </r>
  <r>
    <s v="INT-01707"/>
    <x v="353"/>
    <x v="1"/>
    <x v="8"/>
    <x v="0"/>
    <s v="Customer 428"/>
    <s v="Automation"/>
    <m/>
    <x v="1"/>
    <n v="0"/>
    <n v="0"/>
    <n v="0"/>
    <n v="1"/>
    <x v="148"/>
    <n v="10.199999999999999"/>
    <x v="14"/>
    <x v="1"/>
    <x v="0"/>
    <n v="2026"/>
  </r>
  <r>
    <s v="INT-01708"/>
    <x v="264"/>
    <x v="0"/>
    <x v="0"/>
    <x v="0"/>
    <s v="Customer 201"/>
    <s v="CRM"/>
    <s v="Outbound"/>
    <x v="0"/>
    <n v="1"/>
    <n v="9800"/>
    <n v="9800"/>
    <m/>
    <x v="206"/>
    <m/>
    <x v="0"/>
    <x v="0"/>
    <x v="11"/>
    <n v="2026"/>
  </r>
  <r>
    <s v="INT-01709"/>
    <x v="165"/>
    <x v="1"/>
    <x v="15"/>
    <x v="3"/>
    <s v="Customer 644"/>
    <s v="CRM"/>
    <m/>
    <x v="1"/>
    <n v="0"/>
    <n v="0"/>
    <n v="0"/>
    <n v="1"/>
    <x v="27"/>
    <n v="15.3"/>
    <x v="21"/>
    <x v="9"/>
    <x v="0"/>
    <n v="2026"/>
  </r>
  <r>
    <s v="INT-01710"/>
    <x v="7"/>
    <x v="1"/>
    <x v="12"/>
    <x v="0"/>
    <s v="Customer 663"/>
    <s v="WhatsApp API"/>
    <m/>
    <x v="1"/>
    <n v="0"/>
    <n v="0"/>
    <n v="0"/>
    <n v="1"/>
    <x v="56"/>
    <n v="5.5"/>
    <x v="6"/>
    <x v="2"/>
    <x v="3"/>
    <n v="2026"/>
  </r>
  <r>
    <s v="INT-01711"/>
    <x v="301"/>
    <x v="0"/>
    <x v="5"/>
    <x v="1"/>
    <s v="Customer 668"/>
    <s v="CRM"/>
    <s v="Inbound"/>
    <x v="6"/>
    <n v="1"/>
    <n v="5000"/>
    <n v="0"/>
    <m/>
    <x v="113"/>
    <m/>
    <x v="0"/>
    <x v="8"/>
    <x v="10"/>
    <n v="2025"/>
  </r>
  <r>
    <s v="INT-01712"/>
    <x v="339"/>
    <x v="0"/>
    <x v="6"/>
    <x v="0"/>
    <s v="Customer 036"/>
    <s v="Analytics"/>
    <s v="Partner"/>
    <x v="0"/>
    <n v="1"/>
    <n v="23600"/>
    <n v="23600"/>
    <m/>
    <x v="130"/>
    <m/>
    <x v="0"/>
    <x v="0"/>
    <x v="6"/>
    <n v="2025"/>
  </r>
  <r>
    <s v="INT-01713"/>
    <x v="329"/>
    <x v="1"/>
    <x v="3"/>
    <x v="1"/>
    <s v="Customer 110"/>
    <s v="Analytics"/>
    <m/>
    <x v="1"/>
    <n v="0"/>
    <n v="0"/>
    <n v="0"/>
    <n v="1"/>
    <x v="103"/>
    <n v="11.9"/>
    <x v="5"/>
    <x v="1"/>
    <x v="1"/>
    <n v="2026"/>
  </r>
  <r>
    <s v="INT-01714"/>
    <x v="179"/>
    <x v="0"/>
    <x v="5"/>
    <x v="0"/>
    <s v="Customer 656"/>
    <s v="WhatsApp API"/>
    <s v="Outbound"/>
    <x v="3"/>
    <n v="1"/>
    <n v="43500"/>
    <n v="0"/>
    <m/>
    <x v="96"/>
    <m/>
    <x v="0"/>
    <x v="4"/>
    <x v="2"/>
    <n v="2025"/>
  </r>
  <r>
    <s v="INT-01715"/>
    <x v="258"/>
    <x v="0"/>
    <x v="13"/>
    <x v="3"/>
    <s v="Customer 370"/>
    <s v="WhatsApp API"/>
    <s v="Inbound"/>
    <x v="3"/>
    <n v="1"/>
    <n v="41200"/>
    <n v="0"/>
    <m/>
    <x v="32"/>
    <m/>
    <x v="0"/>
    <x v="4"/>
    <x v="2"/>
    <n v="2025"/>
  </r>
  <r>
    <s v="INT-01716"/>
    <x v="50"/>
    <x v="1"/>
    <x v="12"/>
    <x v="4"/>
    <s v="Customer 163"/>
    <s v="WhatsApp API"/>
    <m/>
    <x v="1"/>
    <n v="0"/>
    <n v="0"/>
    <n v="0"/>
    <n v="1"/>
    <x v="139"/>
    <n v="12.3"/>
    <x v="13"/>
    <x v="2"/>
    <x v="1"/>
    <n v="2026"/>
  </r>
  <r>
    <s v="INT-01717"/>
    <x v="234"/>
    <x v="0"/>
    <x v="4"/>
    <x v="1"/>
    <s v="Customer 444"/>
    <s v="WhatsApp API"/>
    <s v="Inbound"/>
    <x v="0"/>
    <n v="1"/>
    <n v="19700"/>
    <n v="19700"/>
    <m/>
    <x v="140"/>
    <m/>
    <x v="0"/>
    <x v="0"/>
    <x v="8"/>
    <n v="2026"/>
  </r>
  <r>
    <s v="INT-01718"/>
    <x v="304"/>
    <x v="1"/>
    <x v="12"/>
    <x v="0"/>
    <s v="Customer 564"/>
    <s v="WhatsApp API"/>
    <m/>
    <x v="1"/>
    <n v="0"/>
    <n v="0"/>
    <n v="0"/>
    <n v="1"/>
    <x v="179"/>
    <n v="2.6"/>
    <x v="23"/>
    <x v="2"/>
    <x v="2"/>
    <n v="2025"/>
  </r>
  <r>
    <s v="INT-01719"/>
    <x v="99"/>
    <x v="1"/>
    <x v="3"/>
    <x v="0"/>
    <s v="Customer 553"/>
    <s v="CRM"/>
    <m/>
    <x v="1"/>
    <n v="0"/>
    <n v="0"/>
    <n v="0"/>
    <n v="1"/>
    <x v="13"/>
    <n v="6.8"/>
    <x v="15"/>
    <x v="2"/>
    <x v="10"/>
    <n v="2025"/>
  </r>
  <r>
    <s v="INT-01720"/>
    <x v="60"/>
    <x v="0"/>
    <x v="7"/>
    <x v="1"/>
    <s v="Customer 524"/>
    <s v="CRM"/>
    <s v="Referral"/>
    <x v="3"/>
    <n v="1"/>
    <n v="10100"/>
    <n v="0"/>
    <m/>
    <x v="12"/>
    <m/>
    <x v="0"/>
    <x v="4"/>
    <x v="5"/>
    <n v="2026"/>
  </r>
  <r>
    <s v="INT-01721"/>
    <x v="312"/>
    <x v="0"/>
    <x v="13"/>
    <x v="1"/>
    <s v="Customer 289"/>
    <s v="WhatsApp API"/>
    <s v="Outbound"/>
    <x v="2"/>
    <n v="1"/>
    <n v="23800"/>
    <n v="0"/>
    <m/>
    <x v="192"/>
    <m/>
    <x v="0"/>
    <x v="3"/>
    <x v="6"/>
    <n v="2025"/>
  </r>
  <r>
    <s v="INT-01722"/>
    <x v="303"/>
    <x v="0"/>
    <x v="11"/>
    <x v="0"/>
    <s v="Customer 651"/>
    <s v="CRM"/>
    <s v="Website"/>
    <x v="6"/>
    <n v="1"/>
    <n v="34000"/>
    <n v="0"/>
    <m/>
    <x v="205"/>
    <m/>
    <x v="0"/>
    <x v="8"/>
    <x v="8"/>
    <n v="2026"/>
  </r>
  <r>
    <s v="INT-01723"/>
    <x v="178"/>
    <x v="0"/>
    <x v="13"/>
    <x v="0"/>
    <s v="Customer 655"/>
    <s v="WhatsApp API"/>
    <s v="Inbound"/>
    <x v="2"/>
    <n v="1"/>
    <n v="113800"/>
    <n v="0"/>
    <m/>
    <x v="155"/>
    <m/>
    <x v="0"/>
    <x v="3"/>
    <x v="6"/>
    <n v="2025"/>
  </r>
  <r>
    <s v="INT-01724"/>
    <x v="289"/>
    <x v="0"/>
    <x v="11"/>
    <x v="2"/>
    <s v="Customer 399"/>
    <s v="WhatsApp API"/>
    <s v="Partner"/>
    <x v="2"/>
    <n v="1"/>
    <n v="23500"/>
    <n v="0"/>
    <m/>
    <x v="103"/>
    <m/>
    <x v="0"/>
    <x v="3"/>
    <x v="6"/>
    <n v="2025"/>
  </r>
  <r>
    <s v="INT-01725"/>
    <x v="70"/>
    <x v="1"/>
    <x v="12"/>
    <x v="2"/>
    <s v="Customer 683"/>
    <s v="WhatsApp API"/>
    <m/>
    <x v="1"/>
    <n v="0"/>
    <n v="0"/>
    <n v="0"/>
    <n v="1"/>
    <x v="172"/>
    <n v="11.1"/>
    <x v="3"/>
    <x v="2"/>
    <x v="10"/>
    <n v="2025"/>
  </r>
  <r>
    <s v="INT-01726"/>
    <x v="274"/>
    <x v="0"/>
    <x v="0"/>
    <x v="4"/>
    <s v="Customer 682"/>
    <s v="Automation"/>
    <s v="Website"/>
    <x v="2"/>
    <n v="1"/>
    <n v="7400"/>
    <n v="0"/>
    <m/>
    <x v="117"/>
    <m/>
    <x v="0"/>
    <x v="3"/>
    <x v="9"/>
    <n v="2025"/>
  </r>
  <r>
    <s v="INT-01727"/>
    <x v="299"/>
    <x v="0"/>
    <x v="13"/>
    <x v="0"/>
    <s v="Customer 156"/>
    <s v="WhatsApp API"/>
    <s v="Inbound"/>
    <x v="6"/>
    <n v="1"/>
    <n v="13800"/>
    <n v="0"/>
    <m/>
    <x v="135"/>
    <m/>
    <x v="0"/>
    <x v="8"/>
    <x v="2"/>
    <n v="2025"/>
  </r>
  <r>
    <s v="INT-01728"/>
    <x v="205"/>
    <x v="1"/>
    <x v="9"/>
    <x v="1"/>
    <s v="Customer 130"/>
    <s v="CRM"/>
    <m/>
    <x v="1"/>
    <n v="0"/>
    <n v="0"/>
    <n v="0"/>
    <n v="1"/>
    <x v="22"/>
    <n v="12.4"/>
    <x v="5"/>
    <x v="2"/>
    <x v="2"/>
    <n v="2025"/>
  </r>
  <r>
    <s v="INT-01729"/>
    <x v="352"/>
    <x v="1"/>
    <x v="8"/>
    <x v="0"/>
    <s v="Customer 229"/>
    <s v="WhatsApp API"/>
    <m/>
    <x v="1"/>
    <n v="0"/>
    <n v="0"/>
    <n v="0"/>
    <n v="1"/>
    <x v="64"/>
    <n v="5.6"/>
    <x v="3"/>
    <x v="1"/>
    <x v="11"/>
    <n v="2026"/>
  </r>
  <r>
    <s v="INT-01730"/>
    <x v="149"/>
    <x v="1"/>
    <x v="9"/>
    <x v="0"/>
    <s v="Customer 304"/>
    <s v="Automation"/>
    <m/>
    <x v="1"/>
    <n v="0"/>
    <n v="0"/>
    <n v="0"/>
    <n v="1"/>
    <x v="16"/>
    <n v="6.7"/>
    <x v="4"/>
    <x v="2"/>
    <x v="5"/>
    <n v="2026"/>
  </r>
  <r>
    <s v="INT-01731"/>
    <x v="254"/>
    <x v="0"/>
    <x v="4"/>
    <x v="0"/>
    <s v="Customer 451"/>
    <s v="WhatsApp API"/>
    <s v="Outbound"/>
    <x v="4"/>
    <n v="1"/>
    <n v="55700"/>
    <n v="0"/>
    <m/>
    <x v="7"/>
    <m/>
    <x v="0"/>
    <x v="6"/>
    <x v="8"/>
    <n v="2026"/>
  </r>
  <r>
    <s v="INT-01732"/>
    <x v="88"/>
    <x v="1"/>
    <x v="2"/>
    <x v="0"/>
    <s v="Customer 026"/>
    <s v="Automation"/>
    <m/>
    <x v="1"/>
    <n v="0"/>
    <n v="0"/>
    <n v="0"/>
    <n v="1"/>
    <x v="154"/>
    <n v="2.8"/>
    <x v="11"/>
    <x v="2"/>
    <x v="4"/>
    <n v="2026"/>
  </r>
  <r>
    <s v="INT-01733"/>
    <x v="58"/>
    <x v="0"/>
    <x v="4"/>
    <x v="0"/>
    <s v="Customer 607"/>
    <s v="WhatsApp API"/>
    <s v="Inbound"/>
    <x v="2"/>
    <n v="1"/>
    <n v="22400"/>
    <n v="0"/>
    <m/>
    <x v="142"/>
    <m/>
    <x v="0"/>
    <x v="3"/>
    <x v="11"/>
    <n v="2026"/>
  </r>
  <r>
    <s v="INT-01734"/>
    <x v="300"/>
    <x v="0"/>
    <x v="6"/>
    <x v="4"/>
    <s v="Customer 656"/>
    <s v="Automation"/>
    <s v="Outbound"/>
    <x v="2"/>
    <n v="1"/>
    <n v="39900"/>
    <n v="0"/>
    <m/>
    <x v="200"/>
    <m/>
    <x v="0"/>
    <x v="3"/>
    <x v="8"/>
    <n v="2026"/>
  </r>
  <r>
    <s v="INT-01735"/>
    <x v="96"/>
    <x v="0"/>
    <x v="5"/>
    <x v="4"/>
    <s v="Customer 118"/>
    <s v="WhatsApp API"/>
    <s v="Inbound"/>
    <x v="2"/>
    <n v="1"/>
    <n v="23500"/>
    <n v="0"/>
    <m/>
    <x v="18"/>
    <m/>
    <x v="0"/>
    <x v="3"/>
    <x v="7"/>
    <n v="2026"/>
  </r>
  <r>
    <s v="INT-01736"/>
    <x v="6"/>
    <x v="1"/>
    <x v="15"/>
    <x v="3"/>
    <s v="Customer 193"/>
    <s v="CRM"/>
    <m/>
    <x v="1"/>
    <n v="0"/>
    <n v="0"/>
    <n v="0"/>
    <n v="1"/>
    <x v="70"/>
    <n v="4.0999999999999996"/>
    <x v="21"/>
    <x v="2"/>
    <x v="5"/>
    <n v="2026"/>
  </r>
  <r>
    <s v="INT-01737"/>
    <x v="102"/>
    <x v="0"/>
    <x v="5"/>
    <x v="2"/>
    <s v="Customer 044"/>
    <s v="CRM"/>
    <s v="Referral"/>
    <x v="5"/>
    <n v="1"/>
    <n v="37300"/>
    <n v="0"/>
    <m/>
    <x v="3"/>
    <m/>
    <x v="0"/>
    <x v="7"/>
    <x v="6"/>
    <n v="2025"/>
  </r>
  <r>
    <s v="INT-01738"/>
    <x v="236"/>
    <x v="0"/>
    <x v="6"/>
    <x v="1"/>
    <s v="Customer 243"/>
    <s v="Analytics"/>
    <s v="Inbound"/>
    <x v="2"/>
    <n v="1"/>
    <n v="60100"/>
    <n v="0"/>
    <m/>
    <x v="80"/>
    <m/>
    <x v="0"/>
    <x v="3"/>
    <x v="8"/>
    <n v="2026"/>
  </r>
  <r>
    <s v="INT-01739"/>
    <x v="286"/>
    <x v="0"/>
    <x v="4"/>
    <x v="0"/>
    <s v="Customer 554"/>
    <s v="Analytics"/>
    <s v="Outbound"/>
    <x v="2"/>
    <n v="1"/>
    <n v="53900"/>
    <n v="0"/>
    <m/>
    <x v="191"/>
    <m/>
    <x v="0"/>
    <x v="3"/>
    <x v="4"/>
    <n v="2026"/>
  </r>
  <r>
    <s v="INT-01740"/>
    <x v="238"/>
    <x v="0"/>
    <x v="11"/>
    <x v="0"/>
    <s v="Customer 240"/>
    <s v="CRM"/>
    <s v="Outbound"/>
    <x v="5"/>
    <n v="1"/>
    <n v="23600"/>
    <n v="0"/>
    <m/>
    <x v="83"/>
    <m/>
    <x v="0"/>
    <x v="7"/>
    <x v="11"/>
    <n v="2026"/>
  </r>
  <r>
    <s v="INT-01741"/>
    <x v="95"/>
    <x v="1"/>
    <x v="12"/>
    <x v="0"/>
    <s v="Customer 696"/>
    <s v="CRM"/>
    <m/>
    <x v="1"/>
    <n v="0"/>
    <n v="0"/>
    <n v="0"/>
    <n v="1"/>
    <x v="147"/>
    <n v="6.2"/>
    <x v="10"/>
    <x v="2"/>
    <x v="6"/>
    <n v="2025"/>
  </r>
  <r>
    <s v="INT-01742"/>
    <x v="171"/>
    <x v="1"/>
    <x v="12"/>
    <x v="4"/>
    <s v="Customer 678"/>
    <s v="Analytics"/>
    <m/>
    <x v="1"/>
    <n v="0"/>
    <n v="0"/>
    <n v="0"/>
    <n v="1"/>
    <x v="11"/>
    <n v="3.4"/>
    <x v="2"/>
    <x v="2"/>
    <x v="10"/>
    <n v="2025"/>
  </r>
  <r>
    <s v="INT-01743"/>
    <x v="164"/>
    <x v="1"/>
    <x v="9"/>
    <x v="0"/>
    <s v="Customer 041"/>
    <s v="CRM"/>
    <m/>
    <x v="1"/>
    <n v="0"/>
    <n v="0"/>
    <n v="0"/>
    <n v="1"/>
    <x v="204"/>
    <n v="10.3"/>
    <x v="6"/>
    <x v="5"/>
    <x v="1"/>
    <n v="2026"/>
  </r>
  <r>
    <s v="INT-01744"/>
    <x v="345"/>
    <x v="0"/>
    <x v="11"/>
    <x v="2"/>
    <s v="Customer 063"/>
    <s v="Automation"/>
    <s v="Referral"/>
    <x v="2"/>
    <n v="1"/>
    <n v="18400"/>
    <n v="0"/>
    <m/>
    <x v="138"/>
    <m/>
    <x v="0"/>
    <x v="3"/>
    <x v="0"/>
    <n v="2026"/>
  </r>
  <r>
    <s v="INT-01745"/>
    <x v="6"/>
    <x v="0"/>
    <x v="10"/>
    <x v="4"/>
    <s v="Customer 107"/>
    <s v="Automation"/>
    <s v="Website"/>
    <x v="2"/>
    <n v="1"/>
    <n v="26600"/>
    <n v="0"/>
    <m/>
    <x v="193"/>
    <m/>
    <x v="0"/>
    <x v="3"/>
    <x v="5"/>
    <n v="2026"/>
  </r>
  <r>
    <s v="INT-01746"/>
    <x v="60"/>
    <x v="0"/>
    <x v="4"/>
    <x v="0"/>
    <s v="Customer 509"/>
    <s v="CRM"/>
    <s v="Inbound"/>
    <x v="3"/>
    <n v="1"/>
    <n v="13600"/>
    <n v="0"/>
    <m/>
    <x v="161"/>
    <m/>
    <x v="0"/>
    <x v="4"/>
    <x v="5"/>
    <n v="2026"/>
  </r>
  <r>
    <s v="INT-01747"/>
    <x v="175"/>
    <x v="0"/>
    <x v="13"/>
    <x v="2"/>
    <s v="Customer 551"/>
    <s v="WhatsApp API"/>
    <s v="Inbound"/>
    <x v="5"/>
    <n v="1"/>
    <n v="12900"/>
    <n v="0"/>
    <m/>
    <x v="174"/>
    <m/>
    <x v="0"/>
    <x v="7"/>
    <x v="11"/>
    <n v="2026"/>
  </r>
  <r>
    <s v="INT-01748"/>
    <x v="257"/>
    <x v="0"/>
    <x v="6"/>
    <x v="0"/>
    <s v="Customer 582"/>
    <s v="CRM"/>
    <s v="Outbound"/>
    <x v="2"/>
    <n v="1"/>
    <n v="57100"/>
    <n v="0"/>
    <m/>
    <x v="74"/>
    <m/>
    <x v="0"/>
    <x v="3"/>
    <x v="1"/>
    <n v="2026"/>
  </r>
  <r>
    <s v="INT-01749"/>
    <x v="174"/>
    <x v="1"/>
    <x v="14"/>
    <x v="0"/>
    <s v="Customer 430"/>
    <s v="CRM"/>
    <m/>
    <x v="1"/>
    <n v="0"/>
    <n v="0"/>
    <n v="0"/>
    <n v="1"/>
    <x v="196"/>
    <n v="5.6"/>
    <x v="10"/>
    <x v="2"/>
    <x v="11"/>
    <n v="2026"/>
  </r>
  <r>
    <s v="INT-01750"/>
    <x v="141"/>
    <x v="0"/>
    <x v="6"/>
    <x v="4"/>
    <s v="Customer 495"/>
    <s v="WhatsApp API"/>
    <s v="Inbound"/>
    <x v="4"/>
    <n v="1"/>
    <n v="38300"/>
    <n v="0"/>
    <m/>
    <x v="137"/>
    <m/>
    <x v="0"/>
    <x v="6"/>
    <x v="11"/>
    <n v="2026"/>
  </r>
  <r>
    <s v="INT-01751"/>
    <x v="193"/>
    <x v="0"/>
    <x v="4"/>
    <x v="0"/>
    <s v="Customer 603"/>
    <s v="CRM"/>
    <s v="Partner"/>
    <x v="2"/>
    <n v="1"/>
    <n v="61000"/>
    <n v="0"/>
    <m/>
    <x v="99"/>
    <m/>
    <x v="0"/>
    <x v="3"/>
    <x v="9"/>
    <n v="2025"/>
  </r>
  <r>
    <s v="INT-01752"/>
    <x v="155"/>
    <x v="0"/>
    <x v="13"/>
    <x v="0"/>
    <s v="Customer 613"/>
    <s v="CRM"/>
    <s v="Outbound"/>
    <x v="3"/>
    <n v="1"/>
    <n v="78500"/>
    <n v="0"/>
    <m/>
    <x v="102"/>
    <m/>
    <x v="0"/>
    <x v="4"/>
    <x v="7"/>
    <n v="2026"/>
  </r>
  <r>
    <s v="INT-01753"/>
    <x v="359"/>
    <x v="0"/>
    <x v="6"/>
    <x v="4"/>
    <s v="Customer 648"/>
    <s v="Automation"/>
    <s v="Inbound"/>
    <x v="2"/>
    <n v="1"/>
    <n v="15200"/>
    <n v="0"/>
    <m/>
    <x v="66"/>
    <m/>
    <x v="0"/>
    <x v="3"/>
    <x v="0"/>
    <n v="2026"/>
  </r>
  <r>
    <s v="INT-01754"/>
    <x v="68"/>
    <x v="0"/>
    <x v="7"/>
    <x v="1"/>
    <s v="Customer 568"/>
    <s v="WhatsApp API"/>
    <s v="Outbound"/>
    <x v="2"/>
    <n v="1"/>
    <n v="22300"/>
    <n v="0"/>
    <m/>
    <x v="224"/>
    <m/>
    <x v="0"/>
    <x v="3"/>
    <x v="4"/>
    <n v="2026"/>
  </r>
  <r>
    <s v="INT-01755"/>
    <x v="225"/>
    <x v="1"/>
    <x v="8"/>
    <x v="0"/>
    <s v="Customer 384"/>
    <s v="CRM"/>
    <m/>
    <x v="1"/>
    <n v="0"/>
    <n v="0"/>
    <n v="0"/>
    <n v="1"/>
    <x v="210"/>
    <n v="18.5"/>
    <x v="9"/>
    <x v="2"/>
    <x v="3"/>
    <n v="2026"/>
  </r>
  <r>
    <s v="INT-01756"/>
    <x v="81"/>
    <x v="1"/>
    <x v="15"/>
    <x v="3"/>
    <s v="Customer 144"/>
    <s v="CRM"/>
    <m/>
    <x v="1"/>
    <n v="0"/>
    <n v="0"/>
    <n v="0"/>
    <n v="1"/>
    <x v="33"/>
    <n v="7.6"/>
    <x v="10"/>
    <x v="9"/>
    <x v="10"/>
    <n v="2025"/>
  </r>
  <r>
    <s v="INT-01757"/>
    <x v="7"/>
    <x v="1"/>
    <x v="1"/>
    <x v="0"/>
    <s v="Customer 107"/>
    <s v="Automation"/>
    <m/>
    <x v="1"/>
    <n v="0"/>
    <n v="0"/>
    <n v="0"/>
    <n v="1"/>
    <x v="136"/>
    <n v="24.6"/>
    <x v="3"/>
    <x v="2"/>
    <x v="3"/>
    <n v="2026"/>
  </r>
  <r>
    <s v="INT-01758"/>
    <x v="160"/>
    <x v="0"/>
    <x v="7"/>
    <x v="0"/>
    <s v="Customer 520"/>
    <s v="Automation"/>
    <s v="Referral"/>
    <x v="2"/>
    <n v="1"/>
    <n v="14200"/>
    <n v="0"/>
    <m/>
    <x v="217"/>
    <m/>
    <x v="0"/>
    <x v="3"/>
    <x v="1"/>
    <n v="2026"/>
  </r>
  <r>
    <s v="INT-01759"/>
    <x v="70"/>
    <x v="0"/>
    <x v="4"/>
    <x v="0"/>
    <s v="Customer 389"/>
    <s v="CRM"/>
    <s v="Website"/>
    <x v="5"/>
    <n v="1"/>
    <n v="26300"/>
    <n v="0"/>
    <m/>
    <x v="237"/>
    <m/>
    <x v="0"/>
    <x v="7"/>
    <x v="10"/>
    <n v="2025"/>
  </r>
  <r>
    <s v="INT-01760"/>
    <x v="82"/>
    <x v="0"/>
    <x v="13"/>
    <x v="4"/>
    <s v="Customer 430"/>
    <s v="Automation"/>
    <s v="Website"/>
    <x v="0"/>
    <n v="1"/>
    <n v="32600"/>
    <n v="32600"/>
    <m/>
    <x v="168"/>
    <m/>
    <x v="0"/>
    <x v="0"/>
    <x v="0"/>
    <n v="2026"/>
  </r>
  <r>
    <s v="INT-01761"/>
    <x v="116"/>
    <x v="0"/>
    <x v="5"/>
    <x v="0"/>
    <s v="Customer 417"/>
    <s v="CRM"/>
    <s v="Outbound"/>
    <x v="2"/>
    <n v="1"/>
    <n v="18700"/>
    <n v="0"/>
    <m/>
    <x v="18"/>
    <m/>
    <x v="0"/>
    <x v="3"/>
    <x v="5"/>
    <n v="2026"/>
  </r>
  <r>
    <s v="INT-01762"/>
    <x v="43"/>
    <x v="1"/>
    <x v="14"/>
    <x v="2"/>
    <s v="Customer 005"/>
    <s v="CRM"/>
    <m/>
    <x v="1"/>
    <n v="0"/>
    <n v="0"/>
    <n v="0"/>
    <n v="1"/>
    <x v="89"/>
    <n v="19.100000000000001"/>
    <x v="4"/>
    <x v="5"/>
    <x v="5"/>
    <n v="2026"/>
  </r>
  <r>
    <s v="INT-01763"/>
    <x v="360"/>
    <x v="0"/>
    <x v="7"/>
    <x v="3"/>
    <s v="Customer 109"/>
    <s v="CRM"/>
    <s v="Outbound"/>
    <x v="6"/>
    <n v="1"/>
    <n v="13400"/>
    <n v="0"/>
    <m/>
    <x v="224"/>
    <m/>
    <x v="0"/>
    <x v="8"/>
    <x v="1"/>
    <n v="2026"/>
  </r>
  <r>
    <s v="INT-01764"/>
    <x v="238"/>
    <x v="0"/>
    <x v="13"/>
    <x v="4"/>
    <s v="Customer 619"/>
    <s v="Analytics"/>
    <s v="Website"/>
    <x v="6"/>
    <n v="1"/>
    <n v="34900"/>
    <n v="0"/>
    <m/>
    <x v="221"/>
    <m/>
    <x v="0"/>
    <x v="8"/>
    <x v="11"/>
    <n v="2026"/>
  </r>
  <r>
    <s v="INT-01765"/>
    <x v="345"/>
    <x v="0"/>
    <x v="4"/>
    <x v="0"/>
    <s v="Customer 013"/>
    <s v="Automation"/>
    <s v="Website"/>
    <x v="6"/>
    <n v="1"/>
    <n v="61500"/>
    <n v="0"/>
    <m/>
    <x v="210"/>
    <m/>
    <x v="0"/>
    <x v="8"/>
    <x v="0"/>
    <n v="2026"/>
  </r>
  <r>
    <s v="INT-01766"/>
    <x v="329"/>
    <x v="0"/>
    <x v="5"/>
    <x v="0"/>
    <s v="Customer 162"/>
    <s v="Automation"/>
    <s v="Inbound"/>
    <x v="2"/>
    <n v="1"/>
    <n v="12900"/>
    <n v="0"/>
    <m/>
    <x v="96"/>
    <m/>
    <x v="0"/>
    <x v="3"/>
    <x v="1"/>
    <n v="2026"/>
  </r>
  <r>
    <s v="INT-01767"/>
    <x v="223"/>
    <x v="1"/>
    <x v="9"/>
    <x v="0"/>
    <s v="Customer 598"/>
    <s v="Automation"/>
    <m/>
    <x v="1"/>
    <n v="0"/>
    <n v="0"/>
    <n v="0"/>
    <n v="1"/>
    <x v="214"/>
    <n v="14.7"/>
    <x v="9"/>
    <x v="5"/>
    <x v="0"/>
    <n v="2026"/>
  </r>
  <r>
    <s v="INT-01768"/>
    <x v="84"/>
    <x v="0"/>
    <x v="7"/>
    <x v="1"/>
    <s v="Customer 196"/>
    <s v="Automation"/>
    <s v="Referral"/>
    <x v="4"/>
    <n v="1"/>
    <n v="71000"/>
    <n v="0"/>
    <m/>
    <x v="130"/>
    <m/>
    <x v="0"/>
    <x v="6"/>
    <x v="9"/>
    <n v="2025"/>
  </r>
  <r>
    <s v="INT-01769"/>
    <x v="155"/>
    <x v="0"/>
    <x v="7"/>
    <x v="3"/>
    <s v="Customer 633"/>
    <s v="Automation"/>
    <s v="Outbound"/>
    <x v="6"/>
    <n v="1"/>
    <n v="8800"/>
    <n v="0"/>
    <m/>
    <x v="65"/>
    <m/>
    <x v="0"/>
    <x v="8"/>
    <x v="7"/>
    <n v="2026"/>
  </r>
  <r>
    <s v="INT-01770"/>
    <x v="164"/>
    <x v="0"/>
    <x v="4"/>
    <x v="4"/>
    <s v="Customer 093"/>
    <s v="Analytics"/>
    <s v="Outbound"/>
    <x v="4"/>
    <n v="1"/>
    <n v="15000"/>
    <n v="0"/>
    <m/>
    <x v="169"/>
    <m/>
    <x v="0"/>
    <x v="6"/>
    <x v="1"/>
    <n v="2026"/>
  </r>
  <r>
    <s v="INT-01771"/>
    <x v="128"/>
    <x v="0"/>
    <x v="11"/>
    <x v="0"/>
    <s v="Customer 157"/>
    <s v="CRM"/>
    <s v="Inbound"/>
    <x v="3"/>
    <n v="1"/>
    <n v="26000"/>
    <n v="0"/>
    <m/>
    <x v="21"/>
    <m/>
    <x v="0"/>
    <x v="4"/>
    <x v="11"/>
    <n v="2026"/>
  </r>
  <r>
    <s v="INT-01772"/>
    <x v="69"/>
    <x v="1"/>
    <x v="14"/>
    <x v="2"/>
    <s v="Customer 612"/>
    <s v="Analytics"/>
    <m/>
    <x v="1"/>
    <n v="0"/>
    <n v="0"/>
    <n v="0"/>
    <n v="1"/>
    <x v="143"/>
    <n v="7"/>
    <x v="9"/>
    <x v="9"/>
    <x v="5"/>
    <n v="2026"/>
  </r>
  <r>
    <s v="INT-01773"/>
    <x v="6"/>
    <x v="1"/>
    <x v="15"/>
    <x v="2"/>
    <s v="Customer 445"/>
    <s v="Analytics"/>
    <m/>
    <x v="1"/>
    <n v="0"/>
    <n v="0"/>
    <n v="0"/>
    <n v="1"/>
    <x v="136"/>
    <n v="7.6"/>
    <x v="13"/>
    <x v="2"/>
    <x v="5"/>
    <n v="2026"/>
  </r>
  <r>
    <s v="INT-01774"/>
    <x v="330"/>
    <x v="1"/>
    <x v="14"/>
    <x v="4"/>
    <s v="Customer 419"/>
    <s v="WhatsApp API"/>
    <m/>
    <x v="1"/>
    <n v="0"/>
    <n v="0"/>
    <n v="0"/>
    <n v="1"/>
    <x v="173"/>
    <n v="14.5"/>
    <x v="9"/>
    <x v="1"/>
    <x v="10"/>
    <n v="2025"/>
  </r>
  <r>
    <s v="INT-01775"/>
    <x v="29"/>
    <x v="1"/>
    <x v="1"/>
    <x v="4"/>
    <s v="Customer 266"/>
    <s v="CRM"/>
    <m/>
    <x v="1"/>
    <n v="0"/>
    <n v="0"/>
    <n v="0"/>
    <n v="1"/>
    <x v="36"/>
    <n v="6.1"/>
    <x v="23"/>
    <x v="1"/>
    <x v="11"/>
    <n v="2026"/>
  </r>
  <r>
    <s v="INT-01776"/>
    <x v="295"/>
    <x v="0"/>
    <x v="11"/>
    <x v="0"/>
    <s v="Customer 611"/>
    <s v="CRM"/>
    <s v="Inbound"/>
    <x v="6"/>
    <n v="1"/>
    <n v="13000"/>
    <n v="0"/>
    <m/>
    <x v="207"/>
    <m/>
    <x v="0"/>
    <x v="8"/>
    <x v="3"/>
    <n v="2026"/>
  </r>
  <r>
    <s v="INT-01777"/>
    <x v="69"/>
    <x v="1"/>
    <x v="15"/>
    <x v="0"/>
    <s v="Customer 241"/>
    <s v="Automation"/>
    <m/>
    <x v="1"/>
    <n v="0"/>
    <n v="0"/>
    <n v="0"/>
    <n v="1"/>
    <x v="174"/>
    <n v="5.2"/>
    <x v="1"/>
    <x v="2"/>
    <x v="5"/>
    <n v="2026"/>
  </r>
  <r>
    <s v="INT-01778"/>
    <x v="276"/>
    <x v="0"/>
    <x v="6"/>
    <x v="1"/>
    <s v="Customer 158"/>
    <s v="Analytics"/>
    <s v="Outbound"/>
    <x v="4"/>
    <n v="1"/>
    <n v="40900"/>
    <n v="0"/>
    <m/>
    <x v="110"/>
    <m/>
    <x v="0"/>
    <x v="6"/>
    <x v="4"/>
    <n v="2026"/>
  </r>
  <r>
    <s v="INT-01779"/>
    <x v="272"/>
    <x v="0"/>
    <x v="11"/>
    <x v="0"/>
    <s v="Customer 531"/>
    <s v="Analytics"/>
    <s v="Referral"/>
    <x v="3"/>
    <n v="1"/>
    <n v="23200"/>
    <n v="0"/>
    <m/>
    <x v="18"/>
    <m/>
    <x v="0"/>
    <x v="4"/>
    <x v="6"/>
    <n v="2025"/>
  </r>
  <r>
    <s v="INT-01780"/>
    <x v="250"/>
    <x v="1"/>
    <x v="2"/>
    <x v="0"/>
    <s v="Customer 143"/>
    <s v="Automation"/>
    <m/>
    <x v="1"/>
    <n v="0"/>
    <n v="0"/>
    <n v="0"/>
    <n v="1"/>
    <x v="182"/>
    <n v="19.899999999999999"/>
    <x v="5"/>
    <x v="2"/>
    <x v="3"/>
    <n v="2026"/>
  </r>
  <r>
    <s v="INT-01781"/>
    <x v="351"/>
    <x v="0"/>
    <x v="6"/>
    <x v="3"/>
    <s v="Customer 474"/>
    <s v="CRM"/>
    <s v="Partner"/>
    <x v="0"/>
    <n v="1"/>
    <n v="30600"/>
    <n v="30600"/>
    <m/>
    <x v="217"/>
    <m/>
    <x v="0"/>
    <x v="0"/>
    <x v="11"/>
    <n v="2026"/>
  </r>
  <r>
    <s v="INT-01782"/>
    <x v="312"/>
    <x v="1"/>
    <x v="1"/>
    <x v="1"/>
    <s v="Customer 212"/>
    <s v="Automation"/>
    <m/>
    <x v="1"/>
    <n v="0"/>
    <n v="0"/>
    <n v="0"/>
    <n v="1"/>
    <x v="121"/>
    <n v="6.6"/>
    <x v="23"/>
    <x v="1"/>
    <x v="6"/>
    <n v="2025"/>
  </r>
  <r>
    <s v="INT-01783"/>
    <x v="149"/>
    <x v="0"/>
    <x v="6"/>
    <x v="4"/>
    <s v="Customer 685"/>
    <s v="CRM"/>
    <s v="Partner"/>
    <x v="2"/>
    <n v="1"/>
    <n v="27200"/>
    <n v="0"/>
    <m/>
    <x v="79"/>
    <m/>
    <x v="0"/>
    <x v="3"/>
    <x v="5"/>
    <n v="2026"/>
  </r>
  <r>
    <s v="INT-01784"/>
    <x v="315"/>
    <x v="1"/>
    <x v="2"/>
    <x v="3"/>
    <s v="Customer 443"/>
    <s v="CRM"/>
    <m/>
    <x v="1"/>
    <n v="0"/>
    <n v="0"/>
    <n v="0"/>
    <n v="1"/>
    <x v="48"/>
    <n v="2.1"/>
    <x v="5"/>
    <x v="1"/>
    <x v="7"/>
    <n v="2026"/>
  </r>
  <r>
    <s v="INT-01785"/>
    <x v="236"/>
    <x v="1"/>
    <x v="9"/>
    <x v="4"/>
    <s v="Customer 170"/>
    <s v="Automation"/>
    <m/>
    <x v="1"/>
    <n v="0"/>
    <n v="0"/>
    <n v="0"/>
    <n v="1"/>
    <x v="177"/>
    <n v="12.1"/>
    <x v="11"/>
    <x v="2"/>
    <x v="8"/>
    <n v="2026"/>
  </r>
  <r>
    <s v="INT-01786"/>
    <x v="246"/>
    <x v="1"/>
    <x v="8"/>
    <x v="0"/>
    <s v="Customer 472"/>
    <s v="CRM"/>
    <m/>
    <x v="1"/>
    <n v="0"/>
    <n v="0"/>
    <n v="0"/>
    <n v="1"/>
    <x v="25"/>
    <n v="14"/>
    <x v="13"/>
    <x v="2"/>
    <x v="9"/>
    <n v="2025"/>
  </r>
  <r>
    <s v="INT-01787"/>
    <x v="86"/>
    <x v="1"/>
    <x v="15"/>
    <x v="0"/>
    <s v="Customer 366"/>
    <s v="CRM"/>
    <m/>
    <x v="1"/>
    <n v="0"/>
    <n v="0"/>
    <n v="0"/>
    <n v="1"/>
    <x v="15"/>
    <n v="23.2"/>
    <x v="12"/>
    <x v="2"/>
    <x v="0"/>
    <n v="2026"/>
  </r>
  <r>
    <s v="INT-01788"/>
    <x v="215"/>
    <x v="1"/>
    <x v="12"/>
    <x v="3"/>
    <s v="Customer 490"/>
    <s v="Automation"/>
    <m/>
    <x v="1"/>
    <n v="0"/>
    <n v="0"/>
    <n v="0"/>
    <n v="1"/>
    <x v="57"/>
    <n v="9.5"/>
    <x v="4"/>
    <x v="1"/>
    <x v="10"/>
    <n v="2025"/>
  </r>
  <r>
    <s v="INT-01789"/>
    <x v="28"/>
    <x v="0"/>
    <x v="10"/>
    <x v="3"/>
    <s v="Customer 583"/>
    <s v="Analytics"/>
    <s v="Referral"/>
    <x v="5"/>
    <n v="1"/>
    <n v="54400"/>
    <n v="0"/>
    <m/>
    <x v="143"/>
    <m/>
    <x v="0"/>
    <x v="7"/>
    <x v="5"/>
    <n v="2026"/>
  </r>
  <r>
    <s v="INT-01790"/>
    <x v="338"/>
    <x v="0"/>
    <x v="7"/>
    <x v="4"/>
    <s v="Customer 183"/>
    <s v="Automation"/>
    <s v="Outbound"/>
    <x v="4"/>
    <n v="1"/>
    <n v="7200"/>
    <n v="0"/>
    <m/>
    <x v="196"/>
    <m/>
    <x v="0"/>
    <x v="6"/>
    <x v="0"/>
    <n v="2026"/>
  </r>
  <r>
    <s v="INT-01791"/>
    <x v="327"/>
    <x v="0"/>
    <x v="10"/>
    <x v="4"/>
    <s v="Customer 022"/>
    <s v="WhatsApp API"/>
    <s v="Website"/>
    <x v="6"/>
    <n v="1"/>
    <n v="17900"/>
    <n v="0"/>
    <m/>
    <x v="229"/>
    <m/>
    <x v="0"/>
    <x v="8"/>
    <x v="6"/>
    <n v="2025"/>
  </r>
  <r>
    <s v="INT-01792"/>
    <x v="315"/>
    <x v="1"/>
    <x v="1"/>
    <x v="4"/>
    <s v="Customer 571"/>
    <s v="WhatsApp API"/>
    <m/>
    <x v="1"/>
    <n v="0"/>
    <n v="0"/>
    <n v="0"/>
    <n v="1"/>
    <x v="75"/>
    <n v="11"/>
    <x v="5"/>
    <x v="2"/>
    <x v="7"/>
    <n v="2026"/>
  </r>
  <r>
    <s v="INT-01793"/>
    <x v="267"/>
    <x v="0"/>
    <x v="0"/>
    <x v="0"/>
    <s v="Customer 592"/>
    <s v="CRM"/>
    <s v="Website"/>
    <x v="6"/>
    <n v="1"/>
    <n v="32500"/>
    <n v="0"/>
    <m/>
    <x v="11"/>
    <m/>
    <x v="0"/>
    <x v="8"/>
    <x v="5"/>
    <n v="2026"/>
  </r>
  <r>
    <s v="INT-01794"/>
    <x v="137"/>
    <x v="1"/>
    <x v="3"/>
    <x v="0"/>
    <s v="Customer 487"/>
    <s v="CRM"/>
    <m/>
    <x v="1"/>
    <n v="0"/>
    <n v="0"/>
    <n v="0"/>
    <n v="1"/>
    <x v="108"/>
    <n v="9.4"/>
    <x v="21"/>
    <x v="2"/>
    <x v="1"/>
    <n v="2026"/>
  </r>
  <r>
    <s v="INT-01795"/>
    <x v="226"/>
    <x v="0"/>
    <x v="6"/>
    <x v="0"/>
    <s v="Customer 299"/>
    <s v="CRM"/>
    <s v="Referral"/>
    <x v="3"/>
    <n v="1"/>
    <n v="24100"/>
    <n v="0"/>
    <m/>
    <x v="173"/>
    <m/>
    <x v="0"/>
    <x v="4"/>
    <x v="0"/>
    <n v="2026"/>
  </r>
  <r>
    <s v="INT-01796"/>
    <x v="312"/>
    <x v="0"/>
    <x v="6"/>
    <x v="4"/>
    <s v="Customer 169"/>
    <s v="Analytics"/>
    <s v="Website"/>
    <x v="0"/>
    <n v="1"/>
    <n v="11100"/>
    <n v="11100"/>
    <m/>
    <x v="134"/>
    <m/>
    <x v="0"/>
    <x v="0"/>
    <x v="6"/>
    <n v="2025"/>
  </r>
  <r>
    <s v="INT-01797"/>
    <x v="361"/>
    <x v="1"/>
    <x v="1"/>
    <x v="2"/>
    <s v="Customer 166"/>
    <s v="Automation"/>
    <m/>
    <x v="1"/>
    <n v="0"/>
    <n v="0"/>
    <n v="0"/>
    <n v="1"/>
    <x v="15"/>
    <n v="20.7"/>
    <x v="10"/>
    <x v="1"/>
    <x v="2"/>
    <n v="2025"/>
  </r>
  <r>
    <s v="INT-01798"/>
    <x v="227"/>
    <x v="0"/>
    <x v="4"/>
    <x v="0"/>
    <s v="Customer 694"/>
    <s v="Analytics"/>
    <s v="Outbound"/>
    <x v="0"/>
    <n v="1"/>
    <n v="9400"/>
    <n v="9400"/>
    <m/>
    <x v="28"/>
    <m/>
    <x v="0"/>
    <x v="0"/>
    <x v="4"/>
    <n v="2026"/>
  </r>
  <r>
    <s v="INT-01799"/>
    <x v="90"/>
    <x v="0"/>
    <x v="0"/>
    <x v="4"/>
    <s v="Customer 140"/>
    <s v="Automation"/>
    <s v="Outbound"/>
    <x v="2"/>
    <n v="1"/>
    <n v="27400"/>
    <n v="0"/>
    <m/>
    <x v="221"/>
    <m/>
    <x v="0"/>
    <x v="3"/>
    <x v="6"/>
    <n v="2025"/>
  </r>
  <r>
    <s v="INT-01800"/>
    <x v="202"/>
    <x v="0"/>
    <x v="7"/>
    <x v="1"/>
    <s v="Customer 032"/>
    <s v="CRM"/>
    <s v="Inbound"/>
    <x v="6"/>
    <n v="1"/>
    <n v="156800"/>
    <n v="0"/>
    <m/>
    <x v="62"/>
    <m/>
    <x v="0"/>
    <x v="8"/>
    <x v="5"/>
    <n v="2026"/>
  </r>
  <r>
    <s v="INT-01801"/>
    <x v="261"/>
    <x v="1"/>
    <x v="14"/>
    <x v="0"/>
    <s v="Customer 030"/>
    <s v="WhatsApp API"/>
    <m/>
    <x v="1"/>
    <n v="0"/>
    <n v="0"/>
    <n v="0"/>
    <n v="1"/>
    <x v="48"/>
    <n v="2.2999999999999998"/>
    <x v="5"/>
    <x v="2"/>
    <x v="1"/>
    <n v="2026"/>
  </r>
  <r>
    <s v="INT-01802"/>
    <x v="48"/>
    <x v="1"/>
    <x v="3"/>
    <x v="2"/>
    <s v="Customer 126"/>
    <s v="CRM"/>
    <m/>
    <x v="1"/>
    <n v="0"/>
    <n v="0"/>
    <n v="0"/>
    <n v="1"/>
    <x v="43"/>
    <n v="17.399999999999999"/>
    <x v="10"/>
    <x v="5"/>
    <x v="0"/>
    <n v="2026"/>
  </r>
  <r>
    <s v="INT-01803"/>
    <x v="221"/>
    <x v="0"/>
    <x v="10"/>
    <x v="0"/>
    <s v="Customer 310"/>
    <s v="CRM"/>
    <s v="Inbound"/>
    <x v="3"/>
    <n v="1"/>
    <n v="29300"/>
    <n v="0"/>
    <m/>
    <x v="113"/>
    <m/>
    <x v="0"/>
    <x v="4"/>
    <x v="5"/>
    <n v="2026"/>
  </r>
  <r>
    <s v="INT-01804"/>
    <x v="174"/>
    <x v="0"/>
    <x v="10"/>
    <x v="0"/>
    <s v="Customer 419"/>
    <s v="WhatsApp API"/>
    <s v="Outbound"/>
    <x v="3"/>
    <n v="1"/>
    <n v="29000"/>
    <n v="0"/>
    <m/>
    <x v="83"/>
    <m/>
    <x v="0"/>
    <x v="4"/>
    <x v="11"/>
    <n v="2026"/>
  </r>
  <r>
    <s v="INT-01805"/>
    <x v="29"/>
    <x v="0"/>
    <x v="4"/>
    <x v="4"/>
    <s v="Customer 448"/>
    <s v="WhatsApp API"/>
    <s v="Inbound"/>
    <x v="0"/>
    <n v="1"/>
    <n v="6200"/>
    <n v="6200"/>
    <m/>
    <x v="105"/>
    <m/>
    <x v="0"/>
    <x v="0"/>
    <x v="11"/>
    <n v="2026"/>
  </r>
  <r>
    <s v="INT-01806"/>
    <x v="32"/>
    <x v="1"/>
    <x v="3"/>
    <x v="0"/>
    <s v="Customer 329"/>
    <s v="WhatsApp API"/>
    <m/>
    <x v="1"/>
    <n v="0"/>
    <n v="0"/>
    <n v="0"/>
    <n v="1"/>
    <x v="115"/>
    <n v="5.6"/>
    <x v="7"/>
    <x v="2"/>
    <x v="2"/>
    <n v="2025"/>
  </r>
  <r>
    <s v="INT-01807"/>
    <x v="327"/>
    <x v="1"/>
    <x v="8"/>
    <x v="0"/>
    <s v="Customer 240"/>
    <s v="CRM"/>
    <m/>
    <x v="1"/>
    <n v="0"/>
    <n v="0"/>
    <n v="0"/>
    <n v="1"/>
    <x v="79"/>
    <n v="1.7"/>
    <x v="7"/>
    <x v="5"/>
    <x v="6"/>
    <n v="2025"/>
  </r>
  <r>
    <s v="INT-01808"/>
    <x v="91"/>
    <x v="0"/>
    <x v="0"/>
    <x v="0"/>
    <s v="Customer 618"/>
    <s v="WhatsApp API"/>
    <s v="Inbound"/>
    <x v="6"/>
    <n v="1"/>
    <n v="20500"/>
    <n v="0"/>
    <m/>
    <x v="158"/>
    <m/>
    <x v="0"/>
    <x v="8"/>
    <x v="3"/>
    <n v="2026"/>
  </r>
  <r>
    <s v="INT-01809"/>
    <x v="194"/>
    <x v="0"/>
    <x v="10"/>
    <x v="0"/>
    <s v="Customer 129"/>
    <s v="WhatsApp API"/>
    <s v="Outbound"/>
    <x v="3"/>
    <n v="1"/>
    <n v="11400"/>
    <n v="0"/>
    <m/>
    <x v="90"/>
    <m/>
    <x v="0"/>
    <x v="4"/>
    <x v="8"/>
    <n v="2026"/>
  </r>
  <r>
    <s v="INT-01810"/>
    <x v="62"/>
    <x v="0"/>
    <x v="0"/>
    <x v="0"/>
    <s v="Customer 030"/>
    <s v="CRM"/>
    <s v="Outbound"/>
    <x v="5"/>
    <n v="1"/>
    <n v="6100"/>
    <n v="0"/>
    <m/>
    <x v="238"/>
    <m/>
    <x v="0"/>
    <x v="7"/>
    <x v="5"/>
    <n v="2026"/>
  </r>
  <r>
    <s v="INT-01811"/>
    <x v="20"/>
    <x v="1"/>
    <x v="3"/>
    <x v="2"/>
    <s v="Customer 021"/>
    <s v="Automation"/>
    <m/>
    <x v="1"/>
    <n v="0"/>
    <n v="0"/>
    <n v="0"/>
    <n v="1"/>
    <x v="36"/>
    <n v="3.9"/>
    <x v="13"/>
    <x v="1"/>
    <x v="3"/>
    <n v="2026"/>
  </r>
  <r>
    <s v="INT-01812"/>
    <x v="35"/>
    <x v="1"/>
    <x v="14"/>
    <x v="0"/>
    <s v="Customer 358"/>
    <s v="CRM"/>
    <m/>
    <x v="1"/>
    <n v="0"/>
    <n v="0"/>
    <n v="0"/>
    <n v="1"/>
    <x v="29"/>
    <n v="7.4"/>
    <x v="4"/>
    <x v="5"/>
    <x v="8"/>
    <n v="2026"/>
  </r>
  <r>
    <s v="INT-01813"/>
    <x v="96"/>
    <x v="0"/>
    <x v="0"/>
    <x v="0"/>
    <s v="Customer 365"/>
    <s v="Automation"/>
    <s v="Inbound"/>
    <x v="6"/>
    <n v="1"/>
    <n v="20100"/>
    <n v="0"/>
    <m/>
    <x v="7"/>
    <m/>
    <x v="0"/>
    <x v="8"/>
    <x v="7"/>
    <n v="2026"/>
  </r>
  <r>
    <s v="INT-01814"/>
    <x v="73"/>
    <x v="0"/>
    <x v="5"/>
    <x v="3"/>
    <s v="Customer 665"/>
    <s v="Automation"/>
    <s v="Partner"/>
    <x v="5"/>
    <n v="1"/>
    <n v="12800"/>
    <n v="0"/>
    <m/>
    <x v="213"/>
    <m/>
    <x v="0"/>
    <x v="7"/>
    <x v="5"/>
    <n v="2026"/>
  </r>
  <r>
    <s v="INT-01815"/>
    <x v="199"/>
    <x v="0"/>
    <x v="4"/>
    <x v="4"/>
    <s v="Customer 010"/>
    <s v="WhatsApp API"/>
    <s v="Partner"/>
    <x v="2"/>
    <n v="1"/>
    <n v="48400"/>
    <n v="0"/>
    <m/>
    <x v="159"/>
    <m/>
    <x v="0"/>
    <x v="3"/>
    <x v="11"/>
    <n v="2026"/>
  </r>
  <r>
    <s v="INT-01816"/>
    <x v="91"/>
    <x v="1"/>
    <x v="14"/>
    <x v="1"/>
    <s v="Customer 640"/>
    <s v="Analytics"/>
    <m/>
    <x v="1"/>
    <n v="0"/>
    <n v="0"/>
    <n v="0"/>
    <n v="1"/>
    <x v="123"/>
    <n v="2.2000000000000002"/>
    <x v="23"/>
    <x v="2"/>
    <x v="3"/>
    <n v="2026"/>
  </r>
  <r>
    <s v="INT-01817"/>
    <x v="19"/>
    <x v="0"/>
    <x v="0"/>
    <x v="0"/>
    <s v="Customer 569"/>
    <s v="CRM"/>
    <s v="Inbound"/>
    <x v="2"/>
    <n v="1"/>
    <n v="16700"/>
    <n v="0"/>
    <m/>
    <x v="25"/>
    <m/>
    <x v="0"/>
    <x v="3"/>
    <x v="7"/>
    <n v="2026"/>
  </r>
  <r>
    <s v="INT-01818"/>
    <x v="211"/>
    <x v="1"/>
    <x v="15"/>
    <x v="0"/>
    <s v="Customer 069"/>
    <s v="CRM"/>
    <m/>
    <x v="1"/>
    <n v="0"/>
    <n v="0"/>
    <n v="0"/>
    <n v="1"/>
    <x v="16"/>
    <n v="5.5"/>
    <x v="11"/>
    <x v="5"/>
    <x v="0"/>
    <n v="2026"/>
  </r>
  <r>
    <s v="INT-01819"/>
    <x v="5"/>
    <x v="1"/>
    <x v="3"/>
    <x v="4"/>
    <s v="Customer 510"/>
    <s v="WhatsApp API"/>
    <m/>
    <x v="1"/>
    <n v="0"/>
    <n v="0"/>
    <n v="0"/>
    <n v="1"/>
    <x v="167"/>
    <n v="11.5"/>
    <x v="23"/>
    <x v="2"/>
    <x v="2"/>
    <n v="2025"/>
  </r>
  <r>
    <s v="INT-01820"/>
    <x v="244"/>
    <x v="0"/>
    <x v="11"/>
    <x v="0"/>
    <s v="Customer 051"/>
    <s v="CRM"/>
    <s v="Outbound"/>
    <x v="5"/>
    <n v="1"/>
    <n v="6800"/>
    <n v="0"/>
    <m/>
    <x v="79"/>
    <m/>
    <x v="0"/>
    <x v="7"/>
    <x v="5"/>
    <n v="2026"/>
  </r>
  <r>
    <s v="INT-01821"/>
    <x v="132"/>
    <x v="0"/>
    <x v="6"/>
    <x v="0"/>
    <s v="Customer 542"/>
    <s v="WhatsApp API"/>
    <s v="Inbound"/>
    <x v="3"/>
    <n v="1"/>
    <n v="55500"/>
    <n v="0"/>
    <m/>
    <x v="73"/>
    <m/>
    <x v="0"/>
    <x v="4"/>
    <x v="2"/>
    <n v="2025"/>
  </r>
  <r>
    <s v="INT-01822"/>
    <x v="103"/>
    <x v="0"/>
    <x v="5"/>
    <x v="3"/>
    <s v="Customer 363"/>
    <s v="Analytics"/>
    <s v="Website"/>
    <x v="0"/>
    <n v="1"/>
    <n v="30400"/>
    <n v="30400"/>
    <m/>
    <x v="191"/>
    <m/>
    <x v="0"/>
    <x v="0"/>
    <x v="2"/>
    <n v="2025"/>
  </r>
  <r>
    <s v="INT-01823"/>
    <x v="311"/>
    <x v="1"/>
    <x v="14"/>
    <x v="4"/>
    <s v="Customer 441"/>
    <s v="CRM"/>
    <m/>
    <x v="1"/>
    <n v="0"/>
    <n v="0"/>
    <n v="0"/>
    <n v="1"/>
    <x v="29"/>
    <n v="11"/>
    <x v="5"/>
    <x v="1"/>
    <x v="4"/>
    <n v="2026"/>
  </r>
  <r>
    <s v="INT-01824"/>
    <x v="234"/>
    <x v="1"/>
    <x v="14"/>
    <x v="0"/>
    <s v="Customer 422"/>
    <s v="CRM"/>
    <m/>
    <x v="1"/>
    <n v="0"/>
    <n v="0"/>
    <n v="0"/>
    <n v="1"/>
    <x v="29"/>
    <n v="4.3"/>
    <x v="23"/>
    <x v="2"/>
    <x v="8"/>
    <n v="2026"/>
  </r>
  <r>
    <s v="INT-01825"/>
    <x v="154"/>
    <x v="1"/>
    <x v="12"/>
    <x v="0"/>
    <s v="Customer 447"/>
    <s v="Automation"/>
    <m/>
    <x v="1"/>
    <n v="0"/>
    <n v="0"/>
    <n v="0"/>
    <n v="1"/>
    <x v="61"/>
    <n v="17.2"/>
    <x v="9"/>
    <x v="1"/>
    <x v="10"/>
    <n v="2025"/>
  </r>
  <r>
    <s v="INT-01826"/>
    <x v="246"/>
    <x v="0"/>
    <x v="0"/>
    <x v="0"/>
    <s v="Customer 273"/>
    <s v="WhatsApp API"/>
    <s v="Outbound"/>
    <x v="4"/>
    <n v="1"/>
    <n v="57000"/>
    <n v="0"/>
    <m/>
    <x v="132"/>
    <m/>
    <x v="0"/>
    <x v="6"/>
    <x v="9"/>
    <n v="2025"/>
  </r>
  <r>
    <s v="INT-01827"/>
    <x v="290"/>
    <x v="0"/>
    <x v="5"/>
    <x v="0"/>
    <s v="Customer 302"/>
    <s v="Automation"/>
    <s v="Outbound"/>
    <x v="3"/>
    <n v="1"/>
    <n v="14500"/>
    <n v="0"/>
    <m/>
    <x v="65"/>
    <m/>
    <x v="0"/>
    <x v="4"/>
    <x v="1"/>
    <n v="2026"/>
  </r>
  <r>
    <s v="INT-01828"/>
    <x v="220"/>
    <x v="1"/>
    <x v="14"/>
    <x v="0"/>
    <s v="Customer 340"/>
    <s v="WhatsApp API"/>
    <m/>
    <x v="1"/>
    <n v="0"/>
    <n v="0"/>
    <n v="0"/>
    <n v="1"/>
    <x v="148"/>
    <n v="6.6"/>
    <x v="20"/>
    <x v="1"/>
    <x v="2"/>
    <n v="2025"/>
  </r>
  <r>
    <s v="INT-01829"/>
    <x v="58"/>
    <x v="1"/>
    <x v="15"/>
    <x v="0"/>
    <s v="Customer 394"/>
    <s v="CRM"/>
    <m/>
    <x v="1"/>
    <n v="0"/>
    <n v="0"/>
    <n v="0"/>
    <n v="1"/>
    <x v="164"/>
    <n v="28.1"/>
    <x v="30"/>
    <x v="1"/>
    <x v="11"/>
    <n v="2026"/>
  </r>
  <r>
    <s v="INT-01830"/>
    <x v="227"/>
    <x v="0"/>
    <x v="4"/>
    <x v="1"/>
    <s v="Customer 205"/>
    <s v="WhatsApp API"/>
    <s v="Outbound"/>
    <x v="3"/>
    <n v="1"/>
    <n v="52100"/>
    <n v="0"/>
    <m/>
    <x v="4"/>
    <m/>
    <x v="0"/>
    <x v="4"/>
    <x v="4"/>
    <n v="2026"/>
  </r>
  <r>
    <s v="INT-01831"/>
    <x v="290"/>
    <x v="1"/>
    <x v="8"/>
    <x v="0"/>
    <s v="Customer 107"/>
    <s v="Automation"/>
    <m/>
    <x v="1"/>
    <n v="0"/>
    <n v="0"/>
    <n v="0"/>
    <n v="1"/>
    <x v="127"/>
    <n v="13.2"/>
    <x v="1"/>
    <x v="9"/>
    <x v="1"/>
    <n v="2026"/>
  </r>
  <r>
    <s v="INT-01832"/>
    <x v="222"/>
    <x v="1"/>
    <x v="1"/>
    <x v="2"/>
    <s v="Customer 194"/>
    <s v="WhatsApp API"/>
    <m/>
    <x v="1"/>
    <n v="0"/>
    <n v="0"/>
    <n v="0"/>
    <n v="1"/>
    <x v="37"/>
    <n v="8.8000000000000007"/>
    <x v="2"/>
    <x v="9"/>
    <x v="6"/>
    <n v="2025"/>
  </r>
  <r>
    <s v="INT-01833"/>
    <x v="145"/>
    <x v="1"/>
    <x v="8"/>
    <x v="0"/>
    <s v="Customer 571"/>
    <s v="WhatsApp API"/>
    <m/>
    <x v="1"/>
    <n v="0"/>
    <n v="0"/>
    <n v="0"/>
    <n v="1"/>
    <x v="70"/>
    <n v="7.5"/>
    <x v="5"/>
    <x v="5"/>
    <x v="10"/>
    <n v="2025"/>
  </r>
  <r>
    <s v="INT-01834"/>
    <x v="45"/>
    <x v="1"/>
    <x v="2"/>
    <x v="4"/>
    <s v="Customer 114"/>
    <s v="Automation"/>
    <m/>
    <x v="1"/>
    <n v="0"/>
    <n v="0"/>
    <n v="0"/>
    <n v="1"/>
    <x v="57"/>
    <n v="15"/>
    <x v="3"/>
    <x v="1"/>
    <x v="6"/>
    <n v="2025"/>
  </r>
  <r>
    <s v="INT-01835"/>
    <x v="211"/>
    <x v="1"/>
    <x v="12"/>
    <x v="2"/>
    <s v="Customer 510"/>
    <s v="WhatsApp API"/>
    <m/>
    <x v="1"/>
    <n v="0"/>
    <n v="0"/>
    <n v="0"/>
    <n v="1"/>
    <x v="88"/>
    <n v="9"/>
    <x v="6"/>
    <x v="1"/>
    <x v="0"/>
    <n v="2026"/>
  </r>
  <r>
    <s v="INT-01836"/>
    <x v="285"/>
    <x v="1"/>
    <x v="2"/>
    <x v="4"/>
    <s v="Customer 052"/>
    <s v="WhatsApp API"/>
    <m/>
    <x v="1"/>
    <n v="0"/>
    <n v="0"/>
    <n v="0"/>
    <n v="1"/>
    <x v="158"/>
    <n v="8"/>
    <x v="4"/>
    <x v="5"/>
    <x v="0"/>
    <n v="2026"/>
  </r>
  <r>
    <s v="INT-01837"/>
    <x v="143"/>
    <x v="0"/>
    <x v="6"/>
    <x v="2"/>
    <s v="Customer 006"/>
    <s v="Analytics"/>
    <s v="Inbound"/>
    <x v="6"/>
    <n v="1"/>
    <n v="9100"/>
    <n v="0"/>
    <m/>
    <x v="197"/>
    <m/>
    <x v="0"/>
    <x v="8"/>
    <x v="9"/>
    <n v="2025"/>
  </r>
  <r>
    <s v="INT-01838"/>
    <x v="134"/>
    <x v="0"/>
    <x v="11"/>
    <x v="1"/>
    <s v="Customer 388"/>
    <s v="WhatsApp API"/>
    <s v="Website"/>
    <x v="2"/>
    <n v="1"/>
    <n v="35300"/>
    <n v="0"/>
    <m/>
    <x v="40"/>
    <m/>
    <x v="0"/>
    <x v="3"/>
    <x v="8"/>
    <n v="2026"/>
  </r>
  <r>
    <s v="INT-01839"/>
    <x v="221"/>
    <x v="1"/>
    <x v="1"/>
    <x v="3"/>
    <s v="Customer 528"/>
    <s v="Automation"/>
    <m/>
    <x v="1"/>
    <n v="0"/>
    <n v="0"/>
    <n v="0"/>
    <n v="1"/>
    <x v="179"/>
    <n v="2.7"/>
    <x v="14"/>
    <x v="2"/>
    <x v="5"/>
    <n v="2026"/>
  </r>
  <r>
    <s v="INT-01840"/>
    <x v="19"/>
    <x v="0"/>
    <x v="11"/>
    <x v="4"/>
    <s v="Customer 642"/>
    <s v="CRM"/>
    <s v="Website"/>
    <x v="0"/>
    <n v="1"/>
    <n v="15800"/>
    <n v="15800"/>
    <m/>
    <x v="170"/>
    <m/>
    <x v="0"/>
    <x v="0"/>
    <x v="7"/>
    <n v="2026"/>
  </r>
  <r>
    <s v="INT-01841"/>
    <x v="212"/>
    <x v="0"/>
    <x v="5"/>
    <x v="0"/>
    <s v="Customer 360"/>
    <s v="WhatsApp API"/>
    <s v="Inbound"/>
    <x v="5"/>
    <n v="1"/>
    <n v="61400"/>
    <n v="0"/>
    <m/>
    <x v="169"/>
    <m/>
    <x v="0"/>
    <x v="7"/>
    <x v="3"/>
    <n v="2026"/>
  </r>
  <r>
    <s v="INT-01842"/>
    <x v="122"/>
    <x v="0"/>
    <x v="6"/>
    <x v="1"/>
    <s v="Customer 600"/>
    <s v="CRM"/>
    <s v="Referral"/>
    <x v="2"/>
    <n v="1"/>
    <n v="20900"/>
    <n v="0"/>
    <m/>
    <x v="147"/>
    <m/>
    <x v="0"/>
    <x v="3"/>
    <x v="4"/>
    <n v="2026"/>
  </r>
  <r>
    <s v="INT-01843"/>
    <x v="51"/>
    <x v="0"/>
    <x v="4"/>
    <x v="0"/>
    <s v="Customer 119"/>
    <s v="WhatsApp API"/>
    <s v="Inbound"/>
    <x v="2"/>
    <n v="1"/>
    <n v="10500"/>
    <n v="0"/>
    <m/>
    <x v="14"/>
    <m/>
    <x v="0"/>
    <x v="3"/>
    <x v="6"/>
    <n v="2025"/>
  </r>
  <r>
    <s v="INT-01844"/>
    <x v="315"/>
    <x v="1"/>
    <x v="15"/>
    <x v="4"/>
    <s v="Customer 402"/>
    <s v="CRM"/>
    <m/>
    <x v="1"/>
    <n v="0"/>
    <n v="0"/>
    <n v="0"/>
    <n v="1"/>
    <x v="15"/>
    <n v="15.5"/>
    <x v="12"/>
    <x v="5"/>
    <x v="7"/>
    <n v="2026"/>
  </r>
  <r>
    <s v="INT-01845"/>
    <x v="233"/>
    <x v="1"/>
    <x v="8"/>
    <x v="2"/>
    <s v="Customer 098"/>
    <s v="Analytics"/>
    <m/>
    <x v="1"/>
    <n v="0"/>
    <n v="0"/>
    <n v="0"/>
    <n v="1"/>
    <x v="210"/>
    <n v="7.8"/>
    <x v="18"/>
    <x v="2"/>
    <x v="9"/>
    <n v="2025"/>
  </r>
  <r>
    <s v="INT-01846"/>
    <x v="154"/>
    <x v="0"/>
    <x v="7"/>
    <x v="4"/>
    <s v="Customer 126"/>
    <s v="WhatsApp API"/>
    <s v="Partner"/>
    <x v="0"/>
    <n v="1"/>
    <n v="16800"/>
    <n v="16800"/>
    <m/>
    <x v="139"/>
    <m/>
    <x v="0"/>
    <x v="0"/>
    <x v="10"/>
    <n v="2025"/>
  </r>
  <r>
    <s v="INT-01847"/>
    <x v="358"/>
    <x v="0"/>
    <x v="4"/>
    <x v="0"/>
    <s v="Customer 084"/>
    <s v="Automation"/>
    <s v="Outbound"/>
    <x v="4"/>
    <n v="1"/>
    <n v="18300"/>
    <n v="0"/>
    <m/>
    <x v="126"/>
    <m/>
    <x v="0"/>
    <x v="6"/>
    <x v="6"/>
    <n v="2025"/>
  </r>
  <r>
    <s v="INT-01848"/>
    <x v="288"/>
    <x v="0"/>
    <x v="0"/>
    <x v="0"/>
    <s v="Customer 445"/>
    <s v="CRM"/>
    <s v="Outbound"/>
    <x v="6"/>
    <n v="1"/>
    <n v="13700"/>
    <n v="0"/>
    <m/>
    <x v="9"/>
    <m/>
    <x v="0"/>
    <x v="8"/>
    <x v="3"/>
    <n v="2026"/>
  </r>
  <r>
    <s v="INT-01849"/>
    <x v="206"/>
    <x v="1"/>
    <x v="9"/>
    <x v="0"/>
    <s v="Customer 494"/>
    <s v="CRM"/>
    <m/>
    <x v="1"/>
    <n v="0"/>
    <n v="0"/>
    <n v="0"/>
    <n v="1"/>
    <x v="173"/>
    <n v="11.7"/>
    <x v="4"/>
    <x v="5"/>
    <x v="7"/>
    <n v="2026"/>
  </r>
  <r>
    <s v="INT-01850"/>
    <x v="137"/>
    <x v="1"/>
    <x v="15"/>
    <x v="0"/>
    <s v="Customer 259"/>
    <s v="Analytics"/>
    <m/>
    <x v="1"/>
    <n v="0"/>
    <n v="0"/>
    <n v="0"/>
    <n v="1"/>
    <x v="111"/>
    <n v="8.9"/>
    <x v="18"/>
    <x v="1"/>
    <x v="1"/>
    <n v="2026"/>
  </r>
  <r>
    <s v="INT-01851"/>
    <x v="85"/>
    <x v="0"/>
    <x v="4"/>
    <x v="4"/>
    <s v="Customer 562"/>
    <s v="WhatsApp API"/>
    <s v="Partner"/>
    <x v="2"/>
    <n v="1"/>
    <n v="9800"/>
    <n v="0"/>
    <m/>
    <x v="90"/>
    <m/>
    <x v="0"/>
    <x v="3"/>
    <x v="2"/>
    <n v="2025"/>
  </r>
  <r>
    <s v="INT-01852"/>
    <x v="44"/>
    <x v="1"/>
    <x v="2"/>
    <x v="3"/>
    <s v="Customer 210"/>
    <s v="CRM"/>
    <m/>
    <x v="1"/>
    <n v="0"/>
    <n v="0"/>
    <n v="0"/>
    <n v="1"/>
    <x v="178"/>
    <n v="17"/>
    <x v="19"/>
    <x v="5"/>
    <x v="11"/>
    <n v="2026"/>
  </r>
  <r>
    <s v="INT-01853"/>
    <x v="319"/>
    <x v="1"/>
    <x v="15"/>
    <x v="3"/>
    <s v="Customer 017"/>
    <s v="Automation"/>
    <m/>
    <x v="1"/>
    <n v="0"/>
    <n v="0"/>
    <n v="0"/>
    <n v="1"/>
    <x v="102"/>
    <n v="3.3"/>
    <x v="19"/>
    <x v="5"/>
    <x v="3"/>
    <n v="2026"/>
  </r>
  <r>
    <s v="INT-01854"/>
    <x v="225"/>
    <x v="1"/>
    <x v="2"/>
    <x v="2"/>
    <s v="Customer 520"/>
    <s v="Analytics"/>
    <m/>
    <x v="1"/>
    <n v="0"/>
    <n v="0"/>
    <n v="0"/>
    <n v="1"/>
    <x v="223"/>
    <n v="6.6"/>
    <x v="7"/>
    <x v="5"/>
    <x v="3"/>
    <n v="2026"/>
  </r>
  <r>
    <s v="INT-01855"/>
    <x v="125"/>
    <x v="1"/>
    <x v="8"/>
    <x v="4"/>
    <s v="Customer 141"/>
    <s v="Analytics"/>
    <m/>
    <x v="1"/>
    <n v="0"/>
    <n v="0"/>
    <n v="0"/>
    <n v="1"/>
    <x v="26"/>
    <n v="17.3"/>
    <x v="5"/>
    <x v="2"/>
    <x v="9"/>
    <n v="2025"/>
  </r>
  <r>
    <s v="INT-01856"/>
    <x v="278"/>
    <x v="0"/>
    <x v="4"/>
    <x v="2"/>
    <s v="Customer 463"/>
    <s v="Analytics"/>
    <s v="Website"/>
    <x v="5"/>
    <n v="1"/>
    <n v="36700"/>
    <n v="0"/>
    <m/>
    <x v="61"/>
    <m/>
    <x v="0"/>
    <x v="7"/>
    <x v="1"/>
    <n v="2026"/>
  </r>
  <r>
    <s v="INT-01857"/>
    <x v="185"/>
    <x v="1"/>
    <x v="1"/>
    <x v="3"/>
    <s v="Customer 496"/>
    <s v="Analytics"/>
    <m/>
    <x v="1"/>
    <n v="0"/>
    <n v="0"/>
    <n v="0"/>
    <n v="1"/>
    <x v="47"/>
    <n v="9"/>
    <x v="3"/>
    <x v="1"/>
    <x v="4"/>
    <n v="2026"/>
  </r>
  <r>
    <s v="INT-01858"/>
    <x v="154"/>
    <x v="0"/>
    <x v="13"/>
    <x v="4"/>
    <s v="Customer 160"/>
    <s v="WhatsApp API"/>
    <s v="Outbound"/>
    <x v="3"/>
    <n v="1"/>
    <n v="5000"/>
    <n v="0"/>
    <m/>
    <x v="50"/>
    <m/>
    <x v="0"/>
    <x v="4"/>
    <x v="10"/>
    <n v="2025"/>
  </r>
  <r>
    <s v="INT-01859"/>
    <x v="359"/>
    <x v="1"/>
    <x v="2"/>
    <x v="4"/>
    <s v="Customer 583"/>
    <s v="CRM"/>
    <m/>
    <x v="1"/>
    <n v="0"/>
    <n v="0"/>
    <n v="0"/>
    <n v="1"/>
    <x v="160"/>
    <n v="8.3000000000000007"/>
    <x v="19"/>
    <x v="2"/>
    <x v="0"/>
    <n v="2026"/>
  </r>
  <r>
    <s v="INT-01860"/>
    <x v="326"/>
    <x v="1"/>
    <x v="2"/>
    <x v="0"/>
    <s v="Customer 680"/>
    <s v="WhatsApp API"/>
    <m/>
    <x v="1"/>
    <n v="0"/>
    <n v="0"/>
    <n v="0"/>
    <n v="1"/>
    <x v="12"/>
    <n v="9.8000000000000007"/>
    <x v="8"/>
    <x v="1"/>
    <x v="1"/>
    <n v="2026"/>
  </r>
  <r>
    <s v="INT-01861"/>
    <x v="52"/>
    <x v="1"/>
    <x v="9"/>
    <x v="0"/>
    <s v="Customer 216"/>
    <s v="CRM"/>
    <m/>
    <x v="1"/>
    <n v="0"/>
    <n v="0"/>
    <n v="0"/>
    <n v="1"/>
    <x v="80"/>
    <n v="8.9"/>
    <x v="9"/>
    <x v="1"/>
    <x v="11"/>
    <n v="2026"/>
  </r>
  <r>
    <s v="INT-01862"/>
    <x v="156"/>
    <x v="1"/>
    <x v="15"/>
    <x v="0"/>
    <s v="Customer 419"/>
    <s v="Automation"/>
    <m/>
    <x v="1"/>
    <n v="0"/>
    <n v="0"/>
    <n v="0"/>
    <n v="1"/>
    <x v="71"/>
    <n v="23.2"/>
    <x v="14"/>
    <x v="2"/>
    <x v="9"/>
    <n v="2025"/>
  </r>
  <r>
    <s v="INT-01863"/>
    <x v="9"/>
    <x v="0"/>
    <x v="13"/>
    <x v="2"/>
    <s v="Customer 389"/>
    <s v="CRM"/>
    <s v="Website"/>
    <x v="5"/>
    <n v="1"/>
    <n v="34700"/>
    <n v="0"/>
    <m/>
    <x v="205"/>
    <m/>
    <x v="0"/>
    <x v="7"/>
    <x v="0"/>
    <n v="2026"/>
  </r>
  <r>
    <s v="INT-01864"/>
    <x v="333"/>
    <x v="0"/>
    <x v="10"/>
    <x v="1"/>
    <s v="Customer 388"/>
    <s v="CRM"/>
    <s v="Inbound"/>
    <x v="0"/>
    <n v="1"/>
    <n v="16100"/>
    <n v="16100"/>
    <m/>
    <x v="228"/>
    <m/>
    <x v="0"/>
    <x v="0"/>
    <x v="8"/>
    <n v="2026"/>
  </r>
  <r>
    <s v="INT-01865"/>
    <x v="108"/>
    <x v="1"/>
    <x v="15"/>
    <x v="2"/>
    <s v="Customer 573"/>
    <s v="Automation"/>
    <m/>
    <x v="1"/>
    <n v="0"/>
    <n v="0"/>
    <n v="0"/>
    <n v="1"/>
    <x v="75"/>
    <n v="21.9"/>
    <x v="1"/>
    <x v="1"/>
    <x v="9"/>
    <n v="2025"/>
  </r>
  <r>
    <s v="INT-01866"/>
    <x v="143"/>
    <x v="1"/>
    <x v="12"/>
    <x v="0"/>
    <s v="Customer 283"/>
    <s v="WhatsApp API"/>
    <m/>
    <x v="1"/>
    <n v="0"/>
    <n v="0"/>
    <n v="0"/>
    <n v="1"/>
    <x v="179"/>
    <n v="4.2"/>
    <x v="5"/>
    <x v="2"/>
    <x v="9"/>
    <n v="2025"/>
  </r>
  <r>
    <s v="INT-01867"/>
    <x v="81"/>
    <x v="0"/>
    <x v="10"/>
    <x v="4"/>
    <s v="Customer 042"/>
    <s v="CRM"/>
    <s v="Inbound"/>
    <x v="4"/>
    <n v="1"/>
    <n v="5000"/>
    <n v="0"/>
    <m/>
    <x v="45"/>
    <m/>
    <x v="0"/>
    <x v="6"/>
    <x v="10"/>
    <n v="2025"/>
  </r>
  <r>
    <s v="INT-01868"/>
    <x v="219"/>
    <x v="0"/>
    <x v="13"/>
    <x v="2"/>
    <s v="Customer 058"/>
    <s v="WhatsApp API"/>
    <s v="Inbound"/>
    <x v="4"/>
    <n v="1"/>
    <n v="7500"/>
    <n v="0"/>
    <m/>
    <x v="111"/>
    <m/>
    <x v="0"/>
    <x v="6"/>
    <x v="10"/>
    <n v="2025"/>
  </r>
  <r>
    <s v="INT-01869"/>
    <x v="38"/>
    <x v="0"/>
    <x v="10"/>
    <x v="0"/>
    <s v="Customer 403"/>
    <s v="CRM"/>
    <s v="Inbound"/>
    <x v="0"/>
    <n v="1"/>
    <n v="28600"/>
    <n v="28600"/>
    <m/>
    <x v="8"/>
    <m/>
    <x v="0"/>
    <x v="0"/>
    <x v="0"/>
    <n v="2026"/>
  </r>
  <r>
    <s v="INT-01870"/>
    <x v="1"/>
    <x v="1"/>
    <x v="1"/>
    <x v="0"/>
    <s v="Customer 642"/>
    <s v="CRM"/>
    <m/>
    <x v="1"/>
    <n v="0"/>
    <n v="0"/>
    <n v="0"/>
    <n v="1"/>
    <x v="15"/>
    <n v="4.9000000000000004"/>
    <x v="20"/>
    <x v="9"/>
    <x v="1"/>
    <n v="2026"/>
  </r>
  <r>
    <s v="INT-01871"/>
    <x v="136"/>
    <x v="1"/>
    <x v="2"/>
    <x v="1"/>
    <s v="Customer 673"/>
    <s v="Automation"/>
    <m/>
    <x v="1"/>
    <n v="0"/>
    <n v="0"/>
    <n v="0"/>
    <n v="1"/>
    <x v="112"/>
    <n v="7.3"/>
    <x v="3"/>
    <x v="2"/>
    <x v="0"/>
    <n v="2026"/>
  </r>
  <r>
    <s v="INT-01872"/>
    <x v="329"/>
    <x v="0"/>
    <x v="5"/>
    <x v="1"/>
    <s v="Customer 665"/>
    <s v="Analytics"/>
    <s v="Outbound"/>
    <x v="6"/>
    <n v="1"/>
    <n v="42200"/>
    <n v="0"/>
    <m/>
    <x v="194"/>
    <m/>
    <x v="0"/>
    <x v="8"/>
    <x v="1"/>
    <n v="2026"/>
  </r>
  <r>
    <s v="INT-01873"/>
    <x v="288"/>
    <x v="0"/>
    <x v="13"/>
    <x v="4"/>
    <s v="Customer 287"/>
    <s v="WhatsApp API"/>
    <s v="Inbound"/>
    <x v="4"/>
    <n v="1"/>
    <n v="14300"/>
    <n v="0"/>
    <m/>
    <x v="159"/>
    <m/>
    <x v="0"/>
    <x v="6"/>
    <x v="3"/>
    <n v="2026"/>
  </r>
  <r>
    <s v="INT-01874"/>
    <x v="292"/>
    <x v="1"/>
    <x v="3"/>
    <x v="3"/>
    <s v="Customer 075"/>
    <s v="Automation"/>
    <m/>
    <x v="1"/>
    <n v="0"/>
    <n v="0"/>
    <n v="0"/>
    <n v="1"/>
    <x v="23"/>
    <n v="9.6999999999999993"/>
    <x v="10"/>
    <x v="2"/>
    <x v="9"/>
    <n v="2025"/>
  </r>
  <r>
    <s v="INT-01875"/>
    <x v="283"/>
    <x v="1"/>
    <x v="3"/>
    <x v="4"/>
    <s v="Customer 220"/>
    <s v="CRM"/>
    <m/>
    <x v="1"/>
    <n v="0"/>
    <n v="0"/>
    <n v="0"/>
    <n v="1"/>
    <x v="68"/>
    <n v="6.3"/>
    <x v="4"/>
    <x v="2"/>
    <x v="10"/>
    <n v="2025"/>
  </r>
  <r>
    <s v="INT-01876"/>
    <x v="305"/>
    <x v="0"/>
    <x v="7"/>
    <x v="3"/>
    <s v="Customer 102"/>
    <s v="WhatsApp API"/>
    <s v="Referral"/>
    <x v="6"/>
    <n v="1"/>
    <n v="38300"/>
    <n v="0"/>
    <m/>
    <x v="171"/>
    <m/>
    <x v="0"/>
    <x v="8"/>
    <x v="7"/>
    <n v="2026"/>
  </r>
  <r>
    <s v="INT-01877"/>
    <x v="354"/>
    <x v="1"/>
    <x v="8"/>
    <x v="0"/>
    <s v="Customer 031"/>
    <s v="Analytics"/>
    <m/>
    <x v="1"/>
    <n v="0"/>
    <n v="0"/>
    <n v="0"/>
    <n v="1"/>
    <x v="167"/>
    <n v="9.6"/>
    <x v="9"/>
    <x v="5"/>
    <x v="8"/>
    <n v="2026"/>
  </r>
  <r>
    <s v="INT-01878"/>
    <x v="337"/>
    <x v="0"/>
    <x v="13"/>
    <x v="0"/>
    <s v="Customer 067"/>
    <s v="CRM"/>
    <s v="Outbound"/>
    <x v="4"/>
    <n v="1"/>
    <n v="17600"/>
    <n v="0"/>
    <m/>
    <x v="16"/>
    <m/>
    <x v="0"/>
    <x v="6"/>
    <x v="10"/>
    <n v="2025"/>
  </r>
  <r>
    <s v="INT-01879"/>
    <x v="96"/>
    <x v="0"/>
    <x v="11"/>
    <x v="0"/>
    <s v="Customer 189"/>
    <s v="Analytics"/>
    <s v="Outbound"/>
    <x v="0"/>
    <n v="1"/>
    <n v="35000"/>
    <n v="35000"/>
    <m/>
    <x v="64"/>
    <m/>
    <x v="0"/>
    <x v="0"/>
    <x v="7"/>
    <n v="2026"/>
  </r>
  <r>
    <s v="INT-01880"/>
    <x v="67"/>
    <x v="1"/>
    <x v="15"/>
    <x v="4"/>
    <s v="Customer 579"/>
    <s v="WhatsApp API"/>
    <m/>
    <x v="1"/>
    <n v="0"/>
    <n v="0"/>
    <n v="0"/>
    <n v="1"/>
    <x v="3"/>
    <n v="4.7"/>
    <x v="5"/>
    <x v="2"/>
    <x v="6"/>
    <n v="2025"/>
  </r>
  <r>
    <s v="INT-01881"/>
    <x v="289"/>
    <x v="1"/>
    <x v="12"/>
    <x v="1"/>
    <s v="Customer 134"/>
    <s v="CRM"/>
    <m/>
    <x v="1"/>
    <n v="0"/>
    <n v="0"/>
    <n v="0"/>
    <n v="1"/>
    <x v="43"/>
    <n v="14.1"/>
    <x v="18"/>
    <x v="2"/>
    <x v="6"/>
    <n v="2025"/>
  </r>
  <r>
    <s v="INT-01882"/>
    <x v="199"/>
    <x v="1"/>
    <x v="2"/>
    <x v="2"/>
    <s v="Customer 401"/>
    <s v="CRM"/>
    <m/>
    <x v="1"/>
    <n v="0"/>
    <n v="0"/>
    <n v="0"/>
    <n v="1"/>
    <x v="37"/>
    <n v="3.7"/>
    <x v="2"/>
    <x v="2"/>
    <x v="11"/>
    <n v="2026"/>
  </r>
  <r>
    <s v="INT-01883"/>
    <x v="175"/>
    <x v="1"/>
    <x v="3"/>
    <x v="2"/>
    <s v="Customer 406"/>
    <s v="CRM"/>
    <m/>
    <x v="1"/>
    <n v="0"/>
    <n v="0"/>
    <n v="0"/>
    <n v="1"/>
    <x v="0"/>
    <n v="10.199999999999999"/>
    <x v="26"/>
    <x v="2"/>
    <x v="11"/>
    <n v="2026"/>
  </r>
  <r>
    <s v="INT-01884"/>
    <x v="354"/>
    <x v="1"/>
    <x v="8"/>
    <x v="4"/>
    <s v="Customer 248"/>
    <s v="WhatsApp API"/>
    <m/>
    <x v="1"/>
    <n v="0"/>
    <n v="0"/>
    <n v="0"/>
    <n v="1"/>
    <x v="9"/>
    <n v="6.2"/>
    <x v="18"/>
    <x v="2"/>
    <x v="8"/>
    <n v="2026"/>
  </r>
  <r>
    <s v="INT-01885"/>
    <x v="33"/>
    <x v="0"/>
    <x v="11"/>
    <x v="0"/>
    <s v="Customer 401"/>
    <s v="CRM"/>
    <s v="Website"/>
    <x v="4"/>
    <n v="1"/>
    <n v="29400"/>
    <n v="0"/>
    <m/>
    <x v="156"/>
    <m/>
    <x v="0"/>
    <x v="6"/>
    <x v="4"/>
    <n v="2026"/>
  </r>
  <r>
    <s v="INT-01886"/>
    <x v="181"/>
    <x v="0"/>
    <x v="13"/>
    <x v="0"/>
    <s v="Customer 595"/>
    <s v="Automation"/>
    <s v="Website"/>
    <x v="0"/>
    <n v="1"/>
    <n v="5000"/>
    <n v="5000"/>
    <m/>
    <x v="64"/>
    <m/>
    <x v="0"/>
    <x v="0"/>
    <x v="11"/>
    <n v="2026"/>
  </r>
  <r>
    <s v="INT-01887"/>
    <x v="145"/>
    <x v="0"/>
    <x v="11"/>
    <x v="4"/>
    <s v="Customer 590"/>
    <s v="Analytics"/>
    <s v="Inbound"/>
    <x v="3"/>
    <n v="1"/>
    <n v="16500"/>
    <n v="0"/>
    <m/>
    <x v="222"/>
    <m/>
    <x v="0"/>
    <x v="4"/>
    <x v="10"/>
    <n v="2025"/>
  </r>
  <r>
    <s v="INT-01888"/>
    <x v="173"/>
    <x v="0"/>
    <x v="11"/>
    <x v="0"/>
    <s v="Customer 682"/>
    <s v="WhatsApp API"/>
    <s v="Inbound"/>
    <x v="3"/>
    <n v="1"/>
    <n v="16600"/>
    <n v="0"/>
    <m/>
    <x v="210"/>
    <m/>
    <x v="0"/>
    <x v="4"/>
    <x v="8"/>
    <n v="2026"/>
  </r>
  <r>
    <s v="INT-01889"/>
    <x v="69"/>
    <x v="1"/>
    <x v="15"/>
    <x v="0"/>
    <s v="Customer 590"/>
    <s v="CRM"/>
    <m/>
    <x v="1"/>
    <n v="0"/>
    <n v="0"/>
    <n v="0"/>
    <n v="1"/>
    <x v="43"/>
    <n v="4"/>
    <x v="15"/>
    <x v="2"/>
    <x v="5"/>
    <n v="2026"/>
  </r>
  <r>
    <s v="INT-01890"/>
    <x v="327"/>
    <x v="1"/>
    <x v="12"/>
    <x v="2"/>
    <s v="Customer 169"/>
    <s v="WhatsApp API"/>
    <m/>
    <x v="1"/>
    <n v="0"/>
    <n v="0"/>
    <n v="0"/>
    <n v="1"/>
    <x v="27"/>
    <n v="9.5"/>
    <x v="15"/>
    <x v="1"/>
    <x v="6"/>
    <n v="2025"/>
  </r>
  <r>
    <s v="INT-01891"/>
    <x v="40"/>
    <x v="0"/>
    <x v="11"/>
    <x v="0"/>
    <s v="Customer 337"/>
    <s v="Automation"/>
    <s v="Outbound"/>
    <x v="6"/>
    <n v="1"/>
    <n v="5000"/>
    <n v="0"/>
    <m/>
    <x v="61"/>
    <m/>
    <x v="0"/>
    <x v="8"/>
    <x v="11"/>
    <n v="2026"/>
  </r>
  <r>
    <s v="INT-01892"/>
    <x v="182"/>
    <x v="0"/>
    <x v="6"/>
    <x v="0"/>
    <s v="Customer 076"/>
    <s v="WhatsApp API"/>
    <s v="Outbound"/>
    <x v="5"/>
    <n v="1"/>
    <n v="10300"/>
    <n v="0"/>
    <m/>
    <x v="99"/>
    <m/>
    <x v="0"/>
    <x v="7"/>
    <x v="6"/>
    <n v="2025"/>
  </r>
  <r>
    <s v="INT-01893"/>
    <x v="60"/>
    <x v="1"/>
    <x v="1"/>
    <x v="0"/>
    <s v="Customer 672"/>
    <s v="WhatsApp API"/>
    <m/>
    <x v="1"/>
    <n v="0"/>
    <n v="0"/>
    <n v="0"/>
    <n v="1"/>
    <x v="164"/>
    <n v="11"/>
    <x v="20"/>
    <x v="2"/>
    <x v="5"/>
    <n v="2026"/>
  </r>
  <r>
    <s v="INT-01894"/>
    <x v="218"/>
    <x v="0"/>
    <x v="5"/>
    <x v="0"/>
    <s v="Customer 164"/>
    <s v="WhatsApp API"/>
    <s v="Partner"/>
    <x v="0"/>
    <n v="1"/>
    <n v="51800"/>
    <n v="51800"/>
    <m/>
    <x v="83"/>
    <m/>
    <x v="0"/>
    <x v="0"/>
    <x v="5"/>
    <n v="2026"/>
  </r>
  <r>
    <s v="INT-01895"/>
    <x v="77"/>
    <x v="1"/>
    <x v="3"/>
    <x v="1"/>
    <s v="Customer 475"/>
    <s v="CRM"/>
    <m/>
    <x v="1"/>
    <n v="0"/>
    <n v="0"/>
    <n v="0"/>
    <n v="1"/>
    <x v="88"/>
    <n v="8.3000000000000007"/>
    <x v="32"/>
    <x v="5"/>
    <x v="0"/>
    <n v="2026"/>
  </r>
  <r>
    <s v="INT-01896"/>
    <x v="163"/>
    <x v="1"/>
    <x v="12"/>
    <x v="2"/>
    <s v="Customer 007"/>
    <s v="WhatsApp API"/>
    <m/>
    <x v="1"/>
    <n v="0"/>
    <n v="0"/>
    <n v="0"/>
    <n v="1"/>
    <x v="173"/>
    <n v="6.5"/>
    <x v="3"/>
    <x v="2"/>
    <x v="9"/>
    <n v="2025"/>
  </r>
  <r>
    <s v="INT-01897"/>
    <x v="19"/>
    <x v="1"/>
    <x v="14"/>
    <x v="0"/>
    <s v="Customer 328"/>
    <s v="Automation"/>
    <m/>
    <x v="1"/>
    <n v="0"/>
    <n v="0"/>
    <n v="0"/>
    <n v="1"/>
    <x v="26"/>
    <n v="3.7"/>
    <x v="20"/>
    <x v="5"/>
    <x v="7"/>
    <n v="2026"/>
  </r>
  <r>
    <s v="INT-01898"/>
    <x v="6"/>
    <x v="0"/>
    <x v="6"/>
    <x v="3"/>
    <s v="Customer 395"/>
    <s v="CRM"/>
    <s v="Outbound"/>
    <x v="0"/>
    <n v="1"/>
    <n v="33000"/>
    <n v="33000"/>
    <m/>
    <x v="49"/>
    <m/>
    <x v="0"/>
    <x v="0"/>
    <x v="5"/>
    <n v="2026"/>
  </r>
  <r>
    <s v="INT-01899"/>
    <x v="355"/>
    <x v="0"/>
    <x v="11"/>
    <x v="4"/>
    <s v="Customer 161"/>
    <s v="CRM"/>
    <s v="Referral"/>
    <x v="5"/>
    <n v="1"/>
    <n v="5000"/>
    <n v="0"/>
    <m/>
    <x v="223"/>
    <m/>
    <x v="0"/>
    <x v="7"/>
    <x v="4"/>
    <n v="2026"/>
  </r>
  <r>
    <s v="INT-01900"/>
    <x v="242"/>
    <x v="1"/>
    <x v="8"/>
    <x v="2"/>
    <s v="Customer 120"/>
    <s v="CRM"/>
    <m/>
    <x v="1"/>
    <n v="0"/>
    <n v="0"/>
    <n v="0"/>
    <n v="1"/>
    <x v="85"/>
    <n v="12.4"/>
    <x v="19"/>
    <x v="1"/>
    <x v="8"/>
    <n v="2026"/>
  </r>
  <r>
    <s v="INT-01901"/>
    <x v="134"/>
    <x v="1"/>
    <x v="9"/>
    <x v="0"/>
    <s v="Customer 598"/>
    <s v="CRM"/>
    <m/>
    <x v="1"/>
    <n v="0"/>
    <n v="0"/>
    <n v="0"/>
    <n v="1"/>
    <x v="75"/>
    <n v="4.8"/>
    <x v="13"/>
    <x v="5"/>
    <x v="8"/>
    <n v="2026"/>
  </r>
  <r>
    <s v="INT-01902"/>
    <x v="154"/>
    <x v="0"/>
    <x v="11"/>
    <x v="1"/>
    <s v="Customer 056"/>
    <s v="WhatsApp API"/>
    <s v="Partner"/>
    <x v="0"/>
    <n v="1"/>
    <n v="82100"/>
    <n v="82100"/>
    <m/>
    <x v="179"/>
    <m/>
    <x v="0"/>
    <x v="0"/>
    <x v="10"/>
    <n v="2025"/>
  </r>
  <r>
    <s v="INT-01903"/>
    <x v="150"/>
    <x v="1"/>
    <x v="9"/>
    <x v="0"/>
    <s v="Customer 050"/>
    <s v="CRM"/>
    <m/>
    <x v="1"/>
    <n v="0"/>
    <n v="0"/>
    <n v="0"/>
    <n v="1"/>
    <x v="48"/>
    <n v="6.3"/>
    <x v="10"/>
    <x v="2"/>
    <x v="1"/>
    <n v="2026"/>
  </r>
  <r>
    <s v="INT-01904"/>
    <x v="120"/>
    <x v="0"/>
    <x v="4"/>
    <x v="0"/>
    <s v="Customer 243"/>
    <s v="Automation"/>
    <s v="Referral"/>
    <x v="0"/>
    <n v="1"/>
    <n v="15300"/>
    <n v="15300"/>
    <m/>
    <x v="120"/>
    <m/>
    <x v="0"/>
    <x v="0"/>
    <x v="7"/>
    <n v="2026"/>
  </r>
  <r>
    <s v="INT-01905"/>
    <x v="171"/>
    <x v="1"/>
    <x v="1"/>
    <x v="4"/>
    <s v="Customer 166"/>
    <s v="WhatsApp API"/>
    <m/>
    <x v="1"/>
    <n v="0"/>
    <n v="0"/>
    <n v="0"/>
    <n v="1"/>
    <x v="204"/>
    <n v="19.5"/>
    <x v="10"/>
    <x v="2"/>
    <x v="10"/>
    <n v="2025"/>
  </r>
  <r>
    <s v="INT-01906"/>
    <x v="41"/>
    <x v="0"/>
    <x v="4"/>
    <x v="3"/>
    <s v="Customer 365"/>
    <s v="Automation"/>
    <s v="Website"/>
    <x v="4"/>
    <n v="1"/>
    <n v="5400"/>
    <n v="0"/>
    <m/>
    <x v="58"/>
    <m/>
    <x v="0"/>
    <x v="6"/>
    <x v="9"/>
    <n v="2025"/>
  </r>
  <r>
    <s v="INT-01907"/>
    <x v="9"/>
    <x v="1"/>
    <x v="3"/>
    <x v="0"/>
    <s v="Customer 380"/>
    <s v="CRM"/>
    <m/>
    <x v="1"/>
    <n v="0"/>
    <n v="0"/>
    <n v="0"/>
    <n v="1"/>
    <x v="174"/>
    <n v="4.0999999999999996"/>
    <x v="25"/>
    <x v="5"/>
    <x v="0"/>
    <n v="2026"/>
  </r>
  <r>
    <s v="INT-01908"/>
    <x v="189"/>
    <x v="0"/>
    <x v="10"/>
    <x v="0"/>
    <s v="Customer 602"/>
    <s v="CRM"/>
    <s v="Outbound"/>
    <x v="3"/>
    <n v="1"/>
    <n v="14400"/>
    <n v="0"/>
    <m/>
    <x v="67"/>
    <m/>
    <x v="0"/>
    <x v="4"/>
    <x v="10"/>
    <n v="2025"/>
  </r>
  <r>
    <s v="INT-01909"/>
    <x v="304"/>
    <x v="0"/>
    <x v="4"/>
    <x v="0"/>
    <s v="Customer 240"/>
    <s v="WhatsApp API"/>
    <s v="Inbound"/>
    <x v="0"/>
    <n v="1"/>
    <n v="25300"/>
    <n v="25300"/>
    <m/>
    <x v="9"/>
    <m/>
    <x v="0"/>
    <x v="0"/>
    <x v="2"/>
    <n v="2025"/>
  </r>
  <r>
    <s v="INT-01910"/>
    <x v="247"/>
    <x v="0"/>
    <x v="10"/>
    <x v="2"/>
    <s v="Customer 537"/>
    <s v="WhatsApp API"/>
    <s v="Website"/>
    <x v="2"/>
    <n v="1"/>
    <n v="31100"/>
    <n v="0"/>
    <m/>
    <x v="173"/>
    <m/>
    <x v="0"/>
    <x v="3"/>
    <x v="3"/>
    <n v="2026"/>
  </r>
  <r>
    <s v="INT-01911"/>
    <x v="166"/>
    <x v="0"/>
    <x v="7"/>
    <x v="4"/>
    <s v="Customer 523"/>
    <s v="Automation"/>
    <s v="Outbound"/>
    <x v="0"/>
    <n v="1"/>
    <n v="39300"/>
    <n v="39300"/>
    <m/>
    <x v="194"/>
    <m/>
    <x v="0"/>
    <x v="0"/>
    <x v="10"/>
    <n v="2025"/>
  </r>
  <r>
    <s v="INT-01912"/>
    <x v="208"/>
    <x v="1"/>
    <x v="15"/>
    <x v="0"/>
    <s v="Customer 352"/>
    <s v="WhatsApp API"/>
    <m/>
    <x v="1"/>
    <n v="0"/>
    <n v="0"/>
    <n v="0"/>
    <n v="1"/>
    <x v="147"/>
    <n v="6.9"/>
    <x v="14"/>
    <x v="1"/>
    <x v="0"/>
    <n v="2026"/>
  </r>
  <r>
    <s v="INT-01913"/>
    <x v="358"/>
    <x v="1"/>
    <x v="3"/>
    <x v="0"/>
    <s v="Customer 077"/>
    <s v="Analytics"/>
    <m/>
    <x v="1"/>
    <n v="0"/>
    <n v="0"/>
    <n v="0"/>
    <n v="1"/>
    <x v="60"/>
    <n v="3.8"/>
    <x v="23"/>
    <x v="1"/>
    <x v="6"/>
    <n v="2025"/>
  </r>
  <r>
    <s v="INT-01914"/>
    <x v="162"/>
    <x v="0"/>
    <x v="10"/>
    <x v="4"/>
    <s v="Customer 496"/>
    <s v="CRM"/>
    <s v="Inbound"/>
    <x v="5"/>
    <n v="1"/>
    <n v="34500"/>
    <n v="0"/>
    <m/>
    <x v="123"/>
    <m/>
    <x v="0"/>
    <x v="7"/>
    <x v="2"/>
    <n v="2025"/>
  </r>
  <r>
    <s v="INT-01915"/>
    <x v="142"/>
    <x v="0"/>
    <x v="11"/>
    <x v="2"/>
    <s v="Customer 651"/>
    <s v="WhatsApp API"/>
    <s v="Website"/>
    <x v="0"/>
    <n v="1"/>
    <n v="17500"/>
    <n v="17500"/>
    <m/>
    <x v="227"/>
    <m/>
    <x v="0"/>
    <x v="0"/>
    <x v="7"/>
    <n v="2026"/>
  </r>
  <r>
    <s v="INT-01916"/>
    <x v="3"/>
    <x v="1"/>
    <x v="12"/>
    <x v="4"/>
    <s v="Customer 232"/>
    <s v="WhatsApp API"/>
    <m/>
    <x v="1"/>
    <n v="0"/>
    <n v="0"/>
    <n v="0"/>
    <n v="1"/>
    <x v="62"/>
    <n v="5.2"/>
    <x v="14"/>
    <x v="1"/>
    <x v="3"/>
    <n v="2026"/>
  </r>
  <r>
    <s v="INT-01917"/>
    <x v="157"/>
    <x v="1"/>
    <x v="12"/>
    <x v="4"/>
    <s v="Customer 472"/>
    <s v="Automation"/>
    <m/>
    <x v="1"/>
    <n v="0"/>
    <n v="0"/>
    <n v="0"/>
    <n v="1"/>
    <x v="46"/>
    <n v="6.7"/>
    <x v="19"/>
    <x v="1"/>
    <x v="0"/>
    <n v="2026"/>
  </r>
  <r>
    <s v="INT-01918"/>
    <x v="55"/>
    <x v="1"/>
    <x v="2"/>
    <x v="1"/>
    <s v="Customer 055"/>
    <s v="CRM"/>
    <m/>
    <x v="1"/>
    <n v="0"/>
    <n v="0"/>
    <n v="0"/>
    <n v="1"/>
    <x v="27"/>
    <n v="13.7"/>
    <x v="13"/>
    <x v="2"/>
    <x v="3"/>
    <n v="2026"/>
  </r>
  <r>
    <s v="INT-01919"/>
    <x v="264"/>
    <x v="0"/>
    <x v="6"/>
    <x v="0"/>
    <s v="Customer 163"/>
    <s v="WhatsApp API"/>
    <s v="Partner"/>
    <x v="0"/>
    <n v="1"/>
    <n v="34700"/>
    <n v="34700"/>
    <m/>
    <x v="193"/>
    <m/>
    <x v="0"/>
    <x v="0"/>
    <x v="11"/>
    <n v="2026"/>
  </r>
  <r>
    <s v="INT-01920"/>
    <x v="334"/>
    <x v="0"/>
    <x v="10"/>
    <x v="1"/>
    <s v="Customer 655"/>
    <s v="Analytics"/>
    <s v="Website"/>
    <x v="3"/>
    <n v="1"/>
    <n v="9800"/>
    <n v="0"/>
    <m/>
    <x v="206"/>
    <m/>
    <x v="0"/>
    <x v="4"/>
    <x v="5"/>
    <n v="2026"/>
  </r>
  <r>
    <s v="INT-01921"/>
    <x v="358"/>
    <x v="1"/>
    <x v="8"/>
    <x v="3"/>
    <s v="Customer 450"/>
    <s v="WhatsApp API"/>
    <m/>
    <x v="1"/>
    <n v="0"/>
    <n v="0"/>
    <n v="0"/>
    <n v="1"/>
    <x v="64"/>
    <n v="2.2999999999999998"/>
    <x v="14"/>
    <x v="1"/>
    <x v="6"/>
    <n v="2025"/>
  </r>
  <r>
    <s v="INT-01922"/>
    <x v="49"/>
    <x v="0"/>
    <x v="5"/>
    <x v="1"/>
    <s v="Customer 323"/>
    <s v="CRM"/>
    <s v="Outbound"/>
    <x v="2"/>
    <n v="1"/>
    <n v="10200"/>
    <n v="0"/>
    <m/>
    <x v="177"/>
    <m/>
    <x v="0"/>
    <x v="3"/>
    <x v="3"/>
    <n v="2026"/>
  </r>
  <r>
    <s v="INT-01923"/>
    <x v="243"/>
    <x v="1"/>
    <x v="2"/>
    <x v="4"/>
    <s v="Customer 357"/>
    <s v="CRM"/>
    <m/>
    <x v="1"/>
    <n v="0"/>
    <n v="0"/>
    <n v="0"/>
    <n v="1"/>
    <x v="106"/>
    <n v="8.1"/>
    <x v="10"/>
    <x v="2"/>
    <x v="5"/>
    <n v="2026"/>
  </r>
  <r>
    <s v="INT-01924"/>
    <x v="15"/>
    <x v="0"/>
    <x v="10"/>
    <x v="0"/>
    <s v="Customer 146"/>
    <s v="WhatsApp API"/>
    <s v="Outbound"/>
    <x v="6"/>
    <n v="1"/>
    <n v="12500"/>
    <n v="0"/>
    <m/>
    <x v="30"/>
    <m/>
    <x v="0"/>
    <x v="8"/>
    <x v="10"/>
    <n v="2025"/>
  </r>
  <r>
    <s v="INT-01925"/>
    <x v="111"/>
    <x v="1"/>
    <x v="14"/>
    <x v="0"/>
    <s v="Customer 560"/>
    <s v="CRM"/>
    <m/>
    <x v="1"/>
    <n v="0"/>
    <n v="0"/>
    <n v="0"/>
    <n v="1"/>
    <x v="79"/>
    <n v="6.7"/>
    <x v="8"/>
    <x v="9"/>
    <x v="11"/>
    <n v="2026"/>
  </r>
  <r>
    <s v="INT-01926"/>
    <x v="89"/>
    <x v="0"/>
    <x v="13"/>
    <x v="0"/>
    <s v="Customer 438"/>
    <s v="WhatsApp API"/>
    <s v="Website"/>
    <x v="2"/>
    <n v="1"/>
    <n v="33500"/>
    <n v="0"/>
    <m/>
    <x v="97"/>
    <m/>
    <x v="0"/>
    <x v="3"/>
    <x v="10"/>
    <n v="2025"/>
  </r>
  <r>
    <s v="INT-01927"/>
    <x v="115"/>
    <x v="1"/>
    <x v="12"/>
    <x v="2"/>
    <s v="Customer 232"/>
    <s v="WhatsApp API"/>
    <m/>
    <x v="1"/>
    <n v="0"/>
    <n v="0"/>
    <n v="0"/>
    <n v="1"/>
    <x v="101"/>
    <n v="1.7"/>
    <x v="12"/>
    <x v="9"/>
    <x v="3"/>
    <n v="2026"/>
  </r>
  <r>
    <s v="INT-01928"/>
    <x v="11"/>
    <x v="0"/>
    <x v="5"/>
    <x v="0"/>
    <s v="Customer 232"/>
    <s v="CRM"/>
    <s v="Partner"/>
    <x v="2"/>
    <n v="1"/>
    <n v="23400"/>
    <n v="0"/>
    <m/>
    <x v="128"/>
    <m/>
    <x v="0"/>
    <x v="3"/>
    <x v="7"/>
    <n v="2026"/>
  </r>
  <r>
    <s v="INT-01929"/>
    <x v="259"/>
    <x v="1"/>
    <x v="3"/>
    <x v="0"/>
    <s v="Customer 201"/>
    <s v="WhatsApp API"/>
    <m/>
    <x v="1"/>
    <n v="0"/>
    <n v="0"/>
    <n v="0"/>
    <n v="1"/>
    <x v="114"/>
    <n v="2.8"/>
    <x v="26"/>
    <x v="9"/>
    <x v="1"/>
    <n v="2026"/>
  </r>
  <r>
    <s v="INT-01930"/>
    <x v="269"/>
    <x v="0"/>
    <x v="11"/>
    <x v="0"/>
    <s v="Customer 486"/>
    <s v="CRM"/>
    <s v="Partner"/>
    <x v="3"/>
    <n v="1"/>
    <n v="29000"/>
    <n v="0"/>
    <m/>
    <x v="74"/>
    <m/>
    <x v="0"/>
    <x v="4"/>
    <x v="2"/>
    <n v="2025"/>
  </r>
  <r>
    <s v="INT-01931"/>
    <x v="310"/>
    <x v="1"/>
    <x v="9"/>
    <x v="2"/>
    <s v="Customer 174"/>
    <s v="Automation"/>
    <m/>
    <x v="1"/>
    <n v="0"/>
    <n v="0"/>
    <n v="0"/>
    <n v="1"/>
    <x v="91"/>
    <n v="9.1"/>
    <x v="9"/>
    <x v="5"/>
    <x v="4"/>
    <n v="2026"/>
  </r>
  <r>
    <s v="INT-01932"/>
    <x v="116"/>
    <x v="1"/>
    <x v="1"/>
    <x v="4"/>
    <s v="Customer 367"/>
    <s v="Automation"/>
    <m/>
    <x v="1"/>
    <n v="0"/>
    <n v="0"/>
    <n v="0"/>
    <n v="1"/>
    <x v="138"/>
    <n v="17"/>
    <x v="14"/>
    <x v="1"/>
    <x v="5"/>
    <n v="2026"/>
  </r>
  <r>
    <s v="INT-01933"/>
    <x v="362"/>
    <x v="1"/>
    <x v="1"/>
    <x v="0"/>
    <s v="Customer 274"/>
    <s v="CRM"/>
    <m/>
    <x v="1"/>
    <n v="0"/>
    <n v="0"/>
    <n v="0"/>
    <n v="1"/>
    <x v="31"/>
    <n v="4.8"/>
    <x v="1"/>
    <x v="2"/>
    <x v="7"/>
    <n v="2026"/>
  </r>
  <r>
    <s v="INT-01934"/>
    <x v="253"/>
    <x v="1"/>
    <x v="1"/>
    <x v="0"/>
    <s v="Customer 396"/>
    <s v="WhatsApp API"/>
    <m/>
    <x v="1"/>
    <n v="0"/>
    <n v="0"/>
    <n v="0"/>
    <n v="1"/>
    <x v="2"/>
    <n v="3.3"/>
    <x v="12"/>
    <x v="9"/>
    <x v="3"/>
    <n v="2026"/>
  </r>
  <r>
    <s v="INT-01935"/>
    <x v="133"/>
    <x v="1"/>
    <x v="12"/>
    <x v="4"/>
    <s v="Customer 029"/>
    <s v="WhatsApp API"/>
    <m/>
    <x v="1"/>
    <n v="0"/>
    <n v="0"/>
    <n v="0"/>
    <n v="1"/>
    <x v="47"/>
    <n v="6.9"/>
    <x v="13"/>
    <x v="9"/>
    <x v="0"/>
    <n v="2026"/>
  </r>
  <r>
    <s v="INT-01936"/>
    <x v="275"/>
    <x v="1"/>
    <x v="3"/>
    <x v="0"/>
    <s v="Customer 291"/>
    <s v="WhatsApp API"/>
    <m/>
    <x v="1"/>
    <n v="0"/>
    <n v="0"/>
    <n v="0"/>
    <n v="1"/>
    <x v="114"/>
    <n v="19"/>
    <x v="12"/>
    <x v="2"/>
    <x v="10"/>
    <n v="2025"/>
  </r>
  <r>
    <s v="INT-01937"/>
    <x v="339"/>
    <x v="0"/>
    <x v="5"/>
    <x v="2"/>
    <s v="Customer 158"/>
    <s v="CRM"/>
    <s v="Referral"/>
    <x v="0"/>
    <n v="1"/>
    <n v="26700"/>
    <n v="26700"/>
    <m/>
    <x v="47"/>
    <m/>
    <x v="0"/>
    <x v="0"/>
    <x v="6"/>
    <n v="2025"/>
  </r>
  <r>
    <s v="INT-01938"/>
    <x v="310"/>
    <x v="1"/>
    <x v="8"/>
    <x v="2"/>
    <s v="Customer 241"/>
    <s v="Automation"/>
    <m/>
    <x v="1"/>
    <n v="0"/>
    <n v="0"/>
    <n v="0"/>
    <n v="1"/>
    <x v="33"/>
    <n v="8.9"/>
    <x v="1"/>
    <x v="2"/>
    <x v="4"/>
    <n v="2026"/>
  </r>
  <r>
    <s v="INT-01939"/>
    <x v="238"/>
    <x v="0"/>
    <x v="11"/>
    <x v="0"/>
    <s v="Customer 569"/>
    <s v="CRM"/>
    <s v="Outbound"/>
    <x v="0"/>
    <n v="1"/>
    <n v="9600"/>
    <n v="9600"/>
    <m/>
    <x v="25"/>
    <m/>
    <x v="0"/>
    <x v="0"/>
    <x v="11"/>
    <n v="2026"/>
  </r>
  <r>
    <s v="INT-01940"/>
    <x v="213"/>
    <x v="0"/>
    <x v="6"/>
    <x v="0"/>
    <s v="Customer 397"/>
    <s v="WhatsApp API"/>
    <s v="Outbound"/>
    <x v="2"/>
    <n v="1"/>
    <n v="42900"/>
    <n v="0"/>
    <m/>
    <x v="59"/>
    <m/>
    <x v="0"/>
    <x v="3"/>
    <x v="8"/>
    <n v="2026"/>
  </r>
  <r>
    <s v="INT-01941"/>
    <x v="41"/>
    <x v="0"/>
    <x v="6"/>
    <x v="0"/>
    <s v="Customer 135"/>
    <s v="WhatsApp API"/>
    <s v="Inbound"/>
    <x v="3"/>
    <n v="1"/>
    <n v="14500"/>
    <n v="0"/>
    <m/>
    <x v="25"/>
    <m/>
    <x v="0"/>
    <x v="4"/>
    <x v="9"/>
    <n v="2025"/>
  </r>
  <r>
    <s v="INT-01942"/>
    <x v="185"/>
    <x v="0"/>
    <x v="0"/>
    <x v="1"/>
    <s v="Customer 242"/>
    <s v="CRM"/>
    <s v="Inbound"/>
    <x v="0"/>
    <n v="1"/>
    <n v="15300"/>
    <n v="15300"/>
    <m/>
    <x v="123"/>
    <m/>
    <x v="0"/>
    <x v="0"/>
    <x v="4"/>
    <n v="2026"/>
  </r>
  <r>
    <s v="INT-01943"/>
    <x v="218"/>
    <x v="1"/>
    <x v="12"/>
    <x v="3"/>
    <s v="Customer 408"/>
    <s v="CRM"/>
    <m/>
    <x v="1"/>
    <n v="0"/>
    <n v="0"/>
    <n v="0"/>
    <n v="1"/>
    <x v="158"/>
    <n v="2.7"/>
    <x v="19"/>
    <x v="2"/>
    <x v="5"/>
    <n v="2026"/>
  </r>
  <r>
    <s v="INT-01944"/>
    <x v="278"/>
    <x v="1"/>
    <x v="3"/>
    <x v="0"/>
    <s v="Customer 578"/>
    <s v="CRM"/>
    <m/>
    <x v="1"/>
    <n v="0"/>
    <n v="0"/>
    <n v="0"/>
    <n v="1"/>
    <x v="147"/>
    <n v="11.6"/>
    <x v="7"/>
    <x v="2"/>
    <x v="1"/>
    <n v="2026"/>
  </r>
  <r>
    <s v="INT-01945"/>
    <x v="232"/>
    <x v="1"/>
    <x v="8"/>
    <x v="0"/>
    <s v="Customer 339"/>
    <s v="CRM"/>
    <m/>
    <x v="1"/>
    <n v="0"/>
    <n v="0"/>
    <n v="0"/>
    <n v="1"/>
    <x v="114"/>
    <n v="4.2"/>
    <x v="14"/>
    <x v="1"/>
    <x v="10"/>
    <n v="2025"/>
  </r>
  <r>
    <s v="INT-01946"/>
    <x v="162"/>
    <x v="0"/>
    <x v="11"/>
    <x v="0"/>
    <s v="Customer 035"/>
    <s v="CRM"/>
    <s v="Referral"/>
    <x v="3"/>
    <n v="1"/>
    <n v="9800"/>
    <n v="0"/>
    <m/>
    <x v="135"/>
    <m/>
    <x v="0"/>
    <x v="4"/>
    <x v="2"/>
    <n v="2025"/>
  </r>
  <r>
    <s v="INT-01947"/>
    <x v="26"/>
    <x v="0"/>
    <x v="10"/>
    <x v="0"/>
    <s v="Customer 497"/>
    <s v="WhatsApp API"/>
    <s v="Inbound"/>
    <x v="4"/>
    <n v="1"/>
    <n v="24800"/>
    <n v="0"/>
    <m/>
    <x v="203"/>
    <m/>
    <x v="0"/>
    <x v="6"/>
    <x v="1"/>
    <n v="2026"/>
  </r>
  <r>
    <s v="INT-01948"/>
    <x v="144"/>
    <x v="0"/>
    <x v="6"/>
    <x v="0"/>
    <s v="Customer 518"/>
    <s v="Automation"/>
    <s v="Outbound"/>
    <x v="4"/>
    <n v="1"/>
    <n v="19500"/>
    <n v="0"/>
    <m/>
    <x v="134"/>
    <m/>
    <x v="0"/>
    <x v="6"/>
    <x v="6"/>
    <n v="2025"/>
  </r>
  <r>
    <s v="INT-01949"/>
    <x v="199"/>
    <x v="0"/>
    <x v="13"/>
    <x v="0"/>
    <s v="Customer 523"/>
    <s v="WhatsApp API"/>
    <s v="Inbound"/>
    <x v="0"/>
    <n v="1"/>
    <n v="82700"/>
    <n v="82700"/>
    <m/>
    <x v="102"/>
    <m/>
    <x v="0"/>
    <x v="0"/>
    <x v="11"/>
    <n v="2026"/>
  </r>
  <r>
    <s v="INT-01950"/>
    <x v="110"/>
    <x v="0"/>
    <x v="0"/>
    <x v="3"/>
    <s v="Customer 541"/>
    <s v="CRM"/>
    <s v="Outbound"/>
    <x v="6"/>
    <n v="1"/>
    <n v="35600"/>
    <n v="0"/>
    <m/>
    <x v="230"/>
    <m/>
    <x v="0"/>
    <x v="8"/>
    <x v="11"/>
    <n v="2026"/>
  </r>
  <r>
    <s v="INT-01951"/>
    <x v="227"/>
    <x v="0"/>
    <x v="10"/>
    <x v="0"/>
    <s v="Customer 676"/>
    <s v="Automation"/>
    <s v="Referral"/>
    <x v="4"/>
    <n v="1"/>
    <n v="12000"/>
    <n v="0"/>
    <m/>
    <x v="179"/>
    <m/>
    <x v="0"/>
    <x v="6"/>
    <x v="4"/>
    <n v="2026"/>
  </r>
  <r>
    <s v="INT-01952"/>
    <x v="64"/>
    <x v="0"/>
    <x v="7"/>
    <x v="0"/>
    <s v="Customer 575"/>
    <s v="CRM"/>
    <s v="Website"/>
    <x v="2"/>
    <n v="1"/>
    <n v="116300"/>
    <n v="0"/>
    <m/>
    <x v="174"/>
    <m/>
    <x v="0"/>
    <x v="3"/>
    <x v="3"/>
    <n v="2026"/>
  </r>
  <r>
    <s v="INT-01953"/>
    <x v="281"/>
    <x v="1"/>
    <x v="12"/>
    <x v="1"/>
    <s v="Customer 440"/>
    <s v="CRM"/>
    <m/>
    <x v="1"/>
    <n v="0"/>
    <n v="0"/>
    <n v="0"/>
    <n v="1"/>
    <x v="204"/>
    <n v="11"/>
    <x v="8"/>
    <x v="2"/>
    <x v="7"/>
    <n v="2026"/>
  </r>
  <r>
    <s v="INT-01954"/>
    <x v="90"/>
    <x v="1"/>
    <x v="9"/>
    <x v="1"/>
    <s v="Customer 173"/>
    <s v="Analytics"/>
    <m/>
    <x v="1"/>
    <n v="0"/>
    <n v="0"/>
    <n v="0"/>
    <n v="1"/>
    <x v="121"/>
    <n v="3.9"/>
    <x v="26"/>
    <x v="5"/>
    <x v="6"/>
    <n v="2025"/>
  </r>
  <r>
    <s v="INT-01955"/>
    <x v="349"/>
    <x v="1"/>
    <x v="3"/>
    <x v="0"/>
    <s v="Customer 040"/>
    <s v="WhatsApp API"/>
    <m/>
    <x v="1"/>
    <n v="0"/>
    <n v="0"/>
    <n v="0"/>
    <n v="1"/>
    <x v="146"/>
    <n v="5.5"/>
    <x v="19"/>
    <x v="2"/>
    <x v="8"/>
    <n v="2026"/>
  </r>
  <r>
    <s v="INT-01956"/>
    <x v="72"/>
    <x v="1"/>
    <x v="12"/>
    <x v="2"/>
    <s v="Customer 078"/>
    <s v="CRM"/>
    <m/>
    <x v="1"/>
    <n v="0"/>
    <n v="0"/>
    <n v="0"/>
    <n v="1"/>
    <x v="60"/>
    <n v="4"/>
    <x v="4"/>
    <x v="2"/>
    <x v="1"/>
    <n v="2026"/>
  </r>
  <r>
    <s v="INT-01957"/>
    <x v="133"/>
    <x v="1"/>
    <x v="15"/>
    <x v="3"/>
    <s v="Customer 623"/>
    <s v="Automation"/>
    <m/>
    <x v="1"/>
    <n v="0"/>
    <n v="0"/>
    <n v="0"/>
    <n v="1"/>
    <x v="11"/>
    <n v="7.4"/>
    <x v="19"/>
    <x v="2"/>
    <x v="0"/>
    <n v="2026"/>
  </r>
  <r>
    <s v="INT-01958"/>
    <x v="235"/>
    <x v="0"/>
    <x v="6"/>
    <x v="4"/>
    <s v="Customer 053"/>
    <s v="WhatsApp API"/>
    <s v="Website"/>
    <x v="3"/>
    <n v="1"/>
    <n v="17600"/>
    <n v="0"/>
    <m/>
    <x v="157"/>
    <m/>
    <x v="0"/>
    <x v="4"/>
    <x v="5"/>
    <n v="2026"/>
  </r>
  <r>
    <s v="INT-01959"/>
    <x v="102"/>
    <x v="1"/>
    <x v="3"/>
    <x v="0"/>
    <s v="Customer 245"/>
    <s v="CRM"/>
    <m/>
    <x v="1"/>
    <n v="0"/>
    <n v="0"/>
    <n v="0"/>
    <n v="1"/>
    <x v="119"/>
    <n v="4.0999999999999996"/>
    <x v="10"/>
    <x v="2"/>
    <x v="6"/>
    <n v="2025"/>
  </r>
  <r>
    <s v="INT-01960"/>
    <x v="303"/>
    <x v="1"/>
    <x v="1"/>
    <x v="1"/>
    <s v="Customer 326"/>
    <s v="WhatsApp API"/>
    <m/>
    <x v="1"/>
    <n v="0"/>
    <n v="0"/>
    <n v="0"/>
    <n v="1"/>
    <x v="201"/>
    <n v="8"/>
    <x v="7"/>
    <x v="2"/>
    <x v="8"/>
    <n v="2026"/>
  </r>
  <r>
    <s v="INT-01961"/>
    <x v="232"/>
    <x v="0"/>
    <x v="10"/>
    <x v="0"/>
    <s v="Customer 171"/>
    <s v="Analytics"/>
    <s v="Inbound"/>
    <x v="4"/>
    <n v="1"/>
    <n v="69500"/>
    <n v="0"/>
    <m/>
    <x v="112"/>
    <m/>
    <x v="0"/>
    <x v="6"/>
    <x v="10"/>
    <n v="2025"/>
  </r>
  <r>
    <s v="INT-01962"/>
    <x v="163"/>
    <x v="0"/>
    <x v="5"/>
    <x v="1"/>
    <s v="Customer 230"/>
    <s v="WhatsApp API"/>
    <s v="Partner"/>
    <x v="3"/>
    <n v="1"/>
    <n v="17300"/>
    <n v="0"/>
    <m/>
    <x v="131"/>
    <m/>
    <x v="0"/>
    <x v="4"/>
    <x v="9"/>
    <n v="2025"/>
  </r>
  <r>
    <s v="INT-01963"/>
    <x v="247"/>
    <x v="1"/>
    <x v="9"/>
    <x v="0"/>
    <s v="Customer 128"/>
    <s v="Analytics"/>
    <m/>
    <x v="1"/>
    <n v="0"/>
    <n v="0"/>
    <n v="0"/>
    <n v="1"/>
    <x v="197"/>
    <n v="5.4"/>
    <x v="10"/>
    <x v="2"/>
    <x v="3"/>
    <n v="2026"/>
  </r>
  <r>
    <s v="INT-01964"/>
    <x v="327"/>
    <x v="0"/>
    <x v="10"/>
    <x v="1"/>
    <s v="Customer 375"/>
    <s v="Automation"/>
    <s v="Website"/>
    <x v="3"/>
    <n v="1"/>
    <n v="59300"/>
    <n v="0"/>
    <m/>
    <x v="169"/>
    <m/>
    <x v="0"/>
    <x v="4"/>
    <x v="6"/>
    <n v="2025"/>
  </r>
  <r>
    <s v="INT-01965"/>
    <x v="175"/>
    <x v="1"/>
    <x v="12"/>
    <x v="0"/>
    <s v="Customer 071"/>
    <s v="Analytics"/>
    <m/>
    <x v="1"/>
    <n v="0"/>
    <n v="0"/>
    <n v="0"/>
    <n v="1"/>
    <x v="75"/>
    <n v="4.5999999999999996"/>
    <x v="16"/>
    <x v="2"/>
    <x v="11"/>
    <n v="2026"/>
  </r>
  <r>
    <s v="INT-01966"/>
    <x v="80"/>
    <x v="1"/>
    <x v="3"/>
    <x v="0"/>
    <s v="Customer 092"/>
    <s v="CRM"/>
    <m/>
    <x v="1"/>
    <n v="0"/>
    <n v="0"/>
    <n v="0"/>
    <n v="1"/>
    <x v="71"/>
    <n v="17.2"/>
    <x v="19"/>
    <x v="1"/>
    <x v="7"/>
    <n v="2026"/>
  </r>
  <r>
    <s v="INT-01967"/>
    <x v="130"/>
    <x v="0"/>
    <x v="5"/>
    <x v="0"/>
    <s v="Customer 535"/>
    <s v="WhatsApp API"/>
    <s v="Referral"/>
    <x v="4"/>
    <n v="1"/>
    <n v="30600"/>
    <n v="0"/>
    <m/>
    <x v="68"/>
    <m/>
    <x v="0"/>
    <x v="6"/>
    <x v="1"/>
    <n v="2026"/>
  </r>
  <r>
    <s v="INT-01968"/>
    <x v="337"/>
    <x v="0"/>
    <x v="7"/>
    <x v="4"/>
    <s v="Customer 456"/>
    <s v="Automation"/>
    <s v="Outbound"/>
    <x v="4"/>
    <n v="1"/>
    <n v="17900"/>
    <n v="0"/>
    <m/>
    <x v="147"/>
    <m/>
    <x v="0"/>
    <x v="6"/>
    <x v="10"/>
    <n v="2025"/>
  </r>
  <r>
    <s v="INT-01969"/>
    <x v="68"/>
    <x v="0"/>
    <x v="0"/>
    <x v="3"/>
    <s v="Customer 653"/>
    <s v="Automation"/>
    <s v="Referral"/>
    <x v="6"/>
    <n v="1"/>
    <n v="11700"/>
    <n v="0"/>
    <m/>
    <x v="237"/>
    <m/>
    <x v="0"/>
    <x v="8"/>
    <x v="4"/>
    <n v="2026"/>
  </r>
  <r>
    <s v="INT-01970"/>
    <x v="56"/>
    <x v="0"/>
    <x v="4"/>
    <x v="0"/>
    <s v="Customer 052"/>
    <s v="Automation"/>
    <s v="Outbound"/>
    <x v="5"/>
    <n v="1"/>
    <n v="50900"/>
    <n v="0"/>
    <m/>
    <x v="63"/>
    <m/>
    <x v="0"/>
    <x v="7"/>
    <x v="5"/>
    <n v="2026"/>
  </r>
  <r>
    <s v="INT-01971"/>
    <x v="360"/>
    <x v="0"/>
    <x v="5"/>
    <x v="0"/>
    <s v="Customer 045"/>
    <s v="Automation"/>
    <s v="Inbound"/>
    <x v="5"/>
    <n v="1"/>
    <n v="34600"/>
    <n v="0"/>
    <m/>
    <x v="156"/>
    <m/>
    <x v="0"/>
    <x v="7"/>
    <x v="1"/>
    <n v="2026"/>
  </r>
  <r>
    <s v="INT-01972"/>
    <x v="329"/>
    <x v="1"/>
    <x v="15"/>
    <x v="0"/>
    <s v="Customer 581"/>
    <s v="WhatsApp API"/>
    <m/>
    <x v="1"/>
    <n v="0"/>
    <n v="0"/>
    <n v="0"/>
    <n v="1"/>
    <x v="27"/>
    <n v="10"/>
    <x v="13"/>
    <x v="2"/>
    <x v="1"/>
    <n v="2026"/>
  </r>
  <r>
    <s v="INT-01973"/>
    <x v="70"/>
    <x v="0"/>
    <x v="4"/>
    <x v="2"/>
    <s v="Customer 452"/>
    <s v="WhatsApp API"/>
    <s v="Inbound"/>
    <x v="5"/>
    <n v="1"/>
    <n v="31200"/>
    <n v="0"/>
    <m/>
    <x v="29"/>
    <m/>
    <x v="0"/>
    <x v="7"/>
    <x v="10"/>
    <n v="2025"/>
  </r>
  <r>
    <s v="INT-01974"/>
    <x v="75"/>
    <x v="0"/>
    <x v="7"/>
    <x v="1"/>
    <s v="Customer 434"/>
    <s v="WhatsApp API"/>
    <s v="Website"/>
    <x v="5"/>
    <n v="1"/>
    <n v="11000"/>
    <n v="0"/>
    <m/>
    <x v="84"/>
    <m/>
    <x v="0"/>
    <x v="7"/>
    <x v="9"/>
    <n v="2025"/>
  </r>
  <r>
    <s v="INT-01975"/>
    <x v="160"/>
    <x v="0"/>
    <x v="4"/>
    <x v="0"/>
    <s v="Customer 606"/>
    <s v="WhatsApp API"/>
    <s v="Website"/>
    <x v="4"/>
    <n v="1"/>
    <n v="28800"/>
    <n v="0"/>
    <m/>
    <x v="28"/>
    <m/>
    <x v="0"/>
    <x v="6"/>
    <x v="1"/>
    <n v="2026"/>
  </r>
  <r>
    <s v="INT-01976"/>
    <x v="171"/>
    <x v="1"/>
    <x v="9"/>
    <x v="4"/>
    <s v="Customer 142"/>
    <s v="CRM"/>
    <m/>
    <x v="1"/>
    <n v="0"/>
    <n v="0"/>
    <n v="0"/>
    <n v="1"/>
    <x v="53"/>
    <n v="2"/>
    <x v="19"/>
    <x v="9"/>
    <x v="10"/>
    <n v="2025"/>
  </r>
  <r>
    <s v="INT-01977"/>
    <x v="174"/>
    <x v="0"/>
    <x v="5"/>
    <x v="1"/>
    <s v="Customer 443"/>
    <s v="CRM"/>
    <s v="Inbound"/>
    <x v="5"/>
    <n v="1"/>
    <n v="14900"/>
    <n v="0"/>
    <m/>
    <x v="61"/>
    <m/>
    <x v="0"/>
    <x v="7"/>
    <x v="11"/>
    <n v="2026"/>
  </r>
  <r>
    <s v="INT-01978"/>
    <x v="60"/>
    <x v="0"/>
    <x v="4"/>
    <x v="4"/>
    <s v="Customer 188"/>
    <s v="Automation"/>
    <s v="Partner"/>
    <x v="3"/>
    <n v="1"/>
    <n v="17900"/>
    <n v="0"/>
    <m/>
    <x v="11"/>
    <m/>
    <x v="0"/>
    <x v="4"/>
    <x v="5"/>
    <n v="2026"/>
  </r>
  <r>
    <s v="INT-01979"/>
    <x v="66"/>
    <x v="1"/>
    <x v="8"/>
    <x v="4"/>
    <s v="Customer 662"/>
    <s v="Analytics"/>
    <m/>
    <x v="1"/>
    <n v="0"/>
    <n v="0"/>
    <n v="0"/>
    <n v="1"/>
    <x v="69"/>
    <n v="9.3000000000000007"/>
    <x v="1"/>
    <x v="9"/>
    <x v="9"/>
    <n v="2025"/>
  </r>
  <r>
    <s v="INT-01980"/>
    <x v="144"/>
    <x v="1"/>
    <x v="2"/>
    <x v="0"/>
    <s v="Customer 041"/>
    <s v="Analytics"/>
    <m/>
    <x v="1"/>
    <n v="0"/>
    <n v="0"/>
    <n v="0"/>
    <n v="1"/>
    <x v="65"/>
    <n v="11.9"/>
    <x v="1"/>
    <x v="5"/>
    <x v="6"/>
    <n v="2025"/>
  </r>
  <r>
    <s v="INT-01981"/>
    <x v="69"/>
    <x v="0"/>
    <x v="10"/>
    <x v="1"/>
    <s v="Customer 686"/>
    <s v="CRM"/>
    <s v="Referral"/>
    <x v="6"/>
    <n v="1"/>
    <n v="55600"/>
    <n v="0"/>
    <m/>
    <x v="122"/>
    <m/>
    <x v="0"/>
    <x v="8"/>
    <x v="5"/>
    <n v="2026"/>
  </r>
  <r>
    <s v="INT-01982"/>
    <x v="230"/>
    <x v="1"/>
    <x v="3"/>
    <x v="0"/>
    <s v="Customer 095"/>
    <s v="CRM"/>
    <m/>
    <x v="1"/>
    <n v="0"/>
    <n v="0"/>
    <n v="0"/>
    <n v="1"/>
    <x v="214"/>
    <n v="9.1999999999999993"/>
    <x v="7"/>
    <x v="1"/>
    <x v="8"/>
    <n v="2026"/>
  </r>
  <r>
    <s v="INT-01983"/>
    <x v="202"/>
    <x v="0"/>
    <x v="5"/>
    <x v="0"/>
    <s v="Customer 052"/>
    <s v="Automation"/>
    <s v="Referral"/>
    <x v="6"/>
    <n v="1"/>
    <n v="15500"/>
    <n v="0"/>
    <m/>
    <x v="179"/>
    <m/>
    <x v="0"/>
    <x v="8"/>
    <x v="5"/>
    <n v="2026"/>
  </r>
  <r>
    <s v="INT-01984"/>
    <x v="218"/>
    <x v="0"/>
    <x v="5"/>
    <x v="4"/>
    <s v="Customer 332"/>
    <s v="CRM"/>
    <s v="Inbound"/>
    <x v="0"/>
    <n v="1"/>
    <n v="14000"/>
    <n v="14000"/>
    <m/>
    <x v="56"/>
    <m/>
    <x v="0"/>
    <x v="0"/>
    <x v="5"/>
    <n v="2026"/>
  </r>
  <r>
    <s v="INT-01985"/>
    <x v="347"/>
    <x v="0"/>
    <x v="5"/>
    <x v="0"/>
    <s v="Customer 239"/>
    <s v="Automation"/>
    <s v="Referral"/>
    <x v="6"/>
    <n v="1"/>
    <n v="22900"/>
    <n v="0"/>
    <m/>
    <x v="94"/>
    <m/>
    <x v="0"/>
    <x v="8"/>
    <x v="5"/>
    <n v="2026"/>
  </r>
  <r>
    <s v="INT-01986"/>
    <x v="215"/>
    <x v="0"/>
    <x v="13"/>
    <x v="2"/>
    <s v="Customer 370"/>
    <s v="WhatsApp API"/>
    <s v="Website"/>
    <x v="4"/>
    <n v="1"/>
    <n v="39000"/>
    <n v="0"/>
    <m/>
    <x v="92"/>
    <m/>
    <x v="0"/>
    <x v="6"/>
    <x v="10"/>
    <n v="2025"/>
  </r>
  <r>
    <s v="INT-01987"/>
    <x v="171"/>
    <x v="1"/>
    <x v="1"/>
    <x v="4"/>
    <s v="Customer 239"/>
    <s v="WhatsApp API"/>
    <m/>
    <x v="1"/>
    <n v="0"/>
    <n v="0"/>
    <n v="0"/>
    <n v="1"/>
    <x v="197"/>
    <n v="7.3"/>
    <x v="23"/>
    <x v="9"/>
    <x v="10"/>
    <n v="2025"/>
  </r>
  <r>
    <s v="INT-01988"/>
    <x v="332"/>
    <x v="0"/>
    <x v="0"/>
    <x v="1"/>
    <s v="Customer 087"/>
    <s v="CRM"/>
    <s v="Outbound"/>
    <x v="0"/>
    <n v="1"/>
    <n v="13600"/>
    <n v="13600"/>
    <m/>
    <x v="43"/>
    <m/>
    <x v="0"/>
    <x v="0"/>
    <x v="4"/>
    <n v="2026"/>
  </r>
  <r>
    <s v="INT-01989"/>
    <x v="15"/>
    <x v="0"/>
    <x v="6"/>
    <x v="2"/>
    <s v="Customer 036"/>
    <s v="Automation"/>
    <s v="Outbound"/>
    <x v="4"/>
    <n v="1"/>
    <n v="5400"/>
    <n v="0"/>
    <m/>
    <x v="79"/>
    <m/>
    <x v="0"/>
    <x v="6"/>
    <x v="10"/>
    <n v="2025"/>
  </r>
  <r>
    <s v="INT-01990"/>
    <x v="118"/>
    <x v="1"/>
    <x v="15"/>
    <x v="4"/>
    <s v="Customer 170"/>
    <s v="Automation"/>
    <m/>
    <x v="1"/>
    <n v="0"/>
    <n v="0"/>
    <n v="0"/>
    <n v="1"/>
    <x v="48"/>
    <n v="2.5"/>
    <x v="14"/>
    <x v="2"/>
    <x v="6"/>
    <n v="2025"/>
  </r>
  <r>
    <s v="INT-01991"/>
    <x v="268"/>
    <x v="1"/>
    <x v="14"/>
    <x v="1"/>
    <s v="Customer 576"/>
    <s v="Automation"/>
    <m/>
    <x v="1"/>
    <n v="0"/>
    <n v="0"/>
    <n v="0"/>
    <n v="1"/>
    <x v="177"/>
    <n v="3.2"/>
    <x v="1"/>
    <x v="5"/>
    <x v="11"/>
    <n v="2026"/>
  </r>
  <r>
    <s v="INT-01992"/>
    <x v="213"/>
    <x v="0"/>
    <x v="5"/>
    <x v="1"/>
    <s v="Customer 679"/>
    <s v="WhatsApp API"/>
    <s v="Website"/>
    <x v="3"/>
    <n v="1"/>
    <n v="23500"/>
    <n v="0"/>
    <m/>
    <x v="91"/>
    <m/>
    <x v="0"/>
    <x v="4"/>
    <x v="8"/>
    <n v="2026"/>
  </r>
  <r>
    <s v="INT-01993"/>
    <x v="132"/>
    <x v="1"/>
    <x v="14"/>
    <x v="0"/>
    <s v="Customer 019"/>
    <s v="CRM"/>
    <m/>
    <x v="1"/>
    <n v="0"/>
    <n v="0"/>
    <n v="0"/>
    <n v="1"/>
    <x v="141"/>
    <n v="15.7"/>
    <x v="18"/>
    <x v="2"/>
    <x v="2"/>
    <n v="2025"/>
  </r>
  <r>
    <s v="INT-01994"/>
    <x v="106"/>
    <x v="0"/>
    <x v="0"/>
    <x v="0"/>
    <s v="Customer 487"/>
    <s v="Analytics"/>
    <s v="Outbound"/>
    <x v="0"/>
    <n v="1"/>
    <n v="19700"/>
    <n v="19700"/>
    <m/>
    <x v="163"/>
    <m/>
    <x v="0"/>
    <x v="0"/>
    <x v="3"/>
    <n v="2026"/>
  </r>
  <r>
    <s v="INT-01995"/>
    <x v="84"/>
    <x v="1"/>
    <x v="3"/>
    <x v="4"/>
    <s v="Customer 302"/>
    <s v="Automation"/>
    <m/>
    <x v="1"/>
    <n v="0"/>
    <n v="0"/>
    <n v="0"/>
    <n v="1"/>
    <x v="141"/>
    <n v="8.1999999999999993"/>
    <x v="10"/>
    <x v="2"/>
    <x v="9"/>
    <n v="2025"/>
  </r>
  <r>
    <s v="INT-01996"/>
    <x v="165"/>
    <x v="1"/>
    <x v="12"/>
    <x v="1"/>
    <s v="Customer 327"/>
    <s v="CRM"/>
    <m/>
    <x v="1"/>
    <n v="0"/>
    <n v="0"/>
    <n v="0"/>
    <n v="1"/>
    <x v="234"/>
    <n v="9.1"/>
    <x v="16"/>
    <x v="9"/>
    <x v="0"/>
    <n v="2026"/>
  </r>
  <r>
    <s v="INT-01997"/>
    <x v="267"/>
    <x v="1"/>
    <x v="3"/>
    <x v="1"/>
    <s v="Customer 348"/>
    <s v="WhatsApp API"/>
    <m/>
    <x v="1"/>
    <n v="0"/>
    <n v="0"/>
    <n v="0"/>
    <n v="1"/>
    <x v="85"/>
    <n v="13"/>
    <x v="6"/>
    <x v="1"/>
    <x v="5"/>
    <n v="2026"/>
  </r>
  <r>
    <s v="INT-01998"/>
    <x v="150"/>
    <x v="0"/>
    <x v="7"/>
    <x v="0"/>
    <s v="Customer 097"/>
    <s v="Analytics"/>
    <s v="Referral"/>
    <x v="0"/>
    <n v="1"/>
    <n v="25800"/>
    <n v="25800"/>
    <m/>
    <x v="220"/>
    <m/>
    <x v="0"/>
    <x v="0"/>
    <x v="1"/>
    <n v="2026"/>
  </r>
  <r>
    <s v="INT-01999"/>
    <x v="310"/>
    <x v="0"/>
    <x v="11"/>
    <x v="0"/>
    <s v="Customer 693"/>
    <s v="WhatsApp API"/>
    <s v="Website"/>
    <x v="0"/>
    <n v="1"/>
    <n v="16100"/>
    <n v="16100"/>
    <m/>
    <x v="96"/>
    <m/>
    <x v="0"/>
    <x v="0"/>
    <x v="4"/>
    <n v="2026"/>
  </r>
  <r>
    <s v="INT-02000"/>
    <x v="177"/>
    <x v="0"/>
    <x v="13"/>
    <x v="0"/>
    <s v="Customer 134"/>
    <s v="Automation"/>
    <s v="Inbound"/>
    <x v="6"/>
    <n v="1"/>
    <n v="10900"/>
    <n v="0"/>
    <m/>
    <x v="113"/>
    <m/>
    <x v="0"/>
    <x v="8"/>
    <x v="1"/>
    <n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1EFA43-C36E-43A1-ADEA-5809B76143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B54" firstHeaderRow="1" firstDataRow="1" firstDataCol="1"/>
  <pivotFields count="19">
    <pivotField showAll="0"/>
    <pivotField numFmtId="14" showAll="0"/>
    <pivotField showAll="0">
      <items count="3">
        <item x="0"/>
        <item x="1"/>
        <item t="default"/>
      </items>
    </pivotField>
    <pivotField showAll="0"/>
    <pivotField axis="axisRow" showAll="0">
      <items count="6">
        <item x="0"/>
        <item x="3"/>
        <item x="4"/>
        <item x="2"/>
        <item x="1"/>
        <item t="default"/>
      </items>
    </pivotField>
    <pivotField showAll="0"/>
    <pivotField showAll="0"/>
    <pivotField showAll="0"/>
    <pivotField showAll="0"/>
    <pivotField numFmtId="1" showAll="0"/>
    <pivotField numFmtId="2" showAll="0"/>
    <pivotField dataField="1" numFmtId="2" showAll="0"/>
    <pivotField showAll="0"/>
    <pivotField numFmtId="2" showAll="0"/>
    <pivotField showAll="0"/>
    <pivotField showAll="0"/>
    <pivotField showAll="0"/>
    <pivotField showAll="0">
      <items count="13">
        <item x="0"/>
        <item x="4"/>
        <item x="10"/>
        <item x="7"/>
        <item x="3"/>
        <item x="11"/>
        <item x="1"/>
        <item x="5"/>
        <item x="8"/>
        <item x="2"/>
        <item x="6"/>
        <item x="9"/>
        <item t="default"/>
      </items>
    </pivotField>
    <pivotField numFmtId="1" showAll="0"/>
  </pivotFields>
  <rowFields count="1">
    <field x="4"/>
  </rowFields>
  <rowItems count="6">
    <i>
      <x/>
    </i>
    <i>
      <x v="1"/>
    </i>
    <i>
      <x v="2"/>
    </i>
    <i>
      <x v="3"/>
    </i>
    <i>
      <x v="4"/>
    </i>
    <i t="grand">
      <x/>
    </i>
  </rowItems>
  <colItems count="1">
    <i/>
  </colItems>
  <dataFields count="1">
    <dataField name="Sum of Revenue_INR" fld="11" baseField="0" baseItem="0" numFmtId="2"/>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6993DB-6717-4CDC-B025-C7797EFA3E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D41" firstHeaderRow="0" firstDataRow="1" firstDataCol="1"/>
  <pivotFields count="19">
    <pivotField showAll="0"/>
    <pivotField numFmtId="14" showAll="0"/>
    <pivotField showAll="0">
      <items count="3">
        <item x="0"/>
        <item x="1"/>
        <item t="default"/>
      </items>
    </pivotField>
    <pivotField showAll="0"/>
    <pivotField showAll="0">
      <items count="6">
        <item x="0"/>
        <item x="3"/>
        <item x="4"/>
        <item x="2"/>
        <item x="1"/>
        <item t="default"/>
      </items>
    </pivotField>
    <pivotField showAll="0"/>
    <pivotField showAll="0"/>
    <pivotField showAll="0"/>
    <pivotField showAll="0"/>
    <pivotField numFmtId="1" showAll="0"/>
    <pivotField numFmtId="2" showAll="0"/>
    <pivotField numFmtId="2" showAll="0"/>
    <pivotField dataField="1" showAll="0"/>
    <pivotField dataField="1" numFmtId="2" showAll="0">
      <items count="240">
        <item x="234"/>
        <item x="178"/>
        <item x="106"/>
        <item x="71"/>
        <item x="70"/>
        <item x="31"/>
        <item x="89"/>
        <item x="112"/>
        <item x="121"/>
        <item x="59"/>
        <item x="63"/>
        <item x="79"/>
        <item x="173"/>
        <item x="7"/>
        <item x="23"/>
        <item x="2"/>
        <item x="47"/>
        <item x="223"/>
        <item x="154"/>
        <item x="0"/>
        <item x="25"/>
        <item x="151"/>
        <item x="103"/>
        <item x="32"/>
        <item x="34"/>
        <item x="4"/>
        <item x="53"/>
        <item x="72"/>
        <item x="17"/>
        <item x="75"/>
        <item x="19"/>
        <item x="128"/>
        <item x="40"/>
        <item x="142"/>
        <item x="68"/>
        <item x="172"/>
        <item x="204"/>
        <item x="139"/>
        <item x="214"/>
        <item x="8"/>
        <item x="85"/>
        <item x="117"/>
        <item x="127"/>
        <item x="46"/>
        <item x="136"/>
        <item x="64"/>
        <item x="104"/>
        <item x="160"/>
        <item x="16"/>
        <item x="101"/>
        <item x="150"/>
        <item x="13"/>
        <item x="197"/>
        <item x="50"/>
        <item x="119"/>
        <item x="148"/>
        <item x="158"/>
        <item x="26"/>
        <item x="48"/>
        <item x="61"/>
        <item x="29"/>
        <item x="147"/>
        <item x="11"/>
        <item x="12"/>
        <item x="49"/>
        <item x="37"/>
        <item x="69"/>
        <item x="1"/>
        <item x="138"/>
        <item x="60"/>
        <item x="56"/>
        <item x="62"/>
        <item x="134"/>
        <item x="57"/>
        <item x="55"/>
        <item x="115"/>
        <item x="123"/>
        <item x="196"/>
        <item x="3"/>
        <item x="27"/>
        <item x="43"/>
        <item x="91"/>
        <item x="111"/>
        <item x="88"/>
        <item x="24"/>
        <item x="135"/>
        <item x="114"/>
        <item x="177"/>
        <item x="167"/>
        <item x="65"/>
        <item x="179"/>
        <item x="44"/>
        <item x="163"/>
        <item x="22"/>
        <item x="144"/>
        <item x="118"/>
        <item x="80"/>
        <item x="102"/>
        <item x="41"/>
        <item x="33"/>
        <item x="100"/>
        <item x="108"/>
        <item x="161"/>
        <item x="74"/>
        <item x="15"/>
        <item x="164"/>
        <item x="84"/>
        <item x="199"/>
        <item x="36"/>
        <item x="146"/>
        <item x="169"/>
        <item x="168"/>
        <item x="182"/>
        <item x="9"/>
        <item x="174"/>
        <item x="143"/>
        <item x="51"/>
        <item x="201"/>
        <item x="141"/>
        <item x="210"/>
        <item x="235"/>
        <item x="205"/>
        <item x="122"/>
        <item x="30"/>
        <item x="20"/>
        <item x="171"/>
        <item x="219"/>
        <item x="221"/>
        <item x="191"/>
        <item x="105"/>
        <item x="220"/>
        <item x="186"/>
        <item x="5"/>
        <item x="38"/>
        <item x="226"/>
        <item x="93"/>
        <item x="82"/>
        <item x="190"/>
        <item x="176"/>
        <item x="200"/>
        <item x="129"/>
        <item x="208"/>
        <item x="222"/>
        <item x="54"/>
        <item x="131"/>
        <item x="153"/>
        <item x="152"/>
        <item x="124"/>
        <item x="185"/>
        <item x="202"/>
        <item x="18"/>
        <item x="159"/>
        <item x="180"/>
        <item x="145"/>
        <item x="218"/>
        <item x="86"/>
        <item x="45"/>
        <item x="193"/>
        <item x="28"/>
        <item x="198"/>
        <item x="156"/>
        <item x="116"/>
        <item x="39"/>
        <item x="183"/>
        <item x="211"/>
        <item x="165"/>
        <item x="120"/>
        <item x="238"/>
        <item x="58"/>
        <item x="162"/>
        <item x="209"/>
        <item x="110"/>
        <item x="212"/>
        <item x="216"/>
        <item x="113"/>
        <item x="67"/>
        <item x="157"/>
        <item x="98"/>
        <item x="195"/>
        <item x="96"/>
        <item x="149"/>
        <item x="76"/>
        <item x="194"/>
        <item x="66"/>
        <item x="207"/>
        <item x="188"/>
        <item x="228"/>
        <item x="77"/>
        <item x="231"/>
        <item x="224"/>
        <item x="192"/>
        <item x="229"/>
        <item x="78"/>
        <item x="90"/>
        <item x="203"/>
        <item x="42"/>
        <item x="10"/>
        <item x="137"/>
        <item x="215"/>
        <item x="213"/>
        <item x="233"/>
        <item x="227"/>
        <item x="206"/>
        <item x="217"/>
        <item x="132"/>
        <item x="99"/>
        <item x="6"/>
        <item x="52"/>
        <item x="140"/>
        <item x="187"/>
        <item x="189"/>
        <item x="232"/>
        <item x="230"/>
        <item x="133"/>
        <item x="125"/>
        <item x="21"/>
        <item x="130"/>
        <item x="181"/>
        <item x="92"/>
        <item x="236"/>
        <item x="94"/>
        <item x="35"/>
        <item x="166"/>
        <item x="126"/>
        <item x="95"/>
        <item x="83"/>
        <item x="73"/>
        <item x="87"/>
        <item x="155"/>
        <item x="107"/>
        <item x="184"/>
        <item x="225"/>
        <item x="237"/>
        <item x="109"/>
        <item x="170"/>
        <item x="14"/>
        <item x="81"/>
        <item x="97"/>
        <item x="175"/>
        <item t="default"/>
      </items>
    </pivotField>
    <pivotField showAll="0"/>
    <pivotField dataField="1" showAll="0"/>
    <pivotField axis="axisRow" showAll="0">
      <items count="11">
        <item x="1"/>
        <item x="8"/>
        <item x="9"/>
        <item x="7"/>
        <item x="6"/>
        <item x="5"/>
        <item x="3"/>
        <item x="4"/>
        <item x="2"/>
        <item x="0"/>
        <item t="default"/>
      </items>
    </pivotField>
    <pivotField showAll="0">
      <items count="13">
        <item x="0"/>
        <item x="4"/>
        <item x="10"/>
        <item x="7"/>
        <item x="3"/>
        <item x="11"/>
        <item x="1"/>
        <item x="5"/>
        <item x="8"/>
        <item x="2"/>
        <item x="6"/>
        <item x="9"/>
        <item t="default"/>
      </items>
    </pivotField>
    <pivotField numFmtId="1" showAll="0"/>
  </pivotFields>
  <rowFields count="1">
    <field x="16"/>
  </rowFields>
  <rowItems count="11">
    <i>
      <x/>
    </i>
    <i>
      <x v="1"/>
    </i>
    <i>
      <x v="2"/>
    </i>
    <i>
      <x v="3"/>
    </i>
    <i>
      <x v="4"/>
    </i>
    <i>
      <x v="5"/>
    </i>
    <i>
      <x v="6"/>
    </i>
    <i>
      <x v="7"/>
    </i>
    <i>
      <x v="8"/>
    </i>
    <i>
      <x v="9"/>
    </i>
    <i t="grand">
      <x/>
    </i>
  </rowItems>
  <colFields count="1">
    <field x="-2"/>
  </colFields>
  <colItems count="3">
    <i>
      <x/>
    </i>
    <i i="1">
      <x v="1"/>
    </i>
    <i i="2">
      <x v="2"/>
    </i>
  </colItems>
  <dataFields count="3">
    <dataField name="Sum of Tickets" fld="12" baseField="16" baseItem="0"/>
    <dataField name="Average of First_Response_Hours" fld="13" subtotal="average" baseField="16" baseItem="0" numFmtId="2"/>
    <dataField name="Average of CSAT" fld="15" subtotal="average" baseField="16"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F608A1-95AD-4C4A-B035-F50F078A77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5:L13" firstHeaderRow="0" firstDataRow="1" firstDataCol="1"/>
  <pivotFields count="19">
    <pivotField showAll="0"/>
    <pivotField numFmtId="14" showAll="0"/>
    <pivotField showAll="0">
      <items count="3">
        <item x="0"/>
        <item x="1"/>
        <item t="default"/>
      </items>
    </pivotField>
    <pivotField showAll="0">
      <items count="17">
        <item x="4"/>
        <item x="12"/>
        <item x="14"/>
        <item x="11"/>
        <item x="6"/>
        <item x="0"/>
        <item x="7"/>
        <item x="3"/>
        <item x="10"/>
        <item x="5"/>
        <item x="2"/>
        <item x="15"/>
        <item x="8"/>
        <item x="13"/>
        <item x="1"/>
        <item x="9"/>
        <item t="default"/>
      </items>
    </pivotField>
    <pivotField showAll="0">
      <items count="6">
        <item x="0"/>
        <item x="3"/>
        <item x="4"/>
        <item x="2"/>
        <item x="1"/>
        <item t="default"/>
      </items>
    </pivotField>
    <pivotField showAll="0"/>
    <pivotField showAll="0"/>
    <pivotField showAll="0"/>
    <pivotField axis="axisRow" showAll="0">
      <items count="8">
        <item x="6"/>
        <item x="5"/>
        <item x="4"/>
        <item x="2"/>
        <item x="3"/>
        <item x="0"/>
        <item x="1"/>
        <item t="default"/>
      </items>
    </pivotField>
    <pivotField dataField="1" numFmtId="1" showAll="0"/>
    <pivotField dataField="1" numFmtId="2" showAll="0"/>
    <pivotField numFmtId="2" showAll="0"/>
    <pivotField showAll="0"/>
    <pivotField numFmtId="2" showAll="0"/>
    <pivotField showAll="0"/>
    <pivotField showAll="0"/>
    <pivotField showAll="0"/>
    <pivotField showAll="0">
      <items count="13">
        <item x="0"/>
        <item x="4"/>
        <item x="10"/>
        <item x="7"/>
        <item x="3"/>
        <item x="11"/>
        <item x="1"/>
        <item x="5"/>
        <item x="8"/>
        <item x="2"/>
        <item x="6"/>
        <item x="9"/>
        <item t="default"/>
      </items>
    </pivotField>
    <pivotField numFmtId="1" showAll="0"/>
  </pivotFields>
  <rowFields count="1">
    <field x="8"/>
  </rowFields>
  <rowItems count="8">
    <i>
      <x/>
    </i>
    <i>
      <x v="1"/>
    </i>
    <i>
      <x v="2"/>
    </i>
    <i>
      <x v="3"/>
    </i>
    <i>
      <x v="4"/>
    </i>
    <i>
      <x v="5"/>
    </i>
    <i>
      <x v="6"/>
    </i>
    <i t="grand">
      <x/>
    </i>
  </rowItems>
  <colFields count="1">
    <field x="-2"/>
  </colFields>
  <colItems count="2">
    <i>
      <x/>
    </i>
    <i i="1">
      <x v="1"/>
    </i>
  </colItems>
  <dataFields count="2">
    <dataField name="Sum of Deals" fld="9" baseField="0" baseItem="0" numFmtId="1"/>
    <dataField name="Sum of Deal_Value_INR" fld="10" baseField="0" baseItem="0" numFmtId="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325EC1-99E5-4A80-BCBB-B0044DBD69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5:G18" firstHeaderRow="1" firstDataRow="1" firstDataCol="1"/>
  <pivotFields count="19">
    <pivotField showAll="0"/>
    <pivotField numFmtId="14" showAll="0"/>
    <pivotField showAll="0">
      <items count="3">
        <item x="0"/>
        <item x="1"/>
        <item t="default"/>
      </items>
    </pivotField>
    <pivotField showAll="0">
      <items count="17">
        <item x="4"/>
        <item x="12"/>
        <item x="14"/>
        <item x="11"/>
        <item x="6"/>
        <item x="0"/>
        <item x="7"/>
        <item x="3"/>
        <item x="10"/>
        <item x="5"/>
        <item x="2"/>
        <item x="15"/>
        <item x="8"/>
        <item x="13"/>
        <item x="1"/>
        <item x="9"/>
        <item t="default"/>
      </items>
    </pivotField>
    <pivotField showAll="0">
      <items count="6">
        <item x="0"/>
        <item x="3"/>
        <item x="4"/>
        <item x="2"/>
        <item x="1"/>
        <item t="default"/>
      </items>
    </pivotField>
    <pivotField showAll="0"/>
    <pivotField showAll="0"/>
    <pivotField showAll="0"/>
    <pivotField showAll="0"/>
    <pivotField numFmtId="1" showAll="0"/>
    <pivotField numFmtId="2" showAll="0"/>
    <pivotField dataField="1" numFmtId="2" showAll="0"/>
    <pivotField showAll="0"/>
    <pivotField numFmtId="2" showAll="0"/>
    <pivotField showAll="0"/>
    <pivotField showAll="0"/>
    <pivotField showAll="0"/>
    <pivotField axis="axisRow" showAll="0">
      <items count="13">
        <item x="0"/>
        <item x="4"/>
        <item x="10"/>
        <item x="7"/>
        <item x="3"/>
        <item x="11"/>
        <item x="1"/>
        <item x="5"/>
        <item x="8"/>
        <item x="2"/>
        <item x="6"/>
        <item x="9"/>
        <item t="default"/>
      </items>
    </pivotField>
    <pivotField numFmtId="1" showAll="0"/>
  </pivotFields>
  <rowFields count="1">
    <field x="17"/>
  </rowFields>
  <rowItems count="13">
    <i>
      <x/>
    </i>
    <i>
      <x v="1"/>
    </i>
    <i>
      <x v="2"/>
    </i>
    <i>
      <x v="3"/>
    </i>
    <i>
      <x v="4"/>
    </i>
    <i>
      <x v="5"/>
    </i>
    <i>
      <x v="6"/>
    </i>
    <i>
      <x v="7"/>
    </i>
    <i>
      <x v="8"/>
    </i>
    <i>
      <x v="9"/>
    </i>
    <i>
      <x v="10"/>
    </i>
    <i>
      <x v="11"/>
    </i>
    <i t="grand">
      <x/>
    </i>
  </rowItems>
  <colItems count="1">
    <i/>
  </colItems>
  <dataFields count="1">
    <dataField name="Sum of Revenue_INR" fld="11"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863A2F-0C36-45EE-B1F3-5FBE7B904A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C22" firstHeaderRow="0" firstDataRow="1" firstDataCol="1"/>
  <pivotFields count="19">
    <pivotField showAll="0"/>
    <pivotField numFmtId="14" showAll="0"/>
    <pivotField showAll="0">
      <items count="3">
        <item x="0"/>
        <item x="1"/>
        <item t="default"/>
      </items>
    </pivotField>
    <pivotField axis="axisRow" showAll="0">
      <items count="17">
        <item x="4"/>
        <item x="12"/>
        <item x="14"/>
        <item x="11"/>
        <item x="6"/>
        <item x="0"/>
        <item x="7"/>
        <item x="3"/>
        <item x="10"/>
        <item x="5"/>
        <item x="2"/>
        <item x="15"/>
        <item x="8"/>
        <item x="13"/>
        <item x="1"/>
        <item x="9"/>
        <item t="default"/>
      </items>
    </pivotField>
    <pivotField showAll="0">
      <items count="6">
        <item x="0"/>
        <item x="3"/>
        <item x="4"/>
        <item x="2"/>
        <item x="1"/>
        <item t="default"/>
      </items>
    </pivotField>
    <pivotField showAll="0"/>
    <pivotField showAll="0"/>
    <pivotField showAll="0"/>
    <pivotField showAll="0"/>
    <pivotField dataField="1" numFmtId="1" showAll="0"/>
    <pivotField numFmtId="2" showAll="0"/>
    <pivotField dataField="1" numFmtId="2" showAll="0"/>
    <pivotField showAll="0"/>
    <pivotField numFmtId="2" showAll="0"/>
    <pivotField showAll="0"/>
    <pivotField showAll="0"/>
    <pivotField showAll="0"/>
    <pivotField showAll="0">
      <items count="13">
        <item x="0"/>
        <item x="4"/>
        <item x="10"/>
        <item x="7"/>
        <item x="3"/>
        <item x="11"/>
        <item x="1"/>
        <item x="5"/>
        <item x="8"/>
        <item x="2"/>
        <item x="6"/>
        <item x="9"/>
        <item t="default"/>
      </items>
    </pivotField>
    <pivotField numFmtId="1" showAll="0"/>
  </pivotFields>
  <rowFields count="1">
    <field x="3"/>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Revenue_INR" fld="11" baseField="0" baseItem="0" numFmtId="2"/>
    <dataField name="Sum of Deals" fld="9" baseField="0" baseItem="0" numFmtId="1"/>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DC25A660-2BE3-4281-962D-ED879F19609C}" sourceName="Team">
  <pivotTables>
    <pivotTable tabId="13" name="PivotTable5"/>
    <pivotTable tabId="13" name="PivotTable1"/>
    <pivotTable tabId="13" name="PivotTable3"/>
    <pivotTable tabId="13" name="PivotTable4"/>
    <pivotTable tabId="13" name="PivotTable6"/>
  </pivotTables>
  <data>
    <tabular pivotCacheId="17561048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CF15FB-4665-40FD-B172-C3FA6A11692E}" sourceName="Region">
  <pivotTables>
    <pivotTable tabId="13" name="PivotTable5"/>
    <pivotTable tabId="13" name="PivotTable1"/>
    <pivotTable tabId="13" name="PivotTable3"/>
    <pivotTable tabId="13" name="PivotTable4"/>
    <pivotTable tabId="13" name="PivotTable6"/>
  </pivotTables>
  <data>
    <tabular pivotCacheId="1756104899">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E8FB9-E2D8-4EB3-87CC-87C4E0719B06}" sourceName="Month">
  <pivotTables>
    <pivotTable tabId="13" name="PivotTable5"/>
    <pivotTable tabId="13" name="PivotTable1"/>
    <pivotTable tabId="13" name="PivotTable3"/>
    <pivotTable tabId="13" name="PivotTable4"/>
    <pivotTable tabId="13" name="PivotTable6"/>
  </pivotTables>
  <data>
    <tabular pivotCacheId="1756104899">
      <items count="12">
        <i x="0" s="1"/>
        <i x="4" s="1"/>
        <i x="10" s="1"/>
        <i x="7" s="1"/>
        <i x="3" s="1"/>
        <i x="11" s="1"/>
        <i x="1" s="1"/>
        <i x="5" s="1"/>
        <i x="8" s="1"/>
        <i x="2"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8F8871EC-4047-4AD7-88B9-A2FCD2D467BF}" cache="Slicer_Team" caption="Team" columnCount="2" rowHeight="234950"/>
  <slicer name="Region" xr10:uid="{6BCF1679-751E-4BEE-B9EC-58CDB860C4FF}" cache="Slicer_Region" caption="Region" columnCount="2" rowHeight="234950"/>
  <slicer name="Month" xr10:uid="{A488844D-197D-4052-AE86-B18CC9423BC6}" cache="Slicer_Month" caption="Month"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5EE4B5-9F78-4D38-A490-2A84497FE52B}" name="Table1" displayName="Table1" ref="A1:S2001" totalsRowShown="0" headerRowDxfId="22" headerRowBorderDxfId="21" tableBorderDxfId="20">
  <autoFilter ref="A1:S2001" xr:uid="{3F5EE4B5-9F78-4D38-A490-2A84497FE52B}">
    <filterColumn colId="2">
      <filters>
        <filter val="Sales"/>
      </filters>
    </filterColumn>
  </autoFilter>
  <tableColumns count="19">
    <tableColumn id="1" xr3:uid="{F62D5431-7134-449E-9B3F-C5591F52E1AF}" name="Record_ID"/>
    <tableColumn id="2" xr3:uid="{A6D7E477-E1AE-4409-840E-078F85C0555E}" name="Date" dataDxfId="19" totalsRowDxfId="18"/>
    <tableColumn id="3" xr3:uid="{C7B21B7E-22AC-4528-94CB-09ACED8EA382}" name="Team"/>
    <tableColumn id="4" xr3:uid="{A86BF7E1-6358-469E-895A-B372E5CF4DCF}" name="Owner"/>
    <tableColumn id="5" xr3:uid="{30634993-52A1-47E2-B6E1-FBAF3C80F63C}" name="Region"/>
    <tableColumn id="6" xr3:uid="{5274167A-B10C-4432-B247-C2857E1E930A}" name="Customer"/>
    <tableColumn id="7" xr3:uid="{B93EE6CC-1D30-446B-AF68-024F29D7EFFE}" name="Product"/>
    <tableColumn id="8" xr3:uid="{E69C0A41-4809-49A0-B332-AD84AEE9CFF4}" name="Lead_Source"/>
    <tableColumn id="9" xr3:uid="{3DD2F108-3C50-40E2-88FA-17884C9100EB}" name="Sales_Stage"/>
    <tableColumn id="10" xr3:uid="{B0D486B6-EED5-4831-ABEA-287B82265689}" name="Deals" dataDxfId="17" totalsRowDxfId="16"/>
    <tableColumn id="11" xr3:uid="{8BE0D94E-66DF-4918-A676-BCB1A4582735}" name="Deal_Value_INR" dataDxfId="15"/>
    <tableColumn id="12" xr3:uid="{C2C20323-053B-4B40-BD20-8B71D443F97F}" name="Revenue_INR" dataDxfId="14"/>
    <tableColumn id="13" xr3:uid="{4E7C0F1E-A5CA-4F52-98C7-25F6EB74C264}" name="Tickets" dataDxfId="13"/>
    <tableColumn id="14" xr3:uid="{C87B94D5-418C-4340-922F-9CAF15BC81E9}" name="First_Response_Hours" dataDxfId="12"/>
    <tableColumn id="15" xr3:uid="{F7C6726A-6A5F-4F15-8FFF-1F0D6CCAC127}" name="Resolution_Hours" dataDxfId="11"/>
    <tableColumn id="16" xr3:uid="{0CC21DA7-01F3-4744-A302-77B006BB51CA}" name="CSAT" dataDxfId="10"/>
    <tableColumn id="17" xr3:uid="{6348C5E7-F73E-4EA0-A645-0D89FF8F20B4}" name="Status"/>
    <tableColumn id="18" xr3:uid="{D19FA4F8-A9C7-44A8-8463-89C3EAA9F20B}" name="Month" dataDxfId="9">
      <calculatedColumnFormula>TEXT(Table1[[#This Row],[Date]],"mmm yyyy")</calculatedColumnFormula>
    </tableColumn>
    <tableColumn id="19" xr3:uid="{2BE0A16A-2AE7-4B3F-BF80-13373366AD88}" name="YEAR" dataDxfId="8">
      <calculatedColumnFormula>YEAR(Table1[[#This Row],[Date]])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D406E7-B37D-439A-8B46-BC4EB12807E6}" name="Table2" displayName="Table2" ref="A3:B20" totalsRowShown="0">
  <autoFilter ref="A3:B20" xr:uid="{D0922182-1CB2-40CC-B2E8-BE907F54ECEA}"/>
  <tableColumns count="2">
    <tableColumn id="1" xr3:uid="{061222BB-33DE-4E37-A221-04B7B54F7CEE}" name="Column Name"/>
    <tableColumn id="2" xr3:uid="{383EA27A-D1A3-4D0F-A477-3631EB0BDCCB}" name="Total Blank Cell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535CFC-1627-4E26-9DE1-B5C0621FA0F4}" name="Table6" displayName="Table6" ref="L16:M22" totalsRowShown="0">
  <autoFilter ref="L16:M22" xr:uid="{727AA3A8-2D82-4CE6-BE3D-99E278464C56}"/>
  <tableColumns count="2">
    <tableColumn id="1" xr3:uid="{0C10E7E2-50D6-432C-82BD-2AEA8D2D095A}" name="Sales Stage "/>
    <tableColumn id="2" xr3:uid="{A241DD7F-34BD-415D-A822-6F4305533A8F}" name="Record Count">
      <calculatedColumnFormula>COUNTIFS(Table1[Team],"Sales",Table1[Sales_Stage],summary!L17)</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315249-789A-4CB6-AE5B-C498EDE813D0}" name="Table14" displayName="Table14" ref="K8:L12" totalsRowShown="0">
  <autoFilter ref="K8:L12" xr:uid="{9DC3B80D-BE7A-4B5D-AF56-AAB51CB60C2E}"/>
  <tableColumns count="2">
    <tableColumn id="1" xr3:uid="{B7016447-C3F9-4924-9E5E-103CE26A34A4}" name="Support Status"/>
    <tableColumn id="2" xr3:uid="{AD7BE4CC-6CA0-4D16-AFD8-926A1D684309}" name="Record Count">
      <calculatedColumnFormula>COUNTIFS(Table1[Team],"Support",Table1[Status],Table14[[#This Row],[Support Status]])</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292BFE-89D8-4C7F-8920-960DDA89C6D1}" name="Table8" displayName="Table8" ref="H30:L38" totalsRowShown="0">
  <autoFilter ref="H30:L38" xr:uid="{D72890CB-4714-48DB-BDAA-7FA82848E444}"/>
  <tableColumns count="5">
    <tableColumn id="1" xr3:uid="{D606163C-EA6C-4184-BD0A-16EC498FE848}" name="Support Owner"/>
    <tableColumn id="2" xr3:uid="{68447C0E-3B02-4485-B6FD-9FDC9C923517}" name="Total Tickets">
      <calculatedColumnFormula>SUMIFS(Table1[Tickets],Table1[Team],"Support",Table1[Owner],H31)</calculatedColumnFormula>
    </tableColumn>
    <tableColumn id="3" xr3:uid="{CE2E0B4B-C67F-44C4-A002-05F9644783C8}" name="Avg Response Hours" dataDxfId="7">
      <calculatedColumnFormula>AVERAGEIFS(Table1[First_Response_Hours],Table1[Team],"Support",Table1[Owner],H31)</calculatedColumnFormula>
    </tableColumn>
    <tableColumn id="4" xr3:uid="{6AF06AD2-E09B-44BC-8884-5F326B86B9F6}" name="Avg Resolution Hours" dataDxfId="6">
      <calculatedColumnFormula>AVERAGEIFS(Table1[Resolution_Hours],Table1[Team],"Support",Table1[Owner],H31)</calculatedColumnFormula>
    </tableColumn>
    <tableColumn id="5" xr3:uid="{027460C9-219A-40E1-9B73-A93E849365F9}" name="Avg CSAT" dataDxfId="5">
      <calculatedColumnFormula>AVERAGEIFS(Table1[CSAT],Table1[Team],"Support",Table1[Owner],H31)</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C6DA28-85F1-42D2-8CE1-7AAD4F85C180}" name="Table5" displayName="Table5" ref="A32:B40" totalsRowShown="0">
  <autoFilter ref="A32:B40" xr:uid="{8C9E3B8E-2D7E-46E6-8F4D-2F640D832D4A}"/>
  <sortState xmlns:xlrd2="http://schemas.microsoft.com/office/spreadsheetml/2017/richdata2" ref="D14:E21">
    <sortCondition ref="E13:E21"/>
  </sortState>
  <tableColumns count="2">
    <tableColumn id="1" xr3:uid="{1818135F-384F-4506-85EE-4131A92CFFE1}" name="Owner" dataDxfId="4">
      <calculatedColumnFormula>[1]summary!J10</calculatedColumnFormula>
    </tableColumn>
    <tableColumn id="2" xr3:uid="{F1575BD4-56ED-481F-919C-31ADFB8DA319}" name="Sales Revenue" dataDxfId="3">
      <calculatedColumnFormula>SUMIFS(Table1[Revenue_INR],Table1[Team],"Sales",Table1[Owner],Table5[[#This Row],[Owner]])</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09CD56B-7CF8-49D4-BE5B-77C20BDA5D08}" name="Table9" displayName="Table9" ref="E15:F27" totalsRowShown="0">
  <autoFilter ref="E15:F27" xr:uid="{AFC4DC50-A905-4F10-9A0C-199B23A28E83}"/>
  <tableColumns count="2">
    <tableColumn id="1" xr3:uid="{A46E0C5A-3DC1-429D-8DE5-B9EA2399EB33}" name="Month" dataDxfId="2"/>
    <tableColumn id="2" xr3:uid="{91D448F1-D813-47BA-8F95-210D3F40A959}" name="Sales Revenue">
      <calculatedColumnFormula>SUMIFS(Table1[Revenue_INR],Table1[Team],"Sales",Table1[Month],E16)</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1"/>
  <sheetViews>
    <sheetView zoomScale="78" workbookViewId="0">
      <selection activeCell="C1" sqref="C1"/>
    </sheetView>
  </sheetViews>
  <sheetFormatPr defaultRowHeight="14.4" x14ac:dyDescent="0.3"/>
  <cols>
    <col min="1" max="1" width="9.6640625" bestFit="1" customWidth="1"/>
    <col min="2" max="2" width="19.21875" bestFit="1" customWidth="1"/>
    <col min="3" max="3" width="7.5546875" bestFit="1" customWidth="1"/>
    <col min="4" max="4" width="7.109375" bestFit="1" customWidth="1"/>
    <col min="5" max="5" width="6.77734375" bestFit="1" customWidth="1"/>
    <col min="6" max="6" width="12.77734375" bestFit="1" customWidth="1"/>
    <col min="7" max="7" width="13.21875" bestFit="1" customWidth="1"/>
    <col min="8" max="8" width="11.77734375" bestFit="1" customWidth="1"/>
    <col min="9" max="9" width="14.6640625" bestFit="1" customWidth="1"/>
    <col min="10" max="10" width="5.6640625" bestFit="1" customWidth="1"/>
    <col min="11" max="11" width="14.5546875" bestFit="1" customWidth="1"/>
    <col min="12" max="12" width="12.33203125" bestFit="1" customWidth="1"/>
    <col min="13" max="13" width="6.77734375" bestFit="1" customWidth="1"/>
    <col min="14" max="14" width="20.109375" bestFit="1" customWidth="1"/>
    <col min="15" max="15" width="15.88671875" bestFit="1" customWidth="1"/>
    <col min="16" max="16" width="5.33203125" bestFit="1" customWidth="1"/>
    <col min="17" max="17" width="14.664062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s="2">
        <v>46120</v>
      </c>
      <c r="C2" t="s">
        <v>18</v>
      </c>
      <c r="D2" t="s">
        <v>19</v>
      </c>
      <c r="E2" t="s">
        <v>20</v>
      </c>
      <c r="F2" t="s">
        <v>21</v>
      </c>
      <c r="G2" t="s">
        <v>22</v>
      </c>
      <c r="H2" t="s">
        <v>23</v>
      </c>
      <c r="I2" t="s">
        <v>24</v>
      </c>
      <c r="J2">
        <v>1</v>
      </c>
      <c r="K2">
        <v>67500</v>
      </c>
      <c r="L2">
        <v>67500</v>
      </c>
      <c r="N2">
        <v>2</v>
      </c>
      <c r="Q2" t="s">
        <v>24</v>
      </c>
    </row>
    <row r="3" spans="1:17" x14ac:dyDescent="0.3">
      <c r="A3" t="s">
        <v>25</v>
      </c>
      <c r="B3" s="2">
        <v>46201</v>
      </c>
      <c r="C3" t="s">
        <v>26</v>
      </c>
      <c r="D3" t="s">
        <v>27</v>
      </c>
      <c r="E3" t="s">
        <v>28</v>
      </c>
      <c r="F3" t="s">
        <v>29</v>
      </c>
      <c r="G3" t="s">
        <v>30</v>
      </c>
      <c r="J3">
        <v>0</v>
      </c>
      <c r="K3">
        <v>0</v>
      </c>
      <c r="L3">
        <v>0</v>
      </c>
      <c r="M3">
        <v>1</v>
      </c>
      <c r="N3">
        <v>6.8</v>
      </c>
      <c r="O3">
        <v>3.1</v>
      </c>
      <c r="P3">
        <v>3.9</v>
      </c>
      <c r="Q3" t="s">
        <v>31</v>
      </c>
    </row>
    <row r="4" spans="1:17" x14ac:dyDescent="0.3">
      <c r="A4" t="s">
        <v>32</v>
      </c>
      <c r="B4" s="2">
        <v>45970</v>
      </c>
      <c r="C4" t="s">
        <v>26</v>
      </c>
      <c r="D4" t="s">
        <v>33</v>
      </c>
      <c r="E4" t="s">
        <v>28</v>
      </c>
      <c r="F4" t="s">
        <v>34</v>
      </c>
      <c r="G4" t="s">
        <v>30</v>
      </c>
      <c r="J4">
        <v>0</v>
      </c>
      <c r="K4">
        <v>0</v>
      </c>
      <c r="L4">
        <v>0</v>
      </c>
      <c r="M4">
        <v>1</v>
      </c>
      <c r="N4">
        <v>1.6</v>
      </c>
      <c r="O4">
        <v>6.2</v>
      </c>
      <c r="P4">
        <v>3.3</v>
      </c>
      <c r="Q4" t="s">
        <v>31</v>
      </c>
    </row>
    <row r="5" spans="1:17" x14ac:dyDescent="0.3">
      <c r="A5" t="s">
        <v>35</v>
      </c>
      <c r="B5" s="2">
        <v>46042</v>
      </c>
      <c r="C5" t="s">
        <v>26</v>
      </c>
      <c r="D5" t="s">
        <v>36</v>
      </c>
      <c r="E5" t="s">
        <v>37</v>
      </c>
      <c r="F5" t="s">
        <v>38</v>
      </c>
      <c r="G5" t="s">
        <v>22</v>
      </c>
      <c r="J5">
        <v>0</v>
      </c>
      <c r="K5">
        <v>0</v>
      </c>
      <c r="L5">
        <v>0</v>
      </c>
      <c r="M5">
        <v>1</v>
      </c>
      <c r="N5">
        <v>7.9</v>
      </c>
      <c r="O5">
        <v>8.9</v>
      </c>
      <c r="P5">
        <v>4.8</v>
      </c>
      <c r="Q5" t="s">
        <v>39</v>
      </c>
    </row>
    <row r="6" spans="1:17" x14ac:dyDescent="0.3">
      <c r="A6" t="s">
        <v>40</v>
      </c>
      <c r="B6" s="2">
        <v>46245</v>
      </c>
      <c r="C6" t="s">
        <v>18</v>
      </c>
      <c r="D6" t="s">
        <v>41</v>
      </c>
      <c r="E6" t="s">
        <v>42</v>
      </c>
      <c r="F6" t="s">
        <v>43</v>
      </c>
      <c r="G6" t="s">
        <v>44</v>
      </c>
      <c r="H6" t="s">
        <v>23</v>
      </c>
      <c r="I6" t="s">
        <v>45</v>
      </c>
      <c r="J6">
        <v>1</v>
      </c>
      <c r="K6">
        <v>8000</v>
      </c>
      <c r="L6">
        <v>0</v>
      </c>
      <c r="N6">
        <v>2.6</v>
      </c>
      <c r="Q6" t="s">
        <v>45</v>
      </c>
    </row>
    <row r="7" spans="1:17" x14ac:dyDescent="0.3">
      <c r="A7" t="s">
        <v>46</v>
      </c>
      <c r="B7" s="2">
        <v>45986</v>
      </c>
      <c r="C7" t="s">
        <v>18</v>
      </c>
      <c r="D7" t="s">
        <v>47</v>
      </c>
      <c r="E7" t="s">
        <v>48</v>
      </c>
      <c r="F7" t="s">
        <v>49</v>
      </c>
      <c r="G7" t="s">
        <v>50</v>
      </c>
      <c r="H7" t="s">
        <v>23</v>
      </c>
      <c r="I7" t="s">
        <v>24</v>
      </c>
      <c r="J7">
        <v>1</v>
      </c>
      <c r="K7">
        <v>25100</v>
      </c>
      <c r="L7">
        <v>25100</v>
      </c>
      <c r="N7">
        <v>13.3</v>
      </c>
      <c r="Q7" t="s">
        <v>24</v>
      </c>
    </row>
    <row r="8" spans="1:17" x14ac:dyDescent="0.3">
      <c r="A8" t="s">
        <v>51</v>
      </c>
      <c r="B8" s="2">
        <v>46098</v>
      </c>
      <c r="C8" t="s">
        <v>18</v>
      </c>
      <c r="D8" t="s">
        <v>52</v>
      </c>
      <c r="E8" t="s">
        <v>28</v>
      </c>
      <c r="F8" t="s">
        <v>53</v>
      </c>
      <c r="G8" t="s">
        <v>22</v>
      </c>
      <c r="H8" t="s">
        <v>54</v>
      </c>
      <c r="I8" t="s">
        <v>55</v>
      </c>
      <c r="J8">
        <v>1</v>
      </c>
      <c r="K8">
        <v>16700</v>
      </c>
      <c r="L8">
        <v>0</v>
      </c>
      <c r="N8">
        <v>20.8</v>
      </c>
      <c r="Q8" t="s">
        <v>55</v>
      </c>
    </row>
    <row r="9" spans="1:17" x14ac:dyDescent="0.3">
      <c r="A9" t="s">
        <v>56</v>
      </c>
      <c r="B9" s="2">
        <v>46025</v>
      </c>
      <c r="C9" t="s">
        <v>26</v>
      </c>
      <c r="D9" t="s">
        <v>33</v>
      </c>
      <c r="E9" t="s">
        <v>37</v>
      </c>
      <c r="F9" t="s">
        <v>57</v>
      </c>
      <c r="G9" t="s">
        <v>44</v>
      </c>
      <c r="J9">
        <v>0</v>
      </c>
      <c r="K9">
        <v>0</v>
      </c>
      <c r="L9">
        <v>0</v>
      </c>
      <c r="M9">
        <v>1</v>
      </c>
      <c r="N9">
        <v>1.4</v>
      </c>
      <c r="O9">
        <v>7.3</v>
      </c>
      <c r="P9">
        <v>4.2</v>
      </c>
      <c r="Q9" t="s">
        <v>31</v>
      </c>
    </row>
    <row r="10" spans="1:17" x14ac:dyDescent="0.3">
      <c r="A10" t="s">
        <v>58</v>
      </c>
      <c r="B10" s="2">
        <v>45949</v>
      </c>
      <c r="C10" t="s">
        <v>26</v>
      </c>
      <c r="D10" t="s">
        <v>36</v>
      </c>
      <c r="E10" t="s">
        <v>20</v>
      </c>
      <c r="F10" t="s">
        <v>59</v>
      </c>
      <c r="G10" t="s">
        <v>22</v>
      </c>
      <c r="J10">
        <v>0</v>
      </c>
      <c r="K10">
        <v>0</v>
      </c>
      <c r="L10">
        <v>0</v>
      </c>
      <c r="M10">
        <v>1</v>
      </c>
      <c r="N10">
        <v>4</v>
      </c>
      <c r="O10">
        <v>21.2</v>
      </c>
      <c r="P10">
        <v>4.2</v>
      </c>
      <c r="Q10" t="s">
        <v>39</v>
      </c>
    </row>
    <row r="11" spans="1:17" x14ac:dyDescent="0.3">
      <c r="A11" t="s">
        <v>60</v>
      </c>
      <c r="B11" s="2">
        <v>46113</v>
      </c>
      <c r="C11" t="s">
        <v>26</v>
      </c>
      <c r="D11" t="s">
        <v>27</v>
      </c>
      <c r="E11" t="s">
        <v>37</v>
      </c>
      <c r="F11" t="s">
        <v>61</v>
      </c>
      <c r="G11" t="s">
        <v>22</v>
      </c>
      <c r="J11">
        <v>0</v>
      </c>
      <c r="K11">
        <v>0</v>
      </c>
      <c r="L11">
        <v>0</v>
      </c>
      <c r="M11">
        <v>1</v>
      </c>
      <c r="N11">
        <v>11.4</v>
      </c>
      <c r="O11">
        <v>9.5</v>
      </c>
      <c r="P11">
        <v>5</v>
      </c>
      <c r="Q11" t="s">
        <v>62</v>
      </c>
    </row>
    <row r="12" spans="1:17" x14ac:dyDescent="0.3">
      <c r="A12" t="s">
        <v>63</v>
      </c>
      <c r="B12" s="2">
        <v>45966</v>
      </c>
      <c r="C12" t="s">
        <v>18</v>
      </c>
      <c r="D12" t="s">
        <v>64</v>
      </c>
      <c r="E12" t="s">
        <v>20</v>
      </c>
      <c r="F12" t="s">
        <v>65</v>
      </c>
      <c r="G12" t="s">
        <v>30</v>
      </c>
      <c r="H12" t="s">
        <v>66</v>
      </c>
      <c r="I12" t="s">
        <v>67</v>
      </c>
      <c r="J12">
        <v>1</v>
      </c>
      <c r="K12">
        <v>27600</v>
      </c>
      <c r="L12">
        <v>0</v>
      </c>
      <c r="N12">
        <v>19.8</v>
      </c>
      <c r="Q12" t="s">
        <v>67</v>
      </c>
    </row>
    <row r="13" spans="1:17" x14ac:dyDescent="0.3">
      <c r="A13" t="s">
        <v>68</v>
      </c>
      <c r="B13" s="2">
        <v>46078</v>
      </c>
      <c r="C13" t="s">
        <v>26</v>
      </c>
      <c r="D13" t="s">
        <v>69</v>
      </c>
      <c r="E13" t="s">
        <v>20</v>
      </c>
      <c r="F13" t="s">
        <v>70</v>
      </c>
      <c r="G13" t="s">
        <v>22</v>
      </c>
      <c r="J13">
        <v>0</v>
      </c>
      <c r="K13">
        <v>0</v>
      </c>
      <c r="L13">
        <v>0</v>
      </c>
      <c r="M13">
        <v>1</v>
      </c>
      <c r="N13">
        <v>6.3</v>
      </c>
      <c r="O13">
        <v>13.4</v>
      </c>
      <c r="P13">
        <v>3.5</v>
      </c>
      <c r="Q13" t="s">
        <v>62</v>
      </c>
    </row>
    <row r="14" spans="1:17" x14ac:dyDescent="0.3">
      <c r="A14" t="s">
        <v>71</v>
      </c>
      <c r="B14" s="2">
        <v>45985</v>
      </c>
      <c r="C14" t="s">
        <v>26</v>
      </c>
      <c r="D14" t="s">
        <v>72</v>
      </c>
      <c r="E14" t="s">
        <v>20</v>
      </c>
      <c r="F14" t="s">
        <v>73</v>
      </c>
      <c r="G14" t="s">
        <v>50</v>
      </c>
      <c r="J14">
        <v>0</v>
      </c>
      <c r="K14">
        <v>0</v>
      </c>
      <c r="L14">
        <v>0</v>
      </c>
      <c r="M14">
        <v>1</v>
      </c>
      <c r="N14">
        <v>6.4</v>
      </c>
      <c r="O14">
        <v>10.1</v>
      </c>
      <c r="P14">
        <v>3.6</v>
      </c>
      <c r="Q14" t="s">
        <v>31</v>
      </c>
    </row>
    <row r="15" spans="1:17" x14ac:dyDescent="0.3">
      <c r="A15" t="s">
        <v>74</v>
      </c>
      <c r="B15" s="2">
        <v>46163</v>
      </c>
      <c r="C15" t="s">
        <v>18</v>
      </c>
      <c r="D15" t="s">
        <v>64</v>
      </c>
      <c r="E15" t="s">
        <v>48</v>
      </c>
      <c r="F15" t="s">
        <v>75</v>
      </c>
      <c r="G15" t="s">
        <v>50</v>
      </c>
      <c r="H15" t="s">
        <v>23</v>
      </c>
      <c r="I15" t="s">
        <v>55</v>
      </c>
      <c r="J15">
        <v>1</v>
      </c>
      <c r="K15">
        <v>11700</v>
      </c>
      <c r="L15">
        <v>0</v>
      </c>
      <c r="N15">
        <v>5.2</v>
      </c>
      <c r="Q15" t="s">
        <v>55</v>
      </c>
    </row>
    <row r="16" spans="1:17" x14ac:dyDescent="0.3">
      <c r="A16" t="s">
        <v>76</v>
      </c>
      <c r="B16" s="2">
        <v>45908</v>
      </c>
      <c r="C16" t="s">
        <v>18</v>
      </c>
      <c r="D16" t="s">
        <v>64</v>
      </c>
      <c r="E16" t="s">
        <v>28</v>
      </c>
      <c r="F16" t="s">
        <v>77</v>
      </c>
      <c r="G16" t="s">
        <v>44</v>
      </c>
      <c r="H16" t="s">
        <v>78</v>
      </c>
      <c r="I16" t="s">
        <v>79</v>
      </c>
      <c r="J16">
        <v>1</v>
      </c>
      <c r="K16">
        <v>11600</v>
      </c>
      <c r="L16">
        <v>0</v>
      </c>
      <c r="N16">
        <v>23.7</v>
      </c>
      <c r="Q16" t="s">
        <v>79</v>
      </c>
    </row>
    <row r="17" spans="1:17" x14ac:dyDescent="0.3">
      <c r="A17" t="s">
        <v>80</v>
      </c>
      <c r="B17" s="2">
        <v>46009</v>
      </c>
      <c r="C17" t="s">
        <v>18</v>
      </c>
      <c r="D17" t="s">
        <v>19</v>
      </c>
      <c r="E17" t="s">
        <v>42</v>
      </c>
      <c r="F17" t="s">
        <v>81</v>
      </c>
      <c r="G17" t="s">
        <v>22</v>
      </c>
      <c r="H17" t="s">
        <v>54</v>
      </c>
      <c r="I17" t="s">
        <v>79</v>
      </c>
      <c r="J17">
        <v>1</v>
      </c>
      <c r="K17">
        <v>51900</v>
      </c>
      <c r="L17">
        <v>0</v>
      </c>
      <c r="N17">
        <v>10.5</v>
      </c>
      <c r="Q17" t="s">
        <v>79</v>
      </c>
    </row>
    <row r="18" spans="1:17" x14ac:dyDescent="0.3">
      <c r="A18" t="s">
        <v>82</v>
      </c>
      <c r="B18" s="2">
        <v>46147</v>
      </c>
      <c r="C18" t="s">
        <v>18</v>
      </c>
      <c r="D18" t="s">
        <v>64</v>
      </c>
      <c r="E18" t="s">
        <v>20</v>
      </c>
      <c r="F18" t="s">
        <v>83</v>
      </c>
      <c r="G18" t="s">
        <v>44</v>
      </c>
      <c r="H18" t="s">
        <v>78</v>
      </c>
      <c r="I18" t="s">
        <v>79</v>
      </c>
      <c r="J18">
        <v>1</v>
      </c>
      <c r="K18">
        <v>25500</v>
      </c>
      <c r="L18">
        <v>0</v>
      </c>
      <c r="N18">
        <v>4.9000000000000004</v>
      </c>
      <c r="Q18" t="s">
        <v>79</v>
      </c>
    </row>
    <row r="19" spans="1:17" x14ac:dyDescent="0.3">
      <c r="A19" t="s">
        <v>84</v>
      </c>
      <c r="B19" s="2">
        <v>46165</v>
      </c>
      <c r="C19" t="s">
        <v>18</v>
      </c>
      <c r="D19" t="s">
        <v>19</v>
      </c>
      <c r="E19" t="s">
        <v>28</v>
      </c>
      <c r="F19" t="s">
        <v>85</v>
      </c>
      <c r="G19" t="s">
        <v>22</v>
      </c>
      <c r="H19" t="s">
        <v>86</v>
      </c>
      <c r="I19" t="s">
        <v>45</v>
      </c>
      <c r="J19">
        <v>1</v>
      </c>
      <c r="K19">
        <v>16900</v>
      </c>
      <c r="L19">
        <v>0</v>
      </c>
      <c r="N19">
        <v>19.8</v>
      </c>
      <c r="Q19" t="s">
        <v>45</v>
      </c>
    </row>
    <row r="20" spans="1:17" x14ac:dyDescent="0.3">
      <c r="A20" t="s">
        <v>87</v>
      </c>
      <c r="B20" s="2">
        <v>46264</v>
      </c>
      <c r="C20" t="s">
        <v>18</v>
      </c>
      <c r="D20" t="s">
        <v>19</v>
      </c>
      <c r="E20" t="s">
        <v>20</v>
      </c>
      <c r="F20" t="s">
        <v>88</v>
      </c>
      <c r="G20" t="s">
        <v>22</v>
      </c>
      <c r="H20" t="s">
        <v>86</v>
      </c>
      <c r="I20" t="s">
        <v>89</v>
      </c>
      <c r="J20">
        <v>1</v>
      </c>
      <c r="K20">
        <v>41400</v>
      </c>
      <c r="L20">
        <v>0</v>
      </c>
      <c r="N20">
        <v>2.9</v>
      </c>
      <c r="Q20" t="s">
        <v>89</v>
      </c>
    </row>
    <row r="21" spans="1:17" x14ac:dyDescent="0.3">
      <c r="A21" t="s">
        <v>90</v>
      </c>
      <c r="B21" s="2">
        <v>46063</v>
      </c>
      <c r="C21" t="s">
        <v>18</v>
      </c>
      <c r="D21" t="s">
        <v>64</v>
      </c>
      <c r="E21" t="s">
        <v>20</v>
      </c>
      <c r="F21" t="s">
        <v>91</v>
      </c>
      <c r="G21" t="s">
        <v>44</v>
      </c>
      <c r="H21" t="s">
        <v>78</v>
      </c>
      <c r="I21" t="s">
        <v>24</v>
      </c>
      <c r="J21">
        <v>1</v>
      </c>
      <c r="K21">
        <v>33200</v>
      </c>
      <c r="L21">
        <v>33200</v>
      </c>
      <c r="N21">
        <v>15.1</v>
      </c>
      <c r="Q21" t="s">
        <v>24</v>
      </c>
    </row>
    <row r="22" spans="1:17" x14ac:dyDescent="0.3">
      <c r="A22" t="s">
        <v>92</v>
      </c>
      <c r="B22" s="2">
        <v>46050</v>
      </c>
      <c r="C22" t="s">
        <v>26</v>
      </c>
      <c r="D22" t="s">
        <v>69</v>
      </c>
      <c r="E22" t="s">
        <v>37</v>
      </c>
      <c r="F22" t="s">
        <v>93</v>
      </c>
      <c r="G22" t="s">
        <v>44</v>
      </c>
      <c r="J22">
        <v>0</v>
      </c>
      <c r="K22">
        <v>0</v>
      </c>
      <c r="L22">
        <v>0</v>
      </c>
      <c r="M22">
        <v>1</v>
      </c>
      <c r="N22">
        <v>3.1</v>
      </c>
      <c r="O22">
        <v>4.8</v>
      </c>
      <c r="P22">
        <v>3.9</v>
      </c>
      <c r="Q22" t="s">
        <v>39</v>
      </c>
    </row>
    <row r="23" spans="1:17" x14ac:dyDescent="0.3">
      <c r="A23" t="s">
        <v>94</v>
      </c>
      <c r="B23" s="2">
        <v>45947</v>
      </c>
      <c r="C23" t="s">
        <v>18</v>
      </c>
      <c r="D23" t="s">
        <v>95</v>
      </c>
      <c r="E23" t="s">
        <v>20</v>
      </c>
      <c r="F23" t="s">
        <v>96</v>
      </c>
      <c r="G23" t="s">
        <v>44</v>
      </c>
      <c r="H23" t="s">
        <v>23</v>
      </c>
      <c r="I23" t="s">
        <v>89</v>
      </c>
      <c r="J23">
        <v>1</v>
      </c>
      <c r="K23">
        <v>61800</v>
      </c>
      <c r="L23">
        <v>0</v>
      </c>
      <c r="N23">
        <v>12.5</v>
      </c>
      <c r="Q23" t="s">
        <v>89</v>
      </c>
    </row>
    <row r="24" spans="1:17" x14ac:dyDescent="0.3">
      <c r="A24" t="s">
        <v>97</v>
      </c>
      <c r="B24" s="2">
        <v>46194</v>
      </c>
      <c r="C24" t="s">
        <v>18</v>
      </c>
      <c r="D24" t="s">
        <v>64</v>
      </c>
      <c r="E24" t="s">
        <v>20</v>
      </c>
      <c r="F24" t="s">
        <v>81</v>
      </c>
      <c r="G24" t="s">
        <v>30</v>
      </c>
      <c r="H24" t="s">
        <v>86</v>
      </c>
      <c r="I24" t="s">
        <v>24</v>
      </c>
      <c r="J24">
        <v>1</v>
      </c>
      <c r="K24">
        <v>47100</v>
      </c>
      <c r="L24">
        <v>47100</v>
      </c>
      <c r="N24">
        <v>21.7</v>
      </c>
      <c r="Q24" t="s">
        <v>24</v>
      </c>
    </row>
    <row r="25" spans="1:17" x14ac:dyDescent="0.3">
      <c r="A25" t="s">
        <v>98</v>
      </c>
      <c r="B25" s="2">
        <v>45939</v>
      </c>
      <c r="C25" t="s">
        <v>18</v>
      </c>
      <c r="D25" t="s">
        <v>52</v>
      </c>
      <c r="E25" t="s">
        <v>28</v>
      </c>
      <c r="F25" t="s">
        <v>99</v>
      </c>
      <c r="G25" t="s">
        <v>50</v>
      </c>
      <c r="H25" t="s">
        <v>54</v>
      </c>
      <c r="I25" t="s">
        <v>55</v>
      </c>
      <c r="J25">
        <v>1</v>
      </c>
      <c r="K25">
        <v>16600</v>
      </c>
      <c r="L25">
        <v>0</v>
      </c>
      <c r="N25">
        <v>9.4</v>
      </c>
      <c r="Q25" t="s">
        <v>55</v>
      </c>
    </row>
    <row r="26" spans="1:17" x14ac:dyDescent="0.3">
      <c r="A26" t="s">
        <v>100</v>
      </c>
      <c r="B26" s="2">
        <v>46042</v>
      </c>
      <c r="C26" t="s">
        <v>18</v>
      </c>
      <c r="D26" t="s">
        <v>64</v>
      </c>
      <c r="E26" t="s">
        <v>28</v>
      </c>
      <c r="F26" t="s">
        <v>101</v>
      </c>
      <c r="G26" t="s">
        <v>22</v>
      </c>
      <c r="H26" t="s">
        <v>66</v>
      </c>
      <c r="I26" t="s">
        <v>45</v>
      </c>
      <c r="J26">
        <v>1</v>
      </c>
      <c r="K26">
        <v>9400</v>
      </c>
      <c r="L26">
        <v>0</v>
      </c>
      <c r="N26">
        <v>1.5</v>
      </c>
      <c r="Q26" t="s">
        <v>45</v>
      </c>
    </row>
    <row r="27" spans="1:17" x14ac:dyDescent="0.3">
      <c r="A27" t="s">
        <v>102</v>
      </c>
      <c r="B27" s="2">
        <v>46244</v>
      </c>
      <c r="C27" t="s">
        <v>26</v>
      </c>
      <c r="D27" t="s">
        <v>72</v>
      </c>
      <c r="E27" t="s">
        <v>20</v>
      </c>
      <c r="F27" t="s">
        <v>103</v>
      </c>
      <c r="G27" t="s">
        <v>22</v>
      </c>
      <c r="J27">
        <v>0</v>
      </c>
      <c r="K27">
        <v>0</v>
      </c>
      <c r="L27">
        <v>0</v>
      </c>
      <c r="M27">
        <v>1</v>
      </c>
      <c r="N27">
        <v>8.5</v>
      </c>
      <c r="O27">
        <v>10.199999999999999</v>
      </c>
      <c r="P27">
        <v>4.7</v>
      </c>
      <c r="Q27" t="s">
        <v>31</v>
      </c>
    </row>
    <row r="28" spans="1:17" x14ac:dyDescent="0.3">
      <c r="A28" t="s">
        <v>104</v>
      </c>
      <c r="B28" s="2">
        <v>46106</v>
      </c>
      <c r="C28" t="s">
        <v>18</v>
      </c>
      <c r="D28" t="s">
        <v>105</v>
      </c>
      <c r="E28" t="s">
        <v>37</v>
      </c>
      <c r="F28" t="s">
        <v>106</v>
      </c>
      <c r="G28" t="s">
        <v>30</v>
      </c>
      <c r="H28" t="s">
        <v>78</v>
      </c>
      <c r="I28" t="s">
        <v>45</v>
      </c>
      <c r="J28">
        <v>1</v>
      </c>
      <c r="K28">
        <v>16600</v>
      </c>
      <c r="L28">
        <v>0</v>
      </c>
      <c r="N28">
        <v>2.1</v>
      </c>
      <c r="Q28" t="s">
        <v>45</v>
      </c>
    </row>
    <row r="29" spans="1:17" x14ac:dyDescent="0.3">
      <c r="A29" t="s">
        <v>107</v>
      </c>
      <c r="B29" s="2">
        <v>46186</v>
      </c>
      <c r="C29" t="s">
        <v>18</v>
      </c>
      <c r="D29" t="s">
        <v>47</v>
      </c>
      <c r="E29" t="s">
        <v>20</v>
      </c>
      <c r="F29" t="s">
        <v>108</v>
      </c>
      <c r="G29" t="s">
        <v>44</v>
      </c>
      <c r="H29" t="s">
        <v>23</v>
      </c>
      <c r="I29" t="s">
        <v>55</v>
      </c>
      <c r="J29">
        <v>1</v>
      </c>
      <c r="K29">
        <v>17800</v>
      </c>
      <c r="L29">
        <v>0</v>
      </c>
      <c r="N29">
        <v>5.8</v>
      </c>
      <c r="Q29" t="s">
        <v>55</v>
      </c>
    </row>
    <row r="30" spans="1:17" x14ac:dyDescent="0.3">
      <c r="A30" t="s">
        <v>109</v>
      </c>
      <c r="B30" s="2">
        <v>46234</v>
      </c>
      <c r="C30" t="s">
        <v>26</v>
      </c>
      <c r="D30" t="s">
        <v>27</v>
      </c>
      <c r="E30" t="s">
        <v>37</v>
      </c>
      <c r="F30" t="s">
        <v>110</v>
      </c>
      <c r="G30" t="s">
        <v>50</v>
      </c>
      <c r="J30">
        <v>0</v>
      </c>
      <c r="K30">
        <v>0</v>
      </c>
      <c r="L30">
        <v>0</v>
      </c>
      <c r="M30">
        <v>1</v>
      </c>
      <c r="N30">
        <v>8</v>
      </c>
      <c r="O30">
        <v>8.5</v>
      </c>
      <c r="P30">
        <v>4.8</v>
      </c>
      <c r="Q30" t="s">
        <v>39</v>
      </c>
    </row>
    <row r="31" spans="1:17" x14ac:dyDescent="0.3">
      <c r="A31" t="s">
        <v>111</v>
      </c>
      <c r="B31" s="2">
        <v>46083</v>
      </c>
      <c r="C31" t="s">
        <v>18</v>
      </c>
      <c r="D31" t="s">
        <v>41</v>
      </c>
      <c r="E31" t="s">
        <v>48</v>
      </c>
      <c r="F31" t="s">
        <v>112</v>
      </c>
      <c r="G31" t="s">
        <v>30</v>
      </c>
      <c r="H31" t="s">
        <v>23</v>
      </c>
      <c r="I31" t="s">
        <v>89</v>
      </c>
      <c r="J31">
        <v>1</v>
      </c>
      <c r="K31">
        <v>28700</v>
      </c>
      <c r="L31">
        <v>0</v>
      </c>
      <c r="N31">
        <v>16</v>
      </c>
      <c r="Q31" t="s">
        <v>89</v>
      </c>
    </row>
    <row r="32" spans="1:17" x14ac:dyDescent="0.3">
      <c r="A32" t="s">
        <v>113</v>
      </c>
      <c r="B32" s="2">
        <v>46204</v>
      </c>
      <c r="C32" t="s">
        <v>26</v>
      </c>
      <c r="D32" t="s">
        <v>114</v>
      </c>
      <c r="E32" t="s">
        <v>28</v>
      </c>
      <c r="F32" t="s">
        <v>115</v>
      </c>
      <c r="G32" t="s">
        <v>44</v>
      </c>
      <c r="J32">
        <v>0</v>
      </c>
      <c r="K32">
        <v>0</v>
      </c>
      <c r="L32">
        <v>0</v>
      </c>
      <c r="M32">
        <v>1</v>
      </c>
      <c r="N32">
        <v>6.4</v>
      </c>
      <c r="O32">
        <v>3.6</v>
      </c>
      <c r="P32">
        <v>5</v>
      </c>
      <c r="Q32" t="s">
        <v>39</v>
      </c>
    </row>
    <row r="33" spans="1:17" x14ac:dyDescent="0.3">
      <c r="A33" t="s">
        <v>116</v>
      </c>
      <c r="B33" s="2">
        <v>46208</v>
      </c>
      <c r="C33" t="s">
        <v>18</v>
      </c>
      <c r="D33" t="s">
        <v>117</v>
      </c>
      <c r="E33" t="s">
        <v>20</v>
      </c>
      <c r="F33" t="s">
        <v>118</v>
      </c>
      <c r="G33" t="s">
        <v>30</v>
      </c>
      <c r="H33" t="s">
        <v>54</v>
      </c>
      <c r="I33" t="s">
        <v>24</v>
      </c>
      <c r="J33">
        <v>1</v>
      </c>
      <c r="K33">
        <v>20300</v>
      </c>
      <c r="L33">
        <v>20300</v>
      </c>
      <c r="N33">
        <v>6.1</v>
      </c>
      <c r="Q33" t="s">
        <v>24</v>
      </c>
    </row>
    <row r="34" spans="1:17" x14ac:dyDescent="0.3">
      <c r="A34" t="s">
        <v>119</v>
      </c>
      <c r="B34" s="2">
        <v>46248</v>
      </c>
      <c r="C34" t="s">
        <v>18</v>
      </c>
      <c r="D34" t="s">
        <v>95</v>
      </c>
      <c r="E34" t="s">
        <v>20</v>
      </c>
      <c r="F34" t="s">
        <v>120</v>
      </c>
      <c r="G34" t="s">
        <v>44</v>
      </c>
      <c r="H34" t="s">
        <v>78</v>
      </c>
      <c r="I34" t="s">
        <v>79</v>
      </c>
      <c r="J34">
        <v>1</v>
      </c>
      <c r="K34">
        <v>66800</v>
      </c>
      <c r="L34">
        <v>0</v>
      </c>
      <c r="N34">
        <v>12.4</v>
      </c>
      <c r="Q34" t="s">
        <v>79</v>
      </c>
    </row>
    <row r="35" spans="1:17" x14ac:dyDescent="0.3">
      <c r="A35" t="s">
        <v>121</v>
      </c>
      <c r="B35" s="2">
        <v>45987</v>
      </c>
      <c r="C35" t="s">
        <v>26</v>
      </c>
      <c r="D35" t="s">
        <v>114</v>
      </c>
      <c r="E35" t="s">
        <v>20</v>
      </c>
      <c r="F35" t="s">
        <v>122</v>
      </c>
      <c r="G35" t="s">
        <v>22</v>
      </c>
      <c r="J35">
        <v>0</v>
      </c>
      <c r="K35">
        <v>0</v>
      </c>
      <c r="L35">
        <v>0</v>
      </c>
      <c r="M35">
        <v>1</v>
      </c>
      <c r="N35">
        <v>0.6</v>
      </c>
      <c r="O35">
        <v>12.5</v>
      </c>
      <c r="P35">
        <v>4.5999999999999996</v>
      </c>
      <c r="Q35" t="s">
        <v>39</v>
      </c>
    </row>
    <row r="36" spans="1:17" x14ac:dyDescent="0.3">
      <c r="A36" t="s">
        <v>123</v>
      </c>
      <c r="B36" s="2">
        <v>46262</v>
      </c>
      <c r="C36" t="s">
        <v>26</v>
      </c>
      <c r="D36" t="s">
        <v>36</v>
      </c>
      <c r="E36" t="s">
        <v>42</v>
      </c>
      <c r="F36" t="s">
        <v>124</v>
      </c>
      <c r="G36" t="s">
        <v>30</v>
      </c>
      <c r="J36">
        <v>0</v>
      </c>
      <c r="K36">
        <v>0</v>
      </c>
      <c r="L36">
        <v>0</v>
      </c>
      <c r="M36">
        <v>1</v>
      </c>
      <c r="N36">
        <v>2.4</v>
      </c>
      <c r="O36">
        <v>2.8</v>
      </c>
      <c r="P36">
        <v>4.3</v>
      </c>
      <c r="Q36" t="s">
        <v>39</v>
      </c>
    </row>
    <row r="37" spans="1:17" x14ac:dyDescent="0.3">
      <c r="A37" t="s">
        <v>125</v>
      </c>
      <c r="B37" s="2">
        <v>46041</v>
      </c>
      <c r="C37" t="s">
        <v>26</v>
      </c>
      <c r="D37" t="s">
        <v>126</v>
      </c>
      <c r="E37" t="s">
        <v>48</v>
      </c>
      <c r="F37" t="s">
        <v>127</v>
      </c>
      <c r="G37" t="s">
        <v>22</v>
      </c>
      <c r="J37">
        <v>0</v>
      </c>
      <c r="K37">
        <v>0</v>
      </c>
      <c r="L37">
        <v>0</v>
      </c>
      <c r="M37">
        <v>1</v>
      </c>
      <c r="N37">
        <v>10</v>
      </c>
      <c r="O37">
        <v>5.4</v>
      </c>
      <c r="P37">
        <v>4.7</v>
      </c>
      <c r="Q37" t="s">
        <v>39</v>
      </c>
    </row>
    <row r="38" spans="1:17" x14ac:dyDescent="0.3">
      <c r="A38" t="s">
        <v>128</v>
      </c>
      <c r="B38" s="2">
        <v>46145</v>
      </c>
      <c r="C38" t="s">
        <v>18</v>
      </c>
      <c r="D38" t="s">
        <v>52</v>
      </c>
      <c r="E38" t="s">
        <v>48</v>
      </c>
      <c r="F38" t="s">
        <v>129</v>
      </c>
      <c r="G38" t="s">
        <v>50</v>
      </c>
      <c r="H38" t="s">
        <v>23</v>
      </c>
      <c r="I38" t="s">
        <v>45</v>
      </c>
      <c r="J38">
        <v>1</v>
      </c>
      <c r="K38">
        <v>39400</v>
      </c>
      <c r="L38">
        <v>0</v>
      </c>
      <c r="N38">
        <v>2.5</v>
      </c>
      <c r="Q38" t="s">
        <v>45</v>
      </c>
    </row>
    <row r="39" spans="1:17" x14ac:dyDescent="0.3">
      <c r="A39" t="s">
        <v>130</v>
      </c>
      <c r="B39" s="2">
        <v>45941</v>
      </c>
      <c r="C39" t="s">
        <v>18</v>
      </c>
      <c r="D39" t="s">
        <v>105</v>
      </c>
      <c r="E39" t="s">
        <v>28</v>
      </c>
      <c r="F39" t="s">
        <v>131</v>
      </c>
      <c r="G39" t="s">
        <v>22</v>
      </c>
      <c r="H39" t="s">
        <v>54</v>
      </c>
      <c r="I39" t="s">
        <v>24</v>
      </c>
      <c r="J39">
        <v>1</v>
      </c>
      <c r="K39">
        <v>21000</v>
      </c>
      <c r="L39">
        <v>21000</v>
      </c>
      <c r="N39">
        <v>22.3</v>
      </c>
      <c r="Q39" t="s">
        <v>24</v>
      </c>
    </row>
    <row r="40" spans="1:17" x14ac:dyDescent="0.3">
      <c r="A40" t="s">
        <v>132</v>
      </c>
      <c r="B40" s="2">
        <v>45945</v>
      </c>
      <c r="C40" t="s">
        <v>26</v>
      </c>
      <c r="D40" t="s">
        <v>69</v>
      </c>
      <c r="E40" t="s">
        <v>20</v>
      </c>
      <c r="F40" t="s">
        <v>93</v>
      </c>
      <c r="G40" t="s">
        <v>30</v>
      </c>
      <c r="J40">
        <v>0</v>
      </c>
      <c r="K40">
        <v>0</v>
      </c>
      <c r="L40">
        <v>0</v>
      </c>
      <c r="M40">
        <v>1</v>
      </c>
      <c r="N40">
        <v>10.9</v>
      </c>
      <c r="O40">
        <v>12.2</v>
      </c>
      <c r="P40">
        <v>3.7</v>
      </c>
      <c r="Q40" t="s">
        <v>39</v>
      </c>
    </row>
    <row r="41" spans="1:17" x14ac:dyDescent="0.3">
      <c r="A41" t="s">
        <v>133</v>
      </c>
      <c r="B41" s="2">
        <v>46201</v>
      </c>
      <c r="C41" t="s">
        <v>18</v>
      </c>
      <c r="D41" t="s">
        <v>117</v>
      </c>
      <c r="E41" t="s">
        <v>37</v>
      </c>
      <c r="F41" t="s">
        <v>134</v>
      </c>
      <c r="G41" t="s">
        <v>30</v>
      </c>
      <c r="H41" t="s">
        <v>23</v>
      </c>
      <c r="I41" t="s">
        <v>55</v>
      </c>
      <c r="J41">
        <v>1</v>
      </c>
      <c r="K41">
        <v>69500</v>
      </c>
      <c r="L41">
        <v>0</v>
      </c>
      <c r="N41">
        <v>6.6</v>
      </c>
      <c r="Q41" t="s">
        <v>55</v>
      </c>
    </row>
    <row r="42" spans="1:17" x14ac:dyDescent="0.3">
      <c r="A42" t="s">
        <v>135</v>
      </c>
      <c r="B42" s="2">
        <v>46115</v>
      </c>
      <c r="C42" t="s">
        <v>18</v>
      </c>
      <c r="D42" t="s">
        <v>52</v>
      </c>
      <c r="E42" t="s">
        <v>20</v>
      </c>
      <c r="F42" t="s">
        <v>136</v>
      </c>
      <c r="G42" t="s">
        <v>44</v>
      </c>
      <c r="H42" t="s">
        <v>54</v>
      </c>
      <c r="I42" t="s">
        <v>24</v>
      </c>
      <c r="J42">
        <v>1</v>
      </c>
      <c r="K42">
        <v>25500</v>
      </c>
      <c r="L42">
        <v>25500</v>
      </c>
      <c r="N42">
        <v>13.4</v>
      </c>
      <c r="Q42" t="s">
        <v>24</v>
      </c>
    </row>
    <row r="43" spans="1:17" x14ac:dyDescent="0.3">
      <c r="A43" t="s">
        <v>137</v>
      </c>
      <c r="B43" s="2">
        <v>46013</v>
      </c>
      <c r="C43" t="s">
        <v>18</v>
      </c>
      <c r="D43" t="s">
        <v>64</v>
      </c>
      <c r="E43" t="s">
        <v>20</v>
      </c>
      <c r="F43" t="s">
        <v>138</v>
      </c>
      <c r="G43" t="s">
        <v>50</v>
      </c>
      <c r="H43" t="s">
        <v>78</v>
      </c>
      <c r="I43" t="s">
        <v>24</v>
      </c>
      <c r="J43">
        <v>1</v>
      </c>
      <c r="K43">
        <v>11900</v>
      </c>
      <c r="L43">
        <v>11900</v>
      </c>
      <c r="N43">
        <v>16.399999999999999</v>
      </c>
      <c r="Q43" t="s">
        <v>24</v>
      </c>
    </row>
    <row r="44" spans="1:17" x14ac:dyDescent="0.3">
      <c r="A44" t="s">
        <v>139</v>
      </c>
      <c r="B44" s="2">
        <v>46207</v>
      </c>
      <c r="C44" t="s">
        <v>18</v>
      </c>
      <c r="D44" t="s">
        <v>19</v>
      </c>
      <c r="E44" t="s">
        <v>48</v>
      </c>
      <c r="F44" t="s">
        <v>140</v>
      </c>
      <c r="G44" t="s">
        <v>50</v>
      </c>
      <c r="H44" t="s">
        <v>54</v>
      </c>
      <c r="I44" t="s">
        <v>24</v>
      </c>
      <c r="J44">
        <v>1</v>
      </c>
      <c r="K44">
        <v>29300</v>
      </c>
      <c r="L44">
        <v>29300</v>
      </c>
      <c r="N44">
        <v>3.3</v>
      </c>
      <c r="Q44" t="s">
        <v>24</v>
      </c>
    </row>
    <row r="45" spans="1:17" x14ac:dyDescent="0.3">
      <c r="A45" t="s">
        <v>141</v>
      </c>
      <c r="B45" s="2">
        <v>45902</v>
      </c>
      <c r="C45" t="s">
        <v>26</v>
      </c>
      <c r="D45" t="s">
        <v>33</v>
      </c>
      <c r="E45" t="s">
        <v>48</v>
      </c>
      <c r="F45" t="s">
        <v>142</v>
      </c>
      <c r="G45" t="s">
        <v>50</v>
      </c>
      <c r="J45">
        <v>0</v>
      </c>
      <c r="K45">
        <v>0</v>
      </c>
      <c r="L45">
        <v>0</v>
      </c>
      <c r="M45">
        <v>1</v>
      </c>
      <c r="N45">
        <v>9.9</v>
      </c>
      <c r="O45">
        <v>9.1</v>
      </c>
      <c r="P45">
        <v>4.5999999999999996</v>
      </c>
      <c r="Q45" t="s">
        <v>39</v>
      </c>
    </row>
    <row r="46" spans="1:17" x14ac:dyDescent="0.3">
      <c r="A46" t="s">
        <v>143</v>
      </c>
      <c r="B46" s="2">
        <v>46211</v>
      </c>
      <c r="C46" t="s">
        <v>18</v>
      </c>
      <c r="D46" t="s">
        <v>117</v>
      </c>
      <c r="E46" t="s">
        <v>48</v>
      </c>
      <c r="F46" t="s">
        <v>144</v>
      </c>
      <c r="G46" t="s">
        <v>22</v>
      </c>
      <c r="H46" t="s">
        <v>86</v>
      </c>
      <c r="I46" t="s">
        <v>45</v>
      </c>
      <c r="J46">
        <v>1</v>
      </c>
      <c r="K46">
        <v>91600</v>
      </c>
      <c r="L46">
        <v>0</v>
      </c>
      <c r="N46">
        <v>19.7</v>
      </c>
      <c r="Q46" t="s">
        <v>45</v>
      </c>
    </row>
    <row r="47" spans="1:17" x14ac:dyDescent="0.3">
      <c r="A47" t="s">
        <v>145</v>
      </c>
      <c r="B47" s="2">
        <v>46194</v>
      </c>
      <c r="C47" t="s">
        <v>26</v>
      </c>
      <c r="D47" t="s">
        <v>69</v>
      </c>
      <c r="E47" t="s">
        <v>28</v>
      </c>
      <c r="F47" t="s">
        <v>146</v>
      </c>
      <c r="G47" t="s">
        <v>30</v>
      </c>
      <c r="J47">
        <v>0</v>
      </c>
      <c r="K47">
        <v>0</v>
      </c>
      <c r="L47">
        <v>0</v>
      </c>
      <c r="M47">
        <v>1</v>
      </c>
      <c r="N47">
        <v>8.1</v>
      </c>
      <c r="O47">
        <v>3.6</v>
      </c>
      <c r="P47">
        <v>3.4</v>
      </c>
      <c r="Q47" t="s">
        <v>31</v>
      </c>
    </row>
    <row r="48" spans="1:17" x14ac:dyDescent="0.3">
      <c r="A48" t="s">
        <v>147</v>
      </c>
      <c r="B48" s="2">
        <v>46088</v>
      </c>
      <c r="C48" t="s">
        <v>18</v>
      </c>
      <c r="D48" t="s">
        <v>64</v>
      </c>
      <c r="E48" t="s">
        <v>20</v>
      </c>
      <c r="F48" t="s">
        <v>148</v>
      </c>
      <c r="G48" t="s">
        <v>50</v>
      </c>
      <c r="H48" t="s">
        <v>86</v>
      </c>
      <c r="I48" t="s">
        <v>45</v>
      </c>
      <c r="J48">
        <v>1</v>
      </c>
      <c r="K48">
        <v>39900</v>
      </c>
      <c r="L48">
        <v>0</v>
      </c>
      <c r="N48">
        <v>9.1999999999999993</v>
      </c>
      <c r="Q48" t="s">
        <v>45</v>
      </c>
    </row>
    <row r="49" spans="1:17" x14ac:dyDescent="0.3">
      <c r="A49" t="s">
        <v>149</v>
      </c>
      <c r="B49" s="2">
        <v>46213</v>
      </c>
      <c r="C49" t="s">
        <v>18</v>
      </c>
      <c r="D49" t="s">
        <v>41</v>
      </c>
      <c r="E49" t="s">
        <v>20</v>
      </c>
      <c r="F49" t="s">
        <v>150</v>
      </c>
      <c r="G49" t="s">
        <v>30</v>
      </c>
      <c r="H49" t="s">
        <v>78</v>
      </c>
      <c r="I49" t="s">
        <v>89</v>
      </c>
      <c r="J49">
        <v>1</v>
      </c>
      <c r="K49">
        <v>5900</v>
      </c>
      <c r="L49">
        <v>0</v>
      </c>
      <c r="N49">
        <v>15.7</v>
      </c>
      <c r="Q49" t="s">
        <v>89</v>
      </c>
    </row>
    <row r="50" spans="1:17" x14ac:dyDescent="0.3">
      <c r="A50" t="s">
        <v>151</v>
      </c>
      <c r="B50" s="2">
        <v>45956</v>
      </c>
      <c r="C50" t="s">
        <v>18</v>
      </c>
      <c r="D50" t="s">
        <v>95</v>
      </c>
      <c r="E50" t="s">
        <v>28</v>
      </c>
      <c r="F50" t="s">
        <v>73</v>
      </c>
      <c r="G50" t="s">
        <v>30</v>
      </c>
      <c r="H50" t="s">
        <v>78</v>
      </c>
      <c r="I50" t="s">
        <v>45</v>
      </c>
      <c r="J50">
        <v>1</v>
      </c>
      <c r="K50">
        <v>30600</v>
      </c>
      <c r="L50">
        <v>0</v>
      </c>
      <c r="N50">
        <v>2.9</v>
      </c>
      <c r="Q50" t="s">
        <v>45</v>
      </c>
    </row>
    <row r="51" spans="1:17" x14ac:dyDescent="0.3">
      <c r="A51" t="s">
        <v>152</v>
      </c>
      <c r="B51" s="2">
        <v>45964</v>
      </c>
      <c r="C51" t="s">
        <v>18</v>
      </c>
      <c r="D51" t="s">
        <v>95</v>
      </c>
      <c r="E51" t="s">
        <v>48</v>
      </c>
      <c r="F51" t="s">
        <v>77</v>
      </c>
      <c r="G51" t="s">
        <v>30</v>
      </c>
      <c r="H51" t="s">
        <v>54</v>
      </c>
      <c r="I51" t="s">
        <v>55</v>
      </c>
      <c r="J51">
        <v>1</v>
      </c>
      <c r="K51">
        <v>59600</v>
      </c>
      <c r="L51">
        <v>0</v>
      </c>
      <c r="N51">
        <v>4.4000000000000004</v>
      </c>
      <c r="Q51" t="s">
        <v>55</v>
      </c>
    </row>
    <row r="52" spans="1:17" x14ac:dyDescent="0.3">
      <c r="A52" t="s">
        <v>153</v>
      </c>
      <c r="B52" s="2">
        <v>46225</v>
      </c>
      <c r="C52" t="s">
        <v>26</v>
      </c>
      <c r="D52" t="s">
        <v>69</v>
      </c>
      <c r="E52" t="s">
        <v>20</v>
      </c>
      <c r="F52" t="s">
        <v>154</v>
      </c>
      <c r="G52" t="s">
        <v>30</v>
      </c>
      <c r="J52">
        <v>0</v>
      </c>
      <c r="K52">
        <v>0</v>
      </c>
      <c r="L52">
        <v>0</v>
      </c>
      <c r="M52">
        <v>1</v>
      </c>
      <c r="N52">
        <v>1.7</v>
      </c>
      <c r="O52">
        <v>6.7</v>
      </c>
      <c r="P52">
        <v>4</v>
      </c>
      <c r="Q52" t="s">
        <v>31</v>
      </c>
    </row>
    <row r="53" spans="1:17" x14ac:dyDescent="0.3">
      <c r="A53" t="s">
        <v>155</v>
      </c>
      <c r="B53" s="2">
        <v>46134</v>
      </c>
      <c r="C53" t="s">
        <v>26</v>
      </c>
      <c r="D53" t="s">
        <v>69</v>
      </c>
      <c r="E53" t="s">
        <v>20</v>
      </c>
      <c r="F53" t="s">
        <v>156</v>
      </c>
      <c r="G53" t="s">
        <v>22</v>
      </c>
      <c r="J53">
        <v>0</v>
      </c>
      <c r="K53">
        <v>0</v>
      </c>
      <c r="L53">
        <v>0</v>
      </c>
      <c r="M53">
        <v>1</v>
      </c>
      <c r="N53">
        <v>5.9</v>
      </c>
      <c r="O53">
        <v>7.1</v>
      </c>
      <c r="P53">
        <v>4.0999999999999996</v>
      </c>
      <c r="Q53" t="s">
        <v>39</v>
      </c>
    </row>
    <row r="54" spans="1:17" x14ac:dyDescent="0.3">
      <c r="A54" t="s">
        <v>157</v>
      </c>
      <c r="B54" s="2">
        <v>46024</v>
      </c>
      <c r="C54" t="s">
        <v>26</v>
      </c>
      <c r="D54" t="s">
        <v>126</v>
      </c>
      <c r="E54" t="s">
        <v>20</v>
      </c>
      <c r="F54" t="s">
        <v>158</v>
      </c>
      <c r="G54" t="s">
        <v>30</v>
      </c>
      <c r="J54">
        <v>0</v>
      </c>
      <c r="K54">
        <v>0</v>
      </c>
      <c r="L54">
        <v>0</v>
      </c>
      <c r="M54">
        <v>1</v>
      </c>
      <c r="N54">
        <v>9.9</v>
      </c>
      <c r="O54">
        <v>9.9</v>
      </c>
      <c r="P54">
        <v>4</v>
      </c>
      <c r="Q54" t="s">
        <v>39</v>
      </c>
    </row>
    <row r="55" spans="1:17" x14ac:dyDescent="0.3">
      <c r="A55" t="s">
        <v>159</v>
      </c>
      <c r="B55" s="2">
        <v>46178</v>
      </c>
      <c r="C55" t="s">
        <v>26</v>
      </c>
      <c r="D55" t="s">
        <v>114</v>
      </c>
      <c r="E55" t="s">
        <v>48</v>
      </c>
      <c r="F55" t="s">
        <v>160</v>
      </c>
      <c r="G55" t="s">
        <v>30</v>
      </c>
      <c r="J55">
        <v>0</v>
      </c>
      <c r="K55">
        <v>0</v>
      </c>
      <c r="L55">
        <v>0</v>
      </c>
      <c r="M55">
        <v>1</v>
      </c>
      <c r="N55">
        <v>6.5</v>
      </c>
      <c r="O55">
        <v>10.199999999999999</v>
      </c>
      <c r="P55">
        <v>4.5999999999999996</v>
      </c>
      <c r="Q55" t="s">
        <v>39</v>
      </c>
    </row>
    <row r="56" spans="1:17" x14ac:dyDescent="0.3">
      <c r="A56" t="s">
        <v>161</v>
      </c>
      <c r="B56" s="2">
        <v>45942</v>
      </c>
      <c r="C56" t="s">
        <v>26</v>
      </c>
      <c r="D56" t="s">
        <v>69</v>
      </c>
      <c r="E56" t="s">
        <v>28</v>
      </c>
      <c r="F56" t="s">
        <v>162</v>
      </c>
      <c r="G56" t="s">
        <v>22</v>
      </c>
      <c r="J56">
        <v>0</v>
      </c>
      <c r="K56">
        <v>0</v>
      </c>
      <c r="L56">
        <v>0</v>
      </c>
      <c r="M56">
        <v>1</v>
      </c>
      <c r="N56">
        <v>6.1</v>
      </c>
      <c r="O56">
        <v>12</v>
      </c>
      <c r="P56">
        <v>3.3</v>
      </c>
      <c r="Q56" t="s">
        <v>31</v>
      </c>
    </row>
    <row r="57" spans="1:17" x14ac:dyDescent="0.3">
      <c r="A57" t="s">
        <v>163</v>
      </c>
      <c r="B57" s="2">
        <v>46224</v>
      </c>
      <c r="C57" t="s">
        <v>26</v>
      </c>
      <c r="D57" t="s">
        <v>72</v>
      </c>
      <c r="E57" t="s">
        <v>20</v>
      </c>
      <c r="F57" t="s">
        <v>164</v>
      </c>
      <c r="G57" t="s">
        <v>22</v>
      </c>
      <c r="J57">
        <v>0</v>
      </c>
      <c r="K57">
        <v>0</v>
      </c>
      <c r="L57">
        <v>0</v>
      </c>
      <c r="M57">
        <v>1</v>
      </c>
      <c r="N57">
        <v>5.4</v>
      </c>
      <c r="O57">
        <v>33.700000000000003</v>
      </c>
      <c r="P57">
        <v>3.9</v>
      </c>
      <c r="Q57" t="s">
        <v>39</v>
      </c>
    </row>
    <row r="58" spans="1:17" x14ac:dyDescent="0.3">
      <c r="A58" t="s">
        <v>165</v>
      </c>
      <c r="B58" s="2">
        <v>46173</v>
      </c>
      <c r="C58" t="s">
        <v>18</v>
      </c>
      <c r="D58" t="s">
        <v>19</v>
      </c>
      <c r="E58" t="s">
        <v>37</v>
      </c>
      <c r="F58" t="s">
        <v>166</v>
      </c>
      <c r="G58" t="s">
        <v>30</v>
      </c>
      <c r="H58" t="s">
        <v>54</v>
      </c>
      <c r="I58" t="s">
        <v>89</v>
      </c>
      <c r="J58">
        <v>1</v>
      </c>
      <c r="K58">
        <v>15500</v>
      </c>
      <c r="L58">
        <v>0</v>
      </c>
      <c r="N58">
        <v>11.7</v>
      </c>
      <c r="Q58" t="s">
        <v>89</v>
      </c>
    </row>
    <row r="59" spans="1:17" x14ac:dyDescent="0.3">
      <c r="A59" t="s">
        <v>167</v>
      </c>
      <c r="B59" s="2">
        <v>46064</v>
      </c>
      <c r="C59" t="s">
        <v>18</v>
      </c>
      <c r="D59" t="s">
        <v>64</v>
      </c>
      <c r="E59" t="s">
        <v>42</v>
      </c>
      <c r="F59" t="s">
        <v>168</v>
      </c>
      <c r="G59" t="s">
        <v>44</v>
      </c>
      <c r="H59" t="s">
        <v>66</v>
      </c>
      <c r="I59" t="s">
        <v>67</v>
      </c>
      <c r="J59">
        <v>1</v>
      </c>
      <c r="K59">
        <v>20300</v>
      </c>
      <c r="L59">
        <v>0</v>
      </c>
      <c r="N59">
        <v>20.9</v>
      </c>
      <c r="Q59" t="s">
        <v>67</v>
      </c>
    </row>
    <row r="60" spans="1:17" x14ac:dyDescent="0.3">
      <c r="A60" t="s">
        <v>169</v>
      </c>
      <c r="B60" s="2">
        <v>46049</v>
      </c>
      <c r="C60" t="s">
        <v>18</v>
      </c>
      <c r="D60" t="s">
        <v>95</v>
      </c>
      <c r="E60" t="s">
        <v>37</v>
      </c>
      <c r="F60" t="s">
        <v>170</v>
      </c>
      <c r="G60" t="s">
        <v>44</v>
      </c>
      <c r="H60" t="s">
        <v>23</v>
      </c>
      <c r="I60" t="s">
        <v>45</v>
      </c>
      <c r="J60">
        <v>1</v>
      </c>
      <c r="K60">
        <v>22300</v>
      </c>
      <c r="L60">
        <v>0</v>
      </c>
      <c r="N60">
        <v>2.7</v>
      </c>
      <c r="Q60" t="s">
        <v>45</v>
      </c>
    </row>
    <row r="61" spans="1:17" x14ac:dyDescent="0.3">
      <c r="A61" t="s">
        <v>171</v>
      </c>
      <c r="B61" s="2">
        <v>46208</v>
      </c>
      <c r="C61" t="s">
        <v>18</v>
      </c>
      <c r="D61" t="s">
        <v>52</v>
      </c>
      <c r="E61" t="s">
        <v>28</v>
      </c>
      <c r="F61" t="s">
        <v>172</v>
      </c>
      <c r="G61" t="s">
        <v>30</v>
      </c>
      <c r="H61" t="s">
        <v>78</v>
      </c>
      <c r="I61" t="s">
        <v>67</v>
      </c>
      <c r="J61">
        <v>1</v>
      </c>
      <c r="K61">
        <v>36000</v>
      </c>
      <c r="L61">
        <v>0</v>
      </c>
      <c r="N61">
        <v>10.9</v>
      </c>
      <c r="Q61" t="s">
        <v>67</v>
      </c>
    </row>
    <row r="62" spans="1:17" x14ac:dyDescent="0.3">
      <c r="A62" t="s">
        <v>173</v>
      </c>
      <c r="B62" s="2">
        <v>46103</v>
      </c>
      <c r="C62" t="s">
        <v>18</v>
      </c>
      <c r="D62" t="s">
        <v>52</v>
      </c>
      <c r="E62" t="s">
        <v>42</v>
      </c>
      <c r="F62" t="s">
        <v>174</v>
      </c>
      <c r="G62" t="s">
        <v>50</v>
      </c>
      <c r="H62" t="s">
        <v>86</v>
      </c>
      <c r="I62" t="s">
        <v>45</v>
      </c>
      <c r="J62">
        <v>1</v>
      </c>
      <c r="K62">
        <v>107200</v>
      </c>
      <c r="L62">
        <v>0</v>
      </c>
      <c r="N62">
        <v>14.4</v>
      </c>
      <c r="Q62" t="s">
        <v>45</v>
      </c>
    </row>
    <row r="63" spans="1:17" x14ac:dyDescent="0.3">
      <c r="A63" t="s">
        <v>175</v>
      </c>
      <c r="B63" s="2">
        <v>46265</v>
      </c>
      <c r="C63" t="s">
        <v>18</v>
      </c>
      <c r="D63" t="s">
        <v>41</v>
      </c>
      <c r="E63" t="s">
        <v>20</v>
      </c>
      <c r="F63" t="s">
        <v>176</v>
      </c>
      <c r="G63" t="s">
        <v>22</v>
      </c>
      <c r="H63" t="s">
        <v>23</v>
      </c>
      <c r="I63" t="s">
        <v>24</v>
      </c>
      <c r="J63">
        <v>1</v>
      </c>
      <c r="K63">
        <v>9200</v>
      </c>
      <c r="L63">
        <v>9200</v>
      </c>
      <c r="N63">
        <v>7.5</v>
      </c>
      <c r="Q63" t="s">
        <v>24</v>
      </c>
    </row>
    <row r="64" spans="1:17" x14ac:dyDescent="0.3">
      <c r="A64" t="s">
        <v>177</v>
      </c>
      <c r="B64" s="2">
        <v>46228</v>
      </c>
      <c r="C64" t="s">
        <v>26</v>
      </c>
      <c r="D64" t="s">
        <v>69</v>
      </c>
      <c r="E64" t="s">
        <v>20</v>
      </c>
      <c r="F64" t="s">
        <v>178</v>
      </c>
      <c r="G64" t="s">
        <v>22</v>
      </c>
      <c r="J64">
        <v>0</v>
      </c>
      <c r="K64">
        <v>0</v>
      </c>
      <c r="L64">
        <v>0</v>
      </c>
      <c r="M64">
        <v>1</v>
      </c>
      <c r="N64">
        <v>11.7</v>
      </c>
      <c r="O64">
        <v>4.2</v>
      </c>
      <c r="P64">
        <v>4.5999999999999996</v>
      </c>
      <c r="Q64" t="s">
        <v>31</v>
      </c>
    </row>
    <row r="65" spans="1:17" x14ac:dyDescent="0.3">
      <c r="A65" t="s">
        <v>179</v>
      </c>
      <c r="B65" s="2">
        <v>45922</v>
      </c>
      <c r="C65" t="s">
        <v>18</v>
      </c>
      <c r="D65" t="s">
        <v>64</v>
      </c>
      <c r="E65" t="s">
        <v>37</v>
      </c>
      <c r="F65" t="s">
        <v>180</v>
      </c>
      <c r="G65" t="s">
        <v>22</v>
      </c>
      <c r="H65" t="s">
        <v>54</v>
      </c>
      <c r="I65" t="s">
        <v>89</v>
      </c>
      <c r="J65">
        <v>1</v>
      </c>
      <c r="K65">
        <v>52000</v>
      </c>
      <c r="L65">
        <v>0</v>
      </c>
      <c r="N65">
        <v>7.1</v>
      </c>
      <c r="Q65" t="s">
        <v>89</v>
      </c>
    </row>
    <row r="66" spans="1:17" x14ac:dyDescent="0.3">
      <c r="A66" t="s">
        <v>181</v>
      </c>
      <c r="B66" s="2">
        <v>46084</v>
      </c>
      <c r="C66" t="s">
        <v>18</v>
      </c>
      <c r="D66" t="s">
        <v>64</v>
      </c>
      <c r="E66" t="s">
        <v>48</v>
      </c>
      <c r="F66" t="s">
        <v>182</v>
      </c>
      <c r="G66" t="s">
        <v>44</v>
      </c>
      <c r="H66" t="s">
        <v>66</v>
      </c>
      <c r="I66" t="s">
        <v>24</v>
      </c>
      <c r="J66">
        <v>1</v>
      </c>
      <c r="K66">
        <v>14800</v>
      </c>
      <c r="L66">
        <v>14800</v>
      </c>
      <c r="N66">
        <v>7.4</v>
      </c>
      <c r="Q66" t="s">
        <v>24</v>
      </c>
    </row>
    <row r="67" spans="1:17" x14ac:dyDescent="0.3">
      <c r="A67" t="s">
        <v>183</v>
      </c>
      <c r="B67" s="2">
        <v>46035</v>
      </c>
      <c r="C67" t="s">
        <v>18</v>
      </c>
      <c r="D67" t="s">
        <v>41</v>
      </c>
      <c r="E67" t="s">
        <v>20</v>
      </c>
      <c r="F67" t="s">
        <v>184</v>
      </c>
      <c r="G67" t="s">
        <v>22</v>
      </c>
      <c r="H67" t="s">
        <v>54</v>
      </c>
      <c r="I67" t="s">
        <v>55</v>
      </c>
      <c r="J67">
        <v>1</v>
      </c>
      <c r="K67">
        <v>25200</v>
      </c>
      <c r="L67">
        <v>0</v>
      </c>
      <c r="N67">
        <v>17</v>
      </c>
      <c r="Q67" t="s">
        <v>55</v>
      </c>
    </row>
    <row r="68" spans="1:17" x14ac:dyDescent="0.3">
      <c r="A68" t="s">
        <v>185</v>
      </c>
      <c r="B68" s="2">
        <v>46091</v>
      </c>
      <c r="C68" t="s">
        <v>18</v>
      </c>
      <c r="D68" t="s">
        <v>52</v>
      </c>
      <c r="E68" t="s">
        <v>20</v>
      </c>
      <c r="F68" t="s">
        <v>186</v>
      </c>
      <c r="G68" t="s">
        <v>30</v>
      </c>
      <c r="H68" t="s">
        <v>23</v>
      </c>
      <c r="I68" t="s">
        <v>45</v>
      </c>
      <c r="J68">
        <v>1</v>
      </c>
      <c r="K68">
        <v>24600</v>
      </c>
      <c r="L68">
        <v>0</v>
      </c>
      <c r="N68">
        <v>2.1</v>
      </c>
      <c r="Q68" t="s">
        <v>45</v>
      </c>
    </row>
    <row r="69" spans="1:17" x14ac:dyDescent="0.3">
      <c r="A69" t="s">
        <v>187</v>
      </c>
      <c r="B69" s="2">
        <v>46255</v>
      </c>
      <c r="C69" t="s">
        <v>26</v>
      </c>
      <c r="D69" t="s">
        <v>36</v>
      </c>
      <c r="E69" t="s">
        <v>48</v>
      </c>
      <c r="F69" t="s">
        <v>188</v>
      </c>
      <c r="G69" t="s">
        <v>50</v>
      </c>
      <c r="J69">
        <v>0</v>
      </c>
      <c r="K69">
        <v>0</v>
      </c>
      <c r="L69">
        <v>0</v>
      </c>
      <c r="M69">
        <v>1</v>
      </c>
      <c r="N69">
        <v>1</v>
      </c>
      <c r="O69">
        <v>11</v>
      </c>
      <c r="P69">
        <v>4.0999999999999996</v>
      </c>
      <c r="Q69" t="s">
        <v>39</v>
      </c>
    </row>
    <row r="70" spans="1:17" x14ac:dyDescent="0.3">
      <c r="A70" t="s">
        <v>189</v>
      </c>
      <c r="B70" s="2">
        <v>46045</v>
      </c>
      <c r="C70" t="s">
        <v>18</v>
      </c>
      <c r="D70" t="s">
        <v>47</v>
      </c>
      <c r="E70" t="s">
        <v>48</v>
      </c>
      <c r="F70" t="s">
        <v>150</v>
      </c>
      <c r="G70" t="s">
        <v>22</v>
      </c>
      <c r="H70" t="s">
        <v>78</v>
      </c>
      <c r="I70" t="s">
        <v>24</v>
      </c>
      <c r="J70">
        <v>1</v>
      </c>
      <c r="K70">
        <v>9600</v>
      </c>
      <c r="L70">
        <v>9600</v>
      </c>
      <c r="N70">
        <v>20.8</v>
      </c>
      <c r="Q70" t="s">
        <v>24</v>
      </c>
    </row>
    <row r="71" spans="1:17" x14ac:dyDescent="0.3">
      <c r="A71" t="s">
        <v>190</v>
      </c>
      <c r="B71" s="2">
        <v>46115</v>
      </c>
      <c r="C71" t="s">
        <v>26</v>
      </c>
      <c r="D71" t="s">
        <v>69</v>
      </c>
      <c r="E71" t="s">
        <v>42</v>
      </c>
      <c r="F71" t="s">
        <v>191</v>
      </c>
      <c r="G71" t="s">
        <v>22</v>
      </c>
      <c r="J71">
        <v>0</v>
      </c>
      <c r="K71">
        <v>0</v>
      </c>
      <c r="L71">
        <v>0</v>
      </c>
      <c r="M71">
        <v>1</v>
      </c>
      <c r="N71">
        <v>7</v>
      </c>
      <c r="O71">
        <v>8.3000000000000007</v>
      </c>
      <c r="P71">
        <v>4.5999999999999996</v>
      </c>
      <c r="Q71" t="s">
        <v>39</v>
      </c>
    </row>
    <row r="72" spans="1:17" x14ac:dyDescent="0.3">
      <c r="A72" t="s">
        <v>192</v>
      </c>
      <c r="B72" s="2">
        <v>46169</v>
      </c>
      <c r="C72" t="s">
        <v>26</v>
      </c>
      <c r="D72" t="s">
        <v>69</v>
      </c>
      <c r="E72" t="s">
        <v>48</v>
      </c>
      <c r="F72" t="s">
        <v>193</v>
      </c>
      <c r="G72" t="s">
        <v>30</v>
      </c>
      <c r="J72">
        <v>0</v>
      </c>
      <c r="K72">
        <v>0</v>
      </c>
      <c r="L72">
        <v>0</v>
      </c>
      <c r="M72">
        <v>1</v>
      </c>
      <c r="N72">
        <v>1.6</v>
      </c>
      <c r="O72">
        <v>7.4</v>
      </c>
      <c r="P72">
        <v>5</v>
      </c>
      <c r="Q72" t="s">
        <v>39</v>
      </c>
    </row>
    <row r="73" spans="1:17" x14ac:dyDescent="0.3">
      <c r="A73" t="s">
        <v>194</v>
      </c>
      <c r="B73" s="2">
        <v>45910</v>
      </c>
      <c r="C73" t="s">
        <v>18</v>
      </c>
      <c r="D73" t="s">
        <v>95</v>
      </c>
      <c r="E73" t="s">
        <v>28</v>
      </c>
      <c r="F73" t="s">
        <v>195</v>
      </c>
      <c r="G73" t="s">
        <v>30</v>
      </c>
      <c r="H73" t="s">
        <v>54</v>
      </c>
      <c r="I73" t="s">
        <v>45</v>
      </c>
      <c r="J73">
        <v>1</v>
      </c>
      <c r="K73">
        <v>46800</v>
      </c>
      <c r="L73">
        <v>0</v>
      </c>
      <c r="N73">
        <v>6</v>
      </c>
      <c r="Q73" t="s">
        <v>45</v>
      </c>
    </row>
    <row r="74" spans="1:17" x14ac:dyDescent="0.3">
      <c r="A74" t="s">
        <v>196</v>
      </c>
      <c r="B74" s="2">
        <v>45953</v>
      </c>
      <c r="C74" t="s">
        <v>18</v>
      </c>
      <c r="D74" t="s">
        <v>19</v>
      </c>
      <c r="E74" t="s">
        <v>28</v>
      </c>
      <c r="F74" t="s">
        <v>197</v>
      </c>
      <c r="G74" t="s">
        <v>22</v>
      </c>
      <c r="H74" t="s">
        <v>78</v>
      </c>
      <c r="I74" t="s">
        <v>24</v>
      </c>
      <c r="J74">
        <v>1</v>
      </c>
      <c r="K74">
        <v>21600</v>
      </c>
      <c r="L74">
        <v>21600</v>
      </c>
      <c r="N74">
        <v>7.2</v>
      </c>
      <c r="Q74" t="s">
        <v>24</v>
      </c>
    </row>
    <row r="75" spans="1:17" x14ac:dyDescent="0.3">
      <c r="A75" t="s">
        <v>198</v>
      </c>
      <c r="B75" s="2">
        <v>46238</v>
      </c>
      <c r="C75" t="s">
        <v>26</v>
      </c>
      <c r="D75" t="s">
        <v>69</v>
      </c>
      <c r="E75" t="s">
        <v>28</v>
      </c>
      <c r="F75" t="s">
        <v>199</v>
      </c>
      <c r="G75" t="s">
        <v>22</v>
      </c>
      <c r="J75">
        <v>0</v>
      </c>
      <c r="K75">
        <v>0</v>
      </c>
      <c r="L75">
        <v>0</v>
      </c>
      <c r="M75">
        <v>1</v>
      </c>
      <c r="N75">
        <v>4.9000000000000004</v>
      </c>
      <c r="O75">
        <v>11.7</v>
      </c>
      <c r="P75">
        <v>2.8</v>
      </c>
      <c r="Q75" t="s">
        <v>62</v>
      </c>
    </row>
    <row r="76" spans="1:17" x14ac:dyDescent="0.3">
      <c r="A76" t="s">
        <v>200</v>
      </c>
      <c r="B76" s="2">
        <v>46109</v>
      </c>
      <c r="C76" t="s">
        <v>26</v>
      </c>
      <c r="D76" t="s">
        <v>36</v>
      </c>
      <c r="E76" t="s">
        <v>20</v>
      </c>
      <c r="F76" t="s">
        <v>201</v>
      </c>
      <c r="G76" t="s">
        <v>50</v>
      </c>
      <c r="J76">
        <v>0</v>
      </c>
      <c r="K76">
        <v>0</v>
      </c>
      <c r="L76">
        <v>0</v>
      </c>
      <c r="M76">
        <v>1</v>
      </c>
      <c r="N76">
        <v>1.1000000000000001</v>
      </c>
      <c r="O76">
        <v>8.3000000000000007</v>
      </c>
      <c r="P76">
        <v>4.8</v>
      </c>
      <c r="Q76" t="s">
        <v>31</v>
      </c>
    </row>
    <row r="77" spans="1:17" x14ac:dyDescent="0.3">
      <c r="A77" t="s">
        <v>202</v>
      </c>
      <c r="B77" s="2">
        <v>46000</v>
      </c>
      <c r="C77" t="s">
        <v>26</v>
      </c>
      <c r="D77" t="s">
        <v>69</v>
      </c>
      <c r="E77" t="s">
        <v>42</v>
      </c>
      <c r="F77" t="s">
        <v>203</v>
      </c>
      <c r="G77" t="s">
        <v>50</v>
      </c>
      <c r="J77">
        <v>0</v>
      </c>
      <c r="K77">
        <v>0</v>
      </c>
      <c r="L77">
        <v>0</v>
      </c>
      <c r="M77">
        <v>1</v>
      </c>
      <c r="N77">
        <v>4.5999999999999996</v>
      </c>
      <c r="O77">
        <v>7.1</v>
      </c>
      <c r="P77">
        <v>3.3</v>
      </c>
      <c r="Q77" t="s">
        <v>39</v>
      </c>
    </row>
    <row r="78" spans="1:17" x14ac:dyDescent="0.3">
      <c r="A78" t="s">
        <v>204</v>
      </c>
      <c r="B78" s="2">
        <v>46117</v>
      </c>
      <c r="C78" t="s">
        <v>26</v>
      </c>
      <c r="D78" t="s">
        <v>72</v>
      </c>
      <c r="E78" t="s">
        <v>37</v>
      </c>
      <c r="F78" t="s">
        <v>205</v>
      </c>
      <c r="G78" t="s">
        <v>22</v>
      </c>
      <c r="J78">
        <v>0</v>
      </c>
      <c r="K78">
        <v>0</v>
      </c>
      <c r="L78">
        <v>0</v>
      </c>
      <c r="M78">
        <v>1</v>
      </c>
      <c r="N78">
        <v>10.5</v>
      </c>
      <c r="O78">
        <v>5.0999999999999996</v>
      </c>
      <c r="P78">
        <v>5</v>
      </c>
      <c r="Q78" t="s">
        <v>39</v>
      </c>
    </row>
    <row r="79" spans="1:17" x14ac:dyDescent="0.3">
      <c r="A79" t="s">
        <v>206</v>
      </c>
      <c r="B79" s="2">
        <v>46181</v>
      </c>
      <c r="C79" t="s">
        <v>18</v>
      </c>
      <c r="D79" t="s">
        <v>95</v>
      </c>
      <c r="E79" t="s">
        <v>20</v>
      </c>
      <c r="F79" t="s">
        <v>81</v>
      </c>
      <c r="G79" t="s">
        <v>30</v>
      </c>
      <c r="H79" t="s">
        <v>86</v>
      </c>
      <c r="I79" t="s">
        <v>55</v>
      </c>
      <c r="J79">
        <v>1</v>
      </c>
      <c r="K79">
        <v>11800</v>
      </c>
      <c r="L79">
        <v>0</v>
      </c>
      <c r="N79">
        <v>9</v>
      </c>
      <c r="Q79" t="s">
        <v>55</v>
      </c>
    </row>
    <row r="80" spans="1:17" x14ac:dyDescent="0.3">
      <c r="A80" t="s">
        <v>207</v>
      </c>
      <c r="B80" s="2">
        <v>46204</v>
      </c>
      <c r="C80" t="s">
        <v>18</v>
      </c>
      <c r="D80" t="s">
        <v>64</v>
      </c>
      <c r="E80" t="s">
        <v>20</v>
      </c>
      <c r="F80" t="s">
        <v>208</v>
      </c>
      <c r="G80" t="s">
        <v>22</v>
      </c>
      <c r="H80" t="s">
        <v>78</v>
      </c>
      <c r="I80" t="s">
        <v>45</v>
      </c>
      <c r="J80">
        <v>1</v>
      </c>
      <c r="K80">
        <v>15000</v>
      </c>
      <c r="L80">
        <v>0</v>
      </c>
      <c r="N80">
        <v>18.5</v>
      </c>
      <c r="Q80" t="s">
        <v>45</v>
      </c>
    </row>
    <row r="81" spans="1:17" x14ac:dyDescent="0.3">
      <c r="A81" t="s">
        <v>209</v>
      </c>
      <c r="B81" s="2">
        <v>46110</v>
      </c>
      <c r="C81" t="s">
        <v>18</v>
      </c>
      <c r="D81" t="s">
        <v>105</v>
      </c>
      <c r="E81" t="s">
        <v>48</v>
      </c>
      <c r="F81" t="s">
        <v>210</v>
      </c>
      <c r="G81" t="s">
        <v>30</v>
      </c>
      <c r="H81" t="s">
        <v>86</v>
      </c>
      <c r="I81" t="s">
        <v>79</v>
      </c>
      <c r="J81">
        <v>1</v>
      </c>
      <c r="K81">
        <v>19700</v>
      </c>
      <c r="L81">
        <v>0</v>
      </c>
      <c r="N81">
        <v>17.7</v>
      </c>
      <c r="Q81" t="s">
        <v>79</v>
      </c>
    </row>
    <row r="82" spans="1:17" x14ac:dyDescent="0.3">
      <c r="A82" t="s">
        <v>211</v>
      </c>
      <c r="B82" s="2">
        <v>46000</v>
      </c>
      <c r="C82" t="s">
        <v>26</v>
      </c>
      <c r="D82" t="s">
        <v>36</v>
      </c>
      <c r="E82" t="s">
        <v>37</v>
      </c>
      <c r="F82" t="s">
        <v>212</v>
      </c>
      <c r="G82" t="s">
        <v>22</v>
      </c>
      <c r="J82">
        <v>0</v>
      </c>
      <c r="K82">
        <v>0</v>
      </c>
      <c r="L82">
        <v>0</v>
      </c>
      <c r="M82">
        <v>1</v>
      </c>
      <c r="N82">
        <v>1.7</v>
      </c>
      <c r="O82">
        <v>12.5</v>
      </c>
      <c r="P82">
        <v>5</v>
      </c>
      <c r="Q82" t="s">
        <v>39</v>
      </c>
    </row>
    <row r="83" spans="1:17" x14ac:dyDescent="0.3">
      <c r="A83" t="s">
        <v>213</v>
      </c>
      <c r="B83" s="2">
        <v>46049</v>
      </c>
      <c r="C83" t="s">
        <v>26</v>
      </c>
      <c r="D83" t="s">
        <v>114</v>
      </c>
      <c r="E83" t="s">
        <v>37</v>
      </c>
      <c r="F83" t="s">
        <v>146</v>
      </c>
      <c r="G83" t="s">
        <v>50</v>
      </c>
      <c r="J83">
        <v>0</v>
      </c>
      <c r="K83">
        <v>0</v>
      </c>
      <c r="L83">
        <v>0</v>
      </c>
      <c r="M83">
        <v>1</v>
      </c>
      <c r="N83">
        <v>3.5</v>
      </c>
      <c r="O83">
        <v>6.6</v>
      </c>
      <c r="P83">
        <v>3.7</v>
      </c>
      <c r="Q83" t="s">
        <v>39</v>
      </c>
    </row>
    <row r="84" spans="1:17" x14ac:dyDescent="0.3">
      <c r="A84" t="s">
        <v>214</v>
      </c>
      <c r="B84" s="2">
        <v>46038</v>
      </c>
      <c r="C84" t="s">
        <v>18</v>
      </c>
      <c r="D84" t="s">
        <v>52</v>
      </c>
      <c r="E84" t="s">
        <v>48</v>
      </c>
      <c r="F84" t="s">
        <v>193</v>
      </c>
      <c r="G84" t="s">
        <v>30</v>
      </c>
      <c r="H84" t="s">
        <v>23</v>
      </c>
      <c r="I84" t="s">
        <v>45</v>
      </c>
      <c r="J84">
        <v>1</v>
      </c>
      <c r="K84">
        <v>18700</v>
      </c>
      <c r="L84">
        <v>0</v>
      </c>
      <c r="N84">
        <v>10</v>
      </c>
      <c r="Q84" t="s">
        <v>45</v>
      </c>
    </row>
    <row r="85" spans="1:17" x14ac:dyDescent="0.3">
      <c r="A85" t="s">
        <v>215</v>
      </c>
      <c r="B85" s="2">
        <v>45917</v>
      </c>
      <c r="C85" t="s">
        <v>18</v>
      </c>
      <c r="D85" t="s">
        <v>117</v>
      </c>
      <c r="E85" t="s">
        <v>42</v>
      </c>
      <c r="F85" t="s">
        <v>216</v>
      </c>
      <c r="G85" t="s">
        <v>50</v>
      </c>
      <c r="H85" t="s">
        <v>78</v>
      </c>
      <c r="I85" t="s">
        <v>67</v>
      </c>
      <c r="J85">
        <v>1</v>
      </c>
      <c r="K85">
        <v>5000</v>
      </c>
      <c r="L85">
        <v>0</v>
      </c>
      <c r="N85">
        <v>16.399999999999999</v>
      </c>
      <c r="Q85" t="s">
        <v>67</v>
      </c>
    </row>
    <row r="86" spans="1:17" x14ac:dyDescent="0.3">
      <c r="A86" t="s">
        <v>217</v>
      </c>
      <c r="B86" s="2">
        <v>46240</v>
      </c>
      <c r="C86" t="s">
        <v>18</v>
      </c>
      <c r="D86" t="s">
        <v>41</v>
      </c>
      <c r="E86" t="s">
        <v>20</v>
      </c>
      <c r="F86" t="s">
        <v>218</v>
      </c>
      <c r="G86" t="s">
        <v>50</v>
      </c>
      <c r="H86" t="s">
        <v>78</v>
      </c>
      <c r="I86" t="s">
        <v>55</v>
      </c>
      <c r="J86">
        <v>1</v>
      </c>
      <c r="K86">
        <v>18400</v>
      </c>
      <c r="L86">
        <v>0</v>
      </c>
      <c r="N86">
        <v>6.7</v>
      </c>
      <c r="Q86" t="s">
        <v>55</v>
      </c>
    </row>
    <row r="87" spans="1:17" x14ac:dyDescent="0.3">
      <c r="A87" t="s">
        <v>219</v>
      </c>
      <c r="B87" s="2">
        <v>46124</v>
      </c>
      <c r="C87" t="s">
        <v>18</v>
      </c>
      <c r="D87" t="s">
        <v>105</v>
      </c>
      <c r="E87" t="s">
        <v>20</v>
      </c>
      <c r="F87" t="s">
        <v>220</v>
      </c>
      <c r="G87" t="s">
        <v>22</v>
      </c>
      <c r="H87" t="s">
        <v>78</v>
      </c>
      <c r="I87" t="s">
        <v>45</v>
      </c>
      <c r="J87">
        <v>1</v>
      </c>
      <c r="K87">
        <v>25400</v>
      </c>
      <c r="L87">
        <v>0</v>
      </c>
      <c r="N87">
        <v>0.5</v>
      </c>
      <c r="Q87" t="s">
        <v>45</v>
      </c>
    </row>
    <row r="88" spans="1:17" x14ac:dyDescent="0.3">
      <c r="A88" t="s">
        <v>221</v>
      </c>
      <c r="B88" s="2">
        <v>45943</v>
      </c>
      <c r="C88" t="s">
        <v>26</v>
      </c>
      <c r="D88" t="s">
        <v>27</v>
      </c>
      <c r="E88" t="s">
        <v>37</v>
      </c>
      <c r="F88" t="s">
        <v>222</v>
      </c>
      <c r="G88" t="s">
        <v>44</v>
      </c>
      <c r="J88">
        <v>0</v>
      </c>
      <c r="K88">
        <v>0</v>
      </c>
      <c r="L88">
        <v>0</v>
      </c>
      <c r="M88">
        <v>1</v>
      </c>
      <c r="N88">
        <v>0.4</v>
      </c>
      <c r="O88">
        <v>8.6999999999999993</v>
      </c>
      <c r="P88">
        <v>4.2</v>
      </c>
      <c r="Q88" t="s">
        <v>31</v>
      </c>
    </row>
    <row r="89" spans="1:17" x14ac:dyDescent="0.3">
      <c r="A89" t="s">
        <v>223</v>
      </c>
      <c r="B89" s="2">
        <v>45945</v>
      </c>
      <c r="C89" t="s">
        <v>26</v>
      </c>
      <c r="D89" t="s">
        <v>33</v>
      </c>
      <c r="E89" t="s">
        <v>20</v>
      </c>
      <c r="F89" t="s">
        <v>224</v>
      </c>
      <c r="G89" t="s">
        <v>22</v>
      </c>
      <c r="J89">
        <v>0</v>
      </c>
      <c r="K89">
        <v>0</v>
      </c>
      <c r="L89">
        <v>0</v>
      </c>
      <c r="M89">
        <v>1</v>
      </c>
      <c r="N89">
        <v>2.8</v>
      </c>
      <c r="O89">
        <v>2.5</v>
      </c>
      <c r="P89">
        <v>4</v>
      </c>
      <c r="Q89" t="s">
        <v>225</v>
      </c>
    </row>
    <row r="90" spans="1:17" x14ac:dyDescent="0.3">
      <c r="A90" t="s">
        <v>226</v>
      </c>
      <c r="B90" s="2">
        <v>46118</v>
      </c>
      <c r="C90" t="s">
        <v>26</v>
      </c>
      <c r="D90" t="s">
        <v>114</v>
      </c>
      <c r="E90" t="s">
        <v>48</v>
      </c>
      <c r="F90" t="s">
        <v>166</v>
      </c>
      <c r="G90" t="s">
        <v>22</v>
      </c>
      <c r="J90">
        <v>0</v>
      </c>
      <c r="K90">
        <v>0</v>
      </c>
      <c r="L90">
        <v>0</v>
      </c>
      <c r="M90">
        <v>1</v>
      </c>
      <c r="N90">
        <v>6.4</v>
      </c>
      <c r="O90">
        <v>17.8</v>
      </c>
      <c r="P90">
        <v>5</v>
      </c>
      <c r="Q90" t="s">
        <v>62</v>
      </c>
    </row>
    <row r="91" spans="1:17" x14ac:dyDescent="0.3">
      <c r="A91" t="s">
        <v>227</v>
      </c>
      <c r="B91" s="2">
        <v>46178</v>
      </c>
      <c r="C91" t="s">
        <v>18</v>
      </c>
      <c r="D91" t="s">
        <v>52</v>
      </c>
      <c r="E91" t="s">
        <v>20</v>
      </c>
      <c r="F91" t="s">
        <v>131</v>
      </c>
      <c r="G91" t="s">
        <v>22</v>
      </c>
      <c r="H91" t="s">
        <v>23</v>
      </c>
      <c r="I91" t="s">
        <v>24</v>
      </c>
      <c r="J91">
        <v>1</v>
      </c>
      <c r="K91">
        <v>29600</v>
      </c>
      <c r="L91">
        <v>29600</v>
      </c>
      <c r="N91">
        <v>4</v>
      </c>
      <c r="Q91" t="s">
        <v>24</v>
      </c>
    </row>
    <row r="92" spans="1:17" x14ac:dyDescent="0.3">
      <c r="A92" t="s">
        <v>228</v>
      </c>
      <c r="B92" s="2">
        <v>46081</v>
      </c>
      <c r="C92" t="s">
        <v>18</v>
      </c>
      <c r="D92" t="s">
        <v>105</v>
      </c>
      <c r="E92" t="s">
        <v>48</v>
      </c>
      <c r="F92" t="s">
        <v>110</v>
      </c>
      <c r="G92" t="s">
        <v>30</v>
      </c>
      <c r="H92" t="s">
        <v>23</v>
      </c>
      <c r="I92" t="s">
        <v>24</v>
      </c>
      <c r="J92">
        <v>1</v>
      </c>
      <c r="K92">
        <v>63600</v>
      </c>
      <c r="L92">
        <v>63600</v>
      </c>
      <c r="N92">
        <v>22.8</v>
      </c>
      <c r="Q92" t="s">
        <v>24</v>
      </c>
    </row>
    <row r="93" spans="1:17" x14ac:dyDescent="0.3">
      <c r="A93" t="s">
        <v>229</v>
      </c>
      <c r="B93" s="2">
        <v>46002</v>
      </c>
      <c r="C93" t="s">
        <v>26</v>
      </c>
      <c r="D93" t="s">
        <v>114</v>
      </c>
      <c r="E93" t="s">
        <v>20</v>
      </c>
      <c r="F93" t="s">
        <v>230</v>
      </c>
      <c r="G93" t="s">
        <v>50</v>
      </c>
      <c r="J93">
        <v>0</v>
      </c>
      <c r="K93">
        <v>0</v>
      </c>
      <c r="L93">
        <v>0</v>
      </c>
      <c r="M93">
        <v>1</v>
      </c>
      <c r="N93">
        <v>8.5</v>
      </c>
      <c r="O93">
        <v>6.7</v>
      </c>
      <c r="P93">
        <v>3.3</v>
      </c>
      <c r="Q93" t="s">
        <v>31</v>
      </c>
    </row>
    <row r="94" spans="1:17" x14ac:dyDescent="0.3">
      <c r="A94" t="s">
        <v>231</v>
      </c>
      <c r="B94" s="2">
        <v>46126</v>
      </c>
      <c r="C94" t="s">
        <v>26</v>
      </c>
      <c r="D94" t="s">
        <v>232</v>
      </c>
      <c r="E94" t="s">
        <v>20</v>
      </c>
      <c r="F94" t="s">
        <v>233</v>
      </c>
      <c r="G94" t="s">
        <v>44</v>
      </c>
      <c r="J94">
        <v>0</v>
      </c>
      <c r="K94">
        <v>0</v>
      </c>
      <c r="L94">
        <v>0</v>
      </c>
      <c r="M94">
        <v>1</v>
      </c>
      <c r="N94">
        <v>1</v>
      </c>
      <c r="O94">
        <v>4.9000000000000004</v>
      </c>
      <c r="P94">
        <v>4.7</v>
      </c>
      <c r="Q94" t="s">
        <v>39</v>
      </c>
    </row>
    <row r="95" spans="1:17" x14ac:dyDescent="0.3">
      <c r="A95" t="s">
        <v>234</v>
      </c>
      <c r="B95" s="2">
        <v>46102</v>
      </c>
      <c r="C95" t="s">
        <v>26</v>
      </c>
      <c r="D95" t="s">
        <v>126</v>
      </c>
      <c r="E95" t="s">
        <v>20</v>
      </c>
      <c r="F95" t="s">
        <v>235</v>
      </c>
      <c r="G95" t="s">
        <v>30</v>
      </c>
      <c r="J95">
        <v>0</v>
      </c>
      <c r="K95">
        <v>0</v>
      </c>
      <c r="L95">
        <v>0</v>
      </c>
      <c r="M95">
        <v>1</v>
      </c>
      <c r="N95">
        <v>10.4</v>
      </c>
      <c r="O95">
        <v>7.2</v>
      </c>
      <c r="P95">
        <v>4.8</v>
      </c>
      <c r="Q95" t="s">
        <v>225</v>
      </c>
    </row>
    <row r="96" spans="1:17" x14ac:dyDescent="0.3">
      <c r="A96" t="s">
        <v>236</v>
      </c>
      <c r="B96" s="2">
        <v>46109</v>
      </c>
      <c r="C96" t="s">
        <v>26</v>
      </c>
      <c r="D96" t="s">
        <v>232</v>
      </c>
      <c r="E96" t="s">
        <v>42</v>
      </c>
      <c r="F96" t="s">
        <v>237</v>
      </c>
      <c r="G96" t="s">
        <v>50</v>
      </c>
      <c r="J96">
        <v>0</v>
      </c>
      <c r="K96">
        <v>0</v>
      </c>
      <c r="L96">
        <v>0</v>
      </c>
      <c r="M96">
        <v>1</v>
      </c>
      <c r="N96">
        <v>3</v>
      </c>
      <c r="O96">
        <v>10</v>
      </c>
      <c r="P96">
        <v>2.9</v>
      </c>
      <c r="Q96" t="s">
        <v>39</v>
      </c>
    </row>
    <row r="97" spans="1:17" x14ac:dyDescent="0.3">
      <c r="A97" t="s">
        <v>238</v>
      </c>
      <c r="B97" s="2">
        <v>45919</v>
      </c>
      <c r="C97" t="s">
        <v>18</v>
      </c>
      <c r="D97" t="s">
        <v>19</v>
      </c>
      <c r="E97" t="s">
        <v>20</v>
      </c>
      <c r="F97" t="s">
        <v>239</v>
      </c>
      <c r="G97" t="s">
        <v>44</v>
      </c>
      <c r="H97" t="s">
        <v>23</v>
      </c>
      <c r="I97" t="s">
        <v>79</v>
      </c>
      <c r="J97">
        <v>1</v>
      </c>
      <c r="K97">
        <v>30300</v>
      </c>
      <c r="L97">
        <v>0</v>
      </c>
      <c r="N97">
        <v>18.3</v>
      </c>
      <c r="Q97" t="s">
        <v>79</v>
      </c>
    </row>
    <row r="98" spans="1:17" x14ac:dyDescent="0.3">
      <c r="A98" t="s">
        <v>240</v>
      </c>
      <c r="B98" s="2">
        <v>46041</v>
      </c>
      <c r="C98" t="s">
        <v>18</v>
      </c>
      <c r="D98" t="s">
        <v>47</v>
      </c>
      <c r="E98" t="s">
        <v>28</v>
      </c>
      <c r="F98" t="s">
        <v>241</v>
      </c>
      <c r="G98" t="s">
        <v>22</v>
      </c>
      <c r="H98" t="s">
        <v>78</v>
      </c>
      <c r="I98" t="s">
        <v>45</v>
      </c>
      <c r="J98">
        <v>1</v>
      </c>
      <c r="K98">
        <v>22300</v>
      </c>
      <c r="L98">
        <v>0</v>
      </c>
      <c r="N98">
        <v>18.899999999999999</v>
      </c>
      <c r="Q98" t="s">
        <v>45</v>
      </c>
    </row>
    <row r="99" spans="1:17" x14ac:dyDescent="0.3">
      <c r="A99" t="s">
        <v>242</v>
      </c>
      <c r="B99" s="2">
        <v>45984</v>
      </c>
      <c r="C99" t="s">
        <v>18</v>
      </c>
      <c r="D99" t="s">
        <v>19</v>
      </c>
      <c r="E99" t="s">
        <v>48</v>
      </c>
      <c r="F99" t="s">
        <v>124</v>
      </c>
      <c r="G99" t="s">
        <v>44</v>
      </c>
      <c r="H99" t="s">
        <v>54</v>
      </c>
      <c r="I99" t="s">
        <v>24</v>
      </c>
      <c r="J99">
        <v>1</v>
      </c>
      <c r="K99">
        <v>43100</v>
      </c>
      <c r="L99">
        <v>43100</v>
      </c>
      <c r="N99">
        <v>19.399999999999999</v>
      </c>
      <c r="Q99" t="s">
        <v>24</v>
      </c>
    </row>
    <row r="100" spans="1:17" x14ac:dyDescent="0.3">
      <c r="A100" t="s">
        <v>243</v>
      </c>
      <c r="B100" s="2">
        <v>46116</v>
      </c>
      <c r="C100" t="s">
        <v>18</v>
      </c>
      <c r="D100" t="s">
        <v>105</v>
      </c>
      <c r="E100" t="s">
        <v>28</v>
      </c>
      <c r="F100" t="s">
        <v>244</v>
      </c>
      <c r="G100" t="s">
        <v>22</v>
      </c>
      <c r="H100" t="s">
        <v>86</v>
      </c>
      <c r="I100" t="s">
        <v>45</v>
      </c>
      <c r="J100">
        <v>1</v>
      </c>
      <c r="K100">
        <v>5000</v>
      </c>
      <c r="L100">
        <v>0</v>
      </c>
      <c r="N100">
        <v>1.2</v>
      </c>
      <c r="Q100" t="s">
        <v>45</v>
      </c>
    </row>
    <row r="101" spans="1:17" x14ac:dyDescent="0.3">
      <c r="A101" t="s">
        <v>245</v>
      </c>
      <c r="B101" s="2">
        <v>46264</v>
      </c>
      <c r="C101" t="s">
        <v>18</v>
      </c>
      <c r="D101" t="s">
        <v>95</v>
      </c>
      <c r="E101" t="s">
        <v>37</v>
      </c>
      <c r="F101" t="s">
        <v>246</v>
      </c>
      <c r="G101" t="s">
        <v>30</v>
      </c>
      <c r="H101" t="s">
        <v>23</v>
      </c>
      <c r="I101" t="s">
        <v>79</v>
      </c>
      <c r="J101">
        <v>1</v>
      </c>
      <c r="K101">
        <v>13500</v>
      </c>
      <c r="L101">
        <v>0</v>
      </c>
      <c r="N101">
        <v>9.6999999999999993</v>
      </c>
      <c r="Q101" t="s">
        <v>79</v>
      </c>
    </row>
    <row r="102" spans="1:17" x14ac:dyDescent="0.3">
      <c r="A102" t="s">
        <v>247</v>
      </c>
      <c r="B102" s="2">
        <v>46017</v>
      </c>
      <c r="C102" t="s">
        <v>18</v>
      </c>
      <c r="D102" t="s">
        <v>41</v>
      </c>
      <c r="E102" t="s">
        <v>20</v>
      </c>
      <c r="F102" t="s">
        <v>248</v>
      </c>
      <c r="G102" t="s">
        <v>22</v>
      </c>
      <c r="H102" t="s">
        <v>78</v>
      </c>
      <c r="I102" t="s">
        <v>24</v>
      </c>
      <c r="J102">
        <v>1</v>
      </c>
      <c r="K102">
        <v>59300</v>
      </c>
      <c r="L102">
        <v>59300</v>
      </c>
      <c r="N102">
        <v>23.8</v>
      </c>
      <c r="Q102" t="s">
        <v>24</v>
      </c>
    </row>
    <row r="103" spans="1:17" x14ac:dyDescent="0.3">
      <c r="A103" t="s">
        <v>249</v>
      </c>
      <c r="B103" s="2">
        <v>46249</v>
      </c>
      <c r="C103" t="s">
        <v>26</v>
      </c>
      <c r="D103" t="s">
        <v>232</v>
      </c>
      <c r="E103" t="s">
        <v>48</v>
      </c>
      <c r="F103" t="s">
        <v>250</v>
      </c>
      <c r="G103" t="s">
        <v>44</v>
      </c>
      <c r="J103">
        <v>0</v>
      </c>
      <c r="K103">
        <v>0</v>
      </c>
      <c r="L103">
        <v>0</v>
      </c>
      <c r="M103">
        <v>1</v>
      </c>
      <c r="N103">
        <v>3</v>
      </c>
      <c r="O103">
        <v>4</v>
      </c>
      <c r="P103">
        <v>4.0999999999999996</v>
      </c>
      <c r="Q103" t="s">
        <v>39</v>
      </c>
    </row>
    <row r="104" spans="1:17" x14ac:dyDescent="0.3">
      <c r="A104" t="s">
        <v>251</v>
      </c>
      <c r="B104" s="2">
        <v>46005</v>
      </c>
      <c r="C104" t="s">
        <v>18</v>
      </c>
      <c r="D104" t="s">
        <v>41</v>
      </c>
      <c r="E104" t="s">
        <v>20</v>
      </c>
      <c r="F104" t="s">
        <v>252</v>
      </c>
      <c r="G104" t="s">
        <v>44</v>
      </c>
      <c r="H104" t="s">
        <v>23</v>
      </c>
      <c r="I104" t="s">
        <v>89</v>
      </c>
      <c r="J104">
        <v>1</v>
      </c>
      <c r="K104">
        <v>77900</v>
      </c>
      <c r="L104">
        <v>0</v>
      </c>
      <c r="N104">
        <v>13.7</v>
      </c>
      <c r="Q104" t="s">
        <v>89</v>
      </c>
    </row>
    <row r="105" spans="1:17" x14ac:dyDescent="0.3">
      <c r="A105" t="s">
        <v>253</v>
      </c>
      <c r="B105" s="2">
        <v>46049</v>
      </c>
      <c r="C105" t="s">
        <v>18</v>
      </c>
      <c r="D105" t="s">
        <v>64</v>
      </c>
      <c r="E105" t="s">
        <v>48</v>
      </c>
      <c r="F105" t="s">
        <v>254</v>
      </c>
      <c r="G105" t="s">
        <v>30</v>
      </c>
      <c r="H105" t="s">
        <v>23</v>
      </c>
      <c r="I105" t="s">
        <v>79</v>
      </c>
      <c r="J105">
        <v>1</v>
      </c>
      <c r="K105">
        <v>14800</v>
      </c>
      <c r="L105">
        <v>0</v>
      </c>
      <c r="N105">
        <v>22.7</v>
      </c>
      <c r="Q105" t="s">
        <v>79</v>
      </c>
    </row>
    <row r="106" spans="1:17" x14ac:dyDescent="0.3">
      <c r="A106" t="s">
        <v>255</v>
      </c>
      <c r="B106" s="2">
        <v>45940</v>
      </c>
      <c r="C106" t="s">
        <v>26</v>
      </c>
      <c r="D106" t="s">
        <v>27</v>
      </c>
      <c r="E106" t="s">
        <v>20</v>
      </c>
      <c r="F106" t="s">
        <v>256</v>
      </c>
      <c r="G106" t="s">
        <v>44</v>
      </c>
      <c r="J106">
        <v>0</v>
      </c>
      <c r="K106">
        <v>0</v>
      </c>
      <c r="L106">
        <v>0</v>
      </c>
      <c r="M106">
        <v>1</v>
      </c>
      <c r="N106">
        <v>10.7</v>
      </c>
      <c r="O106">
        <v>8.5</v>
      </c>
      <c r="P106">
        <v>3</v>
      </c>
      <c r="Q106" t="s">
        <v>39</v>
      </c>
    </row>
    <row r="107" spans="1:17" x14ac:dyDescent="0.3">
      <c r="A107" t="s">
        <v>257</v>
      </c>
      <c r="B107" s="2">
        <v>46047</v>
      </c>
      <c r="C107" t="s">
        <v>18</v>
      </c>
      <c r="D107" t="s">
        <v>95</v>
      </c>
      <c r="E107" t="s">
        <v>48</v>
      </c>
      <c r="F107" t="s">
        <v>258</v>
      </c>
      <c r="G107" t="s">
        <v>30</v>
      </c>
      <c r="H107" t="s">
        <v>54</v>
      </c>
      <c r="I107" t="s">
        <v>89</v>
      </c>
      <c r="J107">
        <v>1</v>
      </c>
      <c r="K107">
        <v>20300</v>
      </c>
      <c r="L107">
        <v>0</v>
      </c>
      <c r="N107">
        <v>2.7</v>
      </c>
      <c r="Q107" t="s">
        <v>89</v>
      </c>
    </row>
    <row r="108" spans="1:17" x14ac:dyDescent="0.3">
      <c r="A108" t="s">
        <v>259</v>
      </c>
      <c r="B108" s="2">
        <v>46183</v>
      </c>
      <c r="C108" t="s">
        <v>18</v>
      </c>
      <c r="D108" t="s">
        <v>95</v>
      </c>
      <c r="E108" t="s">
        <v>28</v>
      </c>
      <c r="F108" t="s">
        <v>260</v>
      </c>
      <c r="G108" t="s">
        <v>44</v>
      </c>
      <c r="H108" t="s">
        <v>54</v>
      </c>
      <c r="I108" t="s">
        <v>24</v>
      </c>
      <c r="J108">
        <v>1</v>
      </c>
      <c r="K108">
        <v>47800</v>
      </c>
      <c r="L108">
        <v>47800</v>
      </c>
      <c r="N108">
        <v>4.0999999999999996</v>
      </c>
      <c r="Q108" t="s">
        <v>24</v>
      </c>
    </row>
    <row r="109" spans="1:17" x14ac:dyDescent="0.3">
      <c r="A109" t="s">
        <v>261</v>
      </c>
      <c r="B109" s="2">
        <v>46081</v>
      </c>
      <c r="C109" t="s">
        <v>26</v>
      </c>
      <c r="D109" t="s">
        <v>36</v>
      </c>
      <c r="E109" t="s">
        <v>20</v>
      </c>
      <c r="F109" t="s">
        <v>262</v>
      </c>
      <c r="G109" t="s">
        <v>22</v>
      </c>
      <c r="J109">
        <v>0</v>
      </c>
      <c r="K109">
        <v>0</v>
      </c>
      <c r="L109">
        <v>0</v>
      </c>
      <c r="M109">
        <v>1</v>
      </c>
      <c r="N109">
        <v>1.6</v>
      </c>
      <c r="O109">
        <v>1.4</v>
      </c>
      <c r="P109">
        <v>4.5999999999999996</v>
      </c>
      <c r="Q109" t="s">
        <v>39</v>
      </c>
    </row>
    <row r="110" spans="1:17" x14ac:dyDescent="0.3">
      <c r="A110" t="s">
        <v>263</v>
      </c>
      <c r="B110" s="2">
        <v>46038</v>
      </c>
      <c r="C110" t="s">
        <v>18</v>
      </c>
      <c r="D110" t="s">
        <v>19</v>
      </c>
      <c r="E110" t="s">
        <v>20</v>
      </c>
      <c r="F110" t="s">
        <v>264</v>
      </c>
      <c r="G110" t="s">
        <v>30</v>
      </c>
      <c r="H110" t="s">
        <v>23</v>
      </c>
      <c r="I110" t="s">
        <v>79</v>
      </c>
      <c r="J110">
        <v>1</v>
      </c>
      <c r="K110">
        <v>50500</v>
      </c>
      <c r="L110">
        <v>0</v>
      </c>
      <c r="N110">
        <v>15.6</v>
      </c>
      <c r="Q110" t="s">
        <v>79</v>
      </c>
    </row>
    <row r="111" spans="1:17" x14ac:dyDescent="0.3">
      <c r="A111" t="s">
        <v>265</v>
      </c>
      <c r="B111" s="2">
        <v>46069</v>
      </c>
      <c r="C111" t="s">
        <v>18</v>
      </c>
      <c r="D111" t="s">
        <v>52</v>
      </c>
      <c r="E111" t="s">
        <v>28</v>
      </c>
      <c r="F111" t="s">
        <v>266</v>
      </c>
      <c r="G111" t="s">
        <v>22</v>
      </c>
      <c r="H111" t="s">
        <v>78</v>
      </c>
      <c r="I111" t="s">
        <v>24</v>
      </c>
      <c r="J111">
        <v>1</v>
      </c>
      <c r="K111">
        <v>11200</v>
      </c>
      <c r="L111">
        <v>11200</v>
      </c>
      <c r="N111">
        <v>19.7</v>
      </c>
      <c r="Q111" t="s">
        <v>24</v>
      </c>
    </row>
    <row r="112" spans="1:17" x14ac:dyDescent="0.3">
      <c r="A112" t="s">
        <v>267</v>
      </c>
      <c r="B112" s="2">
        <v>46106</v>
      </c>
      <c r="C112" t="s">
        <v>18</v>
      </c>
      <c r="D112" t="s">
        <v>64</v>
      </c>
      <c r="E112" t="s">
        <v>20</v>
      </c>
      <c r="F112" t="s">
        <v>268</v>
      </c>
      <c r="G112" t="s">
        <v>30</v>
      </c>
      <c r="H112" t="s">
        <v>66</v>
      </c>
      <c r="I112" t="s">
        <v>89</v>
      </c>
      <c r="J112">
        <v>1</v>
      </c>
      <c r="K112">
        <v>26600</v>
      </c>
      <c r="L112">
        <v>0</v>
      </c>
      <c r="N112">
        <v>4</v>
      </c>
      <c r="Q112" t="s">
        <v>89</v>
      </c>
    </row>
    <row r="113" spans="1:17" x14ac:dyDescent="0.3">
      <c r="A113" t="s">
        <v>269</v>
      </c>
      <c r="B113" s="2">
        <v>46172</v>
      </c>
      <c r="C113" t="s">
        <v>18</v>
      </c>
      <c r="D113" t="s">
        <v>47</v>
      </c>
      <c r="E113" t="s">
        <v>20</v>
      </c>
      <c r="F113" t="s">
        <v>270</v>
      </c>
      <c r="G113" t="s">
        <v>44</v>
      </c>
      <c r="H113" t="s">
        <v>23</v>
      </c>
      <c r="I113" t="s">
        <v>67</v>
      </c>
      <c r="J113">
        <v>1</v>
      </c>
      <c r="K113">
        <v>71400</v>
      </c>
      <c r="L113">
        <v>0</v>
      </c>
      <c r="N113">
        <v>22.9</v>
      </c>
      <c r="Q113" t="s">
        <v>67</v>
      </c>
    </row>
    <row r="114" spans="1:17" x14ac:dyDescent="0.3">
      <c r="A114" t="s">
        <v>271</v>
      </c>
      <c r="B114" s="2">
        <v>45910</v>
      </c>
      <c r="C114" t="s">
        <v>26</v>
      </c>
      <c r="D114" t="s">
        <v>27</v>
      </c>
      <c r="E114" t="s">
        <v>48</v>
      </c>
      <c r="F114" t="s">
        <v>272</v>
      </c>
      <c r="G114" t="s">
        <v>30</v>
      </c>
      <c r="J114">
        <v>0</v>
      </c>
      <c r="K114">
        <v>0</v>
      </c>
      <c r="L114">
        <v>0</v>
      </c>
      <c r="M114">
        <v>1</v>
      </c>
      <c r="N114">
        <v>1.6</v>
      </c>
      <c r="O114">
        <v>9</v>
      </c>
      <c r="P114">
        <v>5</v>
      </c>
      <c r="Q114" t="s">
        <v>225</v>
      </c>
    </row>
    <row r="115" spans="1:17" x14ac:dyDescent="0.3">
      <c r="A115" t="s">
        <v>273</v>
      </c>
      <c r="B115" s="2">
        <v>45951</v>
      </c>
      <c r="C115" t="s">
        <v>26</v>
      </c>
      <c r="D115" t="s">
        <v>72</v>
      </c>
      <c r="E115" t="s">
        <v>20</v>
      </c>
      <c r="F115" t="s">
        <v>274</v>
      </c>
      <c r="G115" t="s">
        <v>44</v>
      </c>
      <c r="J115">
        <v>0</v>
      </c>
      <c r="K115">
        <v>0</v>
      </c>
      <c r="L115">
        <v>0</v>
      </c>
      <c r="M115">
        <v>1</v>
      </c>
      <c r="N115">
        <v>8.4</v>
      </c>
      <c r="O115">
        <v>23.7</v>
      </c>
      <c r="P115">
        <v>3.9</v>
      </c>
      <c r="Q115" t="s">
        <v>31</v>
      </c>
    </row>
    <row r="116" spans="1:17" x14ac:dyDescent="0.3">
      <c r="A116" t="s">
        <v>275</v>
      </c>
      <c r="B116" s="2">
        <v>46067</v>
      </c>
      <c r="C116" t="s">
        <v>26</v>
      </c>
      <c r="D116" t="s">
        <v>114</v>
      </c>
      <c r="E116" t="s">
        <v>28</v>
      </c>
      <c r="F116" t="s">
        <v>276</v>
      </c>
      <c r="G116" t="s">
        <v>22</v>
      </c>
      <c r="J116">
        <v>0</v>
      </c>
      <c r="K116">
        <v>0</v>
      </c>
      <c r="L116">
        <v>0</v>
      </c>
      <c r="M116">
        <v>1</v>
      </c>
      <c r="N116">
        <v>0.7</v>
      </c>
      <c r="O116">
        <v>5.5</v>
      </c>
      <c r="P116">
        <v>3.8</v>
      </c>
      <c r="Q116" t="s">
        <v>225</v>
      </c>
    </row>
    <row r="117" spans="1:17" x14ac:dyDescent="0.3">
      <c r="A117" t="s">
        <v>277</v>
      </c>
      <c r="B117" s="2">
        <v>46145</v>
      </c>
      <c r="C117" t="s">
        <v>26</v>
      </c>
      <c r="D117" t="s">
        <v>114</v>
      </c>
      <c r="E117" t="s">
        <v>28</v>
      </c>
      <c r="F117" t="s">
        <v>278</v>
      </c>
      <c r="G117" t="s">
        <v>44</v>
      </c>
      <c r="J117">
        <v>0</v>
      </c>
      <c r="K117">
        <v>0</v>
      </c>
      <c r="L117">
        <v>0</v>
      </c>
      <c r="M117">
        <v>1</v>
      </c>
      <c r="N117">
        <v>6.8</v>
      </c>
      <c r="O117">
        <v>11.4</v>
      </c>
      <c r="P117">
        <v>4.0999999999999996</v>
      </c>
      <c r="Q117" t="s">
        <v>39</v>
      </c>
    </row>
    <row r="118" spans="1:17" x14ac:dyDescent="0.3">
      <c r="A118" t="s">
        <v>279</v>
      </c>
      <c r="B118" s="2">
        <v>46171</v>
      </c>
      <c r="C118" t="s">
        <v>26</v>
      </c>
      <c r="D118" t="s">
        <v>27</v>
      </c>
      <c r="E118" t="s">
        <v>48</v>
      </c>
      <c r="F118" t="s">
        <v>280</v>
      </c>
      <c r="G118" t="s">
        <v>30</v>
      </c>
      <c r="J118">
        <v>0</v>
      </c>
      <c r="K118">
        <v>0</v>
      </c>
      <c r="L118">
        <v>0</v>
      </c>
      <c r="M118">
        <v>1</v>
      </c>
      <c r="N118">
        <v>0.4</v>
      </c>
      <c r="O118">
        <v>5.9</v>
      </c>
      <c r="P118">
        <v>3</v>
      </c>
      <c r="Q118" t="s">
        <v>225</v>
      </c>
    </row>
    <row r="119" spans="1:17" x14ac:dyDescent="0.3">
      <c r="A119" t="s">
        <v>281</v>
      </c>
      <c r="B119" s="2">
        <v>46239</v>
      </c>
      <c r="C119" t="s">
        <v>18</v>
      </c>
      <c r="D119" t="s">
        <v>64</v>
      </c>
      <c r="E119" t="s">
        <v>37</v>
      </c>
      <c r="F119" t="s">
        <v>282</v>
      </c>
      <c r="G119" t="s">
        <v>22</v>
      </c>
      <c r="H119" t="s">
        <v>78</v>
      </c>
      <c r="I119" t="s">
        <v>45</v>
      </c>
      <c r="J119">
        <v>1</v>
      </c>
      <c r="K119">
        <v>30200</v>
      </c>
      <c r="L119">
        <v>0</v>
      </c>
      <c r="N119">
        <v>19.5</v>
      </c>
      <c r="Q119" t="s">
        <v>45</v>
      </c>
    </row>
    <row r="120" spans="1:17" x14ac:dyDescent="0.3">
      <c r="A120" t="s">
        <v>283</v>
      </c>
      <c r="B120" s="2">
        <v>45995</v>
      </c>
      <c r="C120" t="s">
        <v>26</v>
      </c>
      <c r="D120" t="s">
        <v>232</v>
      </c>
      <c r="E120" t="s">
        <v>20</v>
      </c>
      <c r="F120" t="s">
        <v>284</v>
      </c>
      <c r="G120" t="s">
        <v>50</v>
      </c>
      <c r="J120">
        <v>0</v>
      </c>
      <c r="K120">
        <v>0</v>
      </c>
      <c r="L120">
        <v>0</v>
      </c>
      <c r="M120">
        <v>1</v>
      </c>
      <c r="N120">
        <v>8.1</v>
      </c>
      <c r="O120">
        <v>4.8</v>
      </c>
      <c r="P120">
        <v>3.9</v>
      </c>
      <c r="Q120" t="s">
        <v>62</v>
      </c>
    </row>
    <row r="121" spans="1:17" x14ac:dyDescent="0.3">
      <c r="A121" t="s">
        <v>285</v>
      </c>
      <c r="B121" s="2">
        <v>46014</v>
      </c>
      <c r="C121" t="s">
        <v>18</v>
      </c>
      <c r="D121" t="s">
        <v>64</v>
      </c>
      <c r="E121" t="s">
        <v>28</v>
      </c>
      <c r="F121" t="s">
        <v>286</v>
      </c>
      <c r="G121" t="s">
        <v>44</v>
      </c>
      <c r="H121" t="s">
        <v>23</v>
      </c>
      <c r="I121" t="s">
        <v>55</v>
      </c>
      <c r="J121">
        <v>1</v>
      </c>
      <c r="K121">
        <v>39300</v>
      </c>
      <c r="L121">
        <v>0</v>
      </c>
      <c r="N121">
        <v>13.4</v>
      </c>
      <c r="Q121" t="s">
        <v>55</v>
      </c>
    </row>
    <row r="122" spans="1:17" x14ac:dyDescent="0.3">
      <c r="A122" t="s">
        <v>287</v>
      </c>
      <c r="B122" s="2">
        <v>46026</v>
      </c>
      <c r="C122" t="s">
        <v>26</v>
      </c>
      <c r="D122" t="s">
        <v>27</v>
      </c>
      <c r="E122" t="s">
        <v>20</v>
      </c>
      <c r="F122" t="s">
        <v>288</v>
      </c>
      <c r="G122" t="s">
        <v>30</v>
      </c>
      <c r="J122">
        <v>0</v>
      </c>
      <c r="K122">
        <v>0</v>
      </c>
      <c r="L122">
        <v>0</v>
      </c>
      <c r="M122">
        <v>1</v>
      </c>
      <c r="N122">
        <v>4.0999999999999996</v>
      </c>
      <c r="O122">
        <v>20</v>
      </c>
      <c r="P122">
        <v>3.6</v>
      </c>
      <c r="Q122" t="s">
        <v>39</v>
      </c>
    </row>
    <row r="123" spans="1:17" x14ac:dyDescent="0.3">
      <c r="A123" t="s">
        <v>289</v>
      </c>
      <c r="B123" s="2">
        <v>45959</v>
      </c>
      <c r="C123" t="s">
        <v>26</v>
      </c>
      <c r="D123" t="s">
        <v>33</v>
      </c>
      <c r="E123" t="s">
        <v>20</v>
      </c>
      <c r="F123" t="s">
        <v>290</v>
      </c>
      <c r="G123" t="s">
        <v>22</v>
      </c>
      <c r="J123">
        <v>0</v>
      </c>
      <c r="K123">
        <v>0</v>
      </c>
      <c r="L123">
        <v>0</v>
      </c>
      <c r="M123">
        <v>1</v>
      </c>
      <c r="N123">
        <v>8.1999999999999993</v>
      </c>
      <c r="O123">
        <v>7.2</v>
      </c>
      <c r="P123">
        <v>4.2</v>
      </c>
      <c r="Q123" t="s">
        <v>31</v>
      </c>
    </row>
    <row r="124" spans="1:17" x14ac:dyDescent="0.3">
      <c r="A124" t="s">
        <v>291</v>
      </c>
      <c r="B124" s="2">
        <v>45979</v>
      </c>
      <c r="C124" t="s">
        <v>18</v>
      </c>
      <c r="D124" t="s">
        <v>64</v>
      </c>
      <c r="E124" t="s">
        <v>20</v>
      </c>
      <c r="F124" t="s">
        <v>292</v>
      </c>
      <c r="G124" t="s">
        <v>30</v>
      </c>
      <c r="H124" t="s">
        <v>86</v>
      </c>
      <c r="I124" t="s">
        <v>79</v>
      </c>
      <c r="J124">
        <v>1</v>
      </c>
      <c r="K124">
        <v>30300</v>
      </c>
      <c r="L124">
        <v>0</v>
      </c>
      <c r="N124">
        <v>22</v>
      </c>
      <c r="Q124" t="s">
        <v>79</v>
      </c>
    </row>
    <row r="125" spans="1:17" x14ac:dyDescent="0.3">
      <c r="A125" t="s">
        <v>293</v>
      </c>
      <c r="B125" s="2">
        <v>46118</v>
      </c>
      <c r="C125" t="s">
        <v>18</v>
      </c>
      <c r="D125" t="s">
        <v>41</v>
      </c>
      <c r="E125" t="s">
        <v>20</v>
      </c>
      <c r="F125" t="s">
        <v>270</v>
      </c>
      <c r="G125" t="s">
        <v>30</v>
      </c>
      <c r="H125" t="s">
        <v>23</v>
      </c>
      <c r="I125" t="s">
        <v>79</v>
      </c>
      <c r="J125">
        <v>1</v>
      </c>
      <c r="K125">
        <v>19400</v>
      </c>
      <c r="L125">
        <v>0</v>
      </c>
      <c r="N125">
        <v>13.6</v>
      </c>
      <c r="Q125" t="s">
        <v>79</v>
      </c>
    </row>
    <row r="126" spans="1:17" x14ac:dyDescent="0.3">
      <c r="A126" t="s">
        <v>294</v>
      </c>
      <c r="B126" s="2">
        <v>45982</v>
      </c>
      <c r="C126" t="s">
        <v>18</v>
      </c>
      <c r="D126" t="s">
        <v>41</v>
      </c>
      <c r="E126" t="s">
        <v>37</v>
      </c>
      <c r="F126" t="s">
        <v>295</v>
      </c>
      <c r="G126" t="s">
        <v>30</v>
      </c>
      <c r="H126" t="s">
        <v>78</v>
      </c>
      <c r="I126" t="s">
        <v>89</v>
      </c>
      <c r="J126">
        <v>1</v>
      </c>
      <c r="K126">
        <v>20700</v>
      </c>
      <c r="L126">
        <v>0</v>
      </c>
      <c r="N126">
        <v>6.8</v>
      </c>
      <c r="Q126" t="s">
        <v>89</v>
      </c>
    </row>
    <row r="127" spans="1:17" x14ac:dyDescent="0.3">
      <c r="A127" t="s">
        <v>296</v>
      </c>
      <c r="B127" s="2">
        <v>46024</v>
      </c>
      <c r="C127" t="s">
        <v>18</v>
      </c>
      <c r="D127" t="s">
        <v>19</v>
      </c>
      <c r="E127" t="s">
        <v>48</v>
      </c>
      <c r="F127" t="s">
        <v>297</v>
      </c>
      <c r="G127" t="s">
        <v>30</v>
      </c>
      <c r="H127" t="s">
        <v>23</v>
      </c>
      <c r="I127" t="s">
        <v>89</v>
      </c>
      <c r="J127">
        <v>1</v>
      </c>
      <c r="K127">
        <v>7400</v>
      </c>
      <c r="L127">
        <v>0</v>
      </c>
      <c r="N127">
        <v>22.2</v>
      </c>
      <c r="Q127" t="s">
        <v>89</v>
      </c>
    </row>
    <row r="128" spans="1:17" x14ac:dyDescent="0.3">
      <c r="A128" t="s">
        <v>298</v>
      </c>
      <c r="B128" s="2">
        <v>45920</v>
      </c>
      <c r="C128" t="s">
        <v>26</v>
      </c>
      <c r="D128" t="s">
        <v>27</v>
      </c>
      <c r="E128" t="s">
        <v>20</v>
      </c>
      <c r="F128" t="s">
        <v>299</v>
      </c>
      <c r="G128" t="s">
        <v>30</v>
      </c>
      <c r="J128">
        <v>0</v>
      </c>
      <c r="K128">
        <v>0</v>
      </c>
      <c r="L128">
        <v>0</v>
      </c>
      <c r="M128">
        <v>1</v>
      </c>
      <c r="N128">
        <v>1.2</v>
      </c>
      <c r="O128">
        <v>12.2</v>
      </c>
      <c r="P128">
        <v>5</v>
      </c>
      <c r="Q128" t="s">
        <v>225</v>
      </c>
    </row>
    <row r="129" spans="1:17" x14ac:dyDescent="0.3">
      <c r="A129" t="s">
        <v>300</v>
      </c>
      <c r="B129" s="2">
        <v>46034</v>
      </c>
      <c r="C129" t="s">
        <v>26</v>
      </c>
      <c r="D129" t="s">
        <v>114</v>
      </c>
      <c r="E129" t="s">
        <v>20</v>
      </c>
      <c r="F129" t="s">
        <v>301</v>
      </c>
      <c r="G129" t="s">
        <v>44</v>
      </c>
      <c r="J129">
        <v>0</v>
      </c>
      <c r="K129">
        <v>0</v>
      </c>
      <c r="L129">
        <v>0</v>
      </c>
      <c r="M129">
        <v>1</v>
      </c>
      <c r="N129">
        <v>7</v>
      </c>
      <c r="O129">
        <v>8.1999999999999993</v>
      </c>
      <c r="P129">
        <v>2.9</v>
      </c>
      <c r="Q129" t="s">
        <v>39</v>
      </c>
    </row>
    <row r="130" spans="1:17" x14ac:dyDescent="0.3">
      <c r="A130" t="s">
        <v>302</v>
      </c>
      <c r="B130" s="2">
        <v>45965</v>
      </c>
      <c r="C130" t="s">
        <v>18</v>
      </c>
      <c r="D130" t="s">
        <v>117</v>
      </c>
      <c r="E130" t="s">
        <v>20</v>
      </c>
      <c r="F130" t="s">
        <v>140</v>
      </c>
      <c r="G130" t="s">
        <v>44</v>
      </c>
      <c r="H130" t="s">
        <v>66</v>
      </c>
      <c r="I130" t="s">
        <v>79</v>
      </c>
      <c r="J130">
        <v>1</v>
      </c>
      <c r="K130">
        <v>29500</v>
      </c>
      <c r="L130">
        <v>0</v>
      </c>
      <c r="N130">
        <v>17</v>
      </c>
      <c r="Q130" t="s">
        <v>79</v>
      </c>
    </row>
    <row r="131" spans="1:17" x14ac:dyDescent="0.3">
      <c r="A131" t="s">
        <v>303</v>
      </c>
      <c r="B131" s="2">
        <v>45925</v>
      </c>
      <c r="C131" t="s">
        <v>18</v>
      </c>
      <c r="D131" t="s">
        <v>41</v>
      </c>
      <c r="E131" t="s">
        <v>20</v>
      </c>
      <c r="F131" t="s">
        <v>304</v>
      </c>
      <c r="G131" t="s">
        <v>50</v>
      </c>
      <c r="H131" t="s">
        <v>78</v>
      </c>
      <c r="I131" t="s">
        <v>67</v>
      </c>
      <c r="J131">
        <v>1</v>
      </c>
      <c r="K131">
        <v>8100</v>
      </c>
      <c r="L131">
        <v>0</v>
      </c>
      <c r="N131">
        <v>22.6</v>
      </c>
      <c r="Q131" t="s">
        <v>67</v>
      </c>
    </row>
    <row r="132" spans="1:17" x14ac:dyDescent="0.3">
      <c r="A132" t="s">
        <v>305</v>
      </c>
      <c r="B132" s="2">
        <v>46038</v>
      </c>
      <c r="C132" t="s">
        <v>18</v>
      </c>
      <c r="D132" t="s">
        <v>19</v>
      </c>
      <c r="E132" t="s">
        <v>20</v>
      </c>
      <c r="F132" t="s">
        <v>306</v>
      </c>
      <c r="G132" t="s">
        <v>44</v>
      </c>
      <c r="H132" t="s">
        <v>23</v>
      </c>
      <c r="I132" t="s">
        <v>79</v>
      </c>
      <c r="J132">
        <v>1</v>
      </c>
      <c r="K132">
        <v>11500</v>
      </c>
      <c r="L132">
        <v>0</v>
      </c>
      <c r="N132">
        <v>18.100000000000001</v>
      </c>
      <c r="Q132" t="s">
        <v>79</v>
      </c>
    </row>
    <row r="133" spans="1:17" x14ac:dyDescent="0.3">
      <c r="A133" t="s">
        <v>307</v>
      </c>
      <c r="B133" s="2">
        <v>46027</v>
      </c>
      <c r="C133" t="s">
        <v>18</v>
      </c>
      <c r="D133" t="s">
        <v>105</v>
      </c>
      <c r="E133" t="s">
        <v>28</v>
      </c>
      <c r="F133" t="s">
        <v>308</v>
      </c>
      <c r="G133" t="s">
        <v>30</v>
      </c>
      <c r="H133" t="s">
        <v>86</v>
      </c>
      <c r="I133" t="s">
        <v>45</v>
      </c>
      <c r="J133">
        <v>1</v>
      </c>
      <c r="K133">
        <v>19800</v>
      </c>
      <c r="L133">
        <v>0</v>
      </c>
      <c r="N133">
        <v>23.9</v>
      </c>
      <c r="Q133" t="s">
        <v>45</v>
      </c>
    </row>
    <row r="134" spans="1:17" x14ac:dyDescent="0.3">
      <c r="A134" t="s">
        <v>309</v>
      </c>
      <c r="B134" s="2">
        <v>46248</v>
      </c>
      <c r="C134" t="s">
        <v>18</v>
      </c>
      <c r="D134" t="s">
        <v>41</v>
      </c>
      <c r="E134" t="s">
        <v>48</v>
      </c>
      <c r="F134" t="s">
        <v>310</v>
      </c>
      <c r="G134" t="s">
        <v>44</v>
      </c>
      <c r="H134" t="s">
        <v>23</v>
      </c>
      <c r="I134" t="s">
        <v>55</v>
      </c>
      <c r="J134">
        <v>1</v>
      </c>
      <c r="K134">
        <v>27500</v>
      </c>
      <c r="L134">
        <v>0</v>
      </c>
      <c r="N134">
        <v>17.899999999999999</v>
      </c>
      <c r="Q134" t="s">
        <v>55</v>
      </c>
    </row>
    <row r="135" spans="1:17" x14ac:dyDescent="0.3">
      <c r="A135" t="s">
        <v>311</v>
      </c>
      <c r="B135" s="2">
        <v>45947</v>
      </c>
      <c r="C135" t="s">
        <v>18</v>
      </c>
      <c r="D135" t="s">
        <v>117</v>
      </c>
      <c r="E135" t="s">
        <v>20</v>
      </c>
      <c r="F135" t="s">
        <v>312</v>
      </c>
      <c r="G135" t="s">
        <v>50</v>
      </c>
      <c r="H135" t="s">
        <v>23</v>
      </c>
      <c r="I135" t="s">
        <v>45</v>
      </c>
      <c r="J135">
        <v>1</v>
      </c>
      <c r="K135">
        <v>18500</v>
      </c>
      <c r="L135">
        <v>0</v>
      </c>
      <c r="N135">
        <v>10.5</v>
      </c>
      <c r="Q135" t="s">
        <v>45</v>
      </c>
    </row>
    <row r="136" spans="1:17" x14ac:dyDescent="0.3">
      <c r="A136" t="s">
        <v>313</v>
      </c>
      <c r="B136" s="2">
        <v>46218</v>
      </c>
      <c r="C136" t="s">
        <v>26</v>
      </c>
      <c r="D136" t="s">
        <v>33</v>
      </c>
      <c r="E136" t="s">
        <v>48</v>
      </c>
      <c r="F136" t="s">
        <v>314</v>
      </c>
      <c r="G136" t="s">
        <v>22</v>
      </c>
      <c r="J136">
        <v>0</v>
      </c>
      <c r="K136">
        <v>0</v>
      </c>
      <c r="L136">
        <v>0</v>
      </c>
      <c r="M136">
        <v>1</v>
      </c>
      <c r="N136">
        <v>11.4</v>
      </c>
      <c r="O136">
        <v>9.9</v>
      </c>
      <c r="P136">
        <v>4.4000000000000004</v>
      </c>
      <c r="Q136" t="s">
        <v>31</v>
      </c>
    </row>
    <row r="137" spans="1:17" x14ac:dyDescent="0.3">
      <c r="A137" t="s">
        <v>315</v>
      </c>
      <c r="B137" s="2">
        <v>46219</v>
      </c>
      <c r="C137" t="s">
        <v>18</v>
      </c>
      <c r="D137" t="s">
        <v>64</v>
      </c>
      <c r="E137" t="s">
        <v>48</v>
      </c>
      <c r="F137" t="s">
        <v>316</v>
      </c>
      <c r="G137" t="s">
        <v>44</v>
      </c>
      <c r="H137" t="s">
        <v>54</v>
      </c>
      <c r="I137" t="s">
        <v>24</v>
      </c>
      <c r="J137">
        <v>1</v>
      </c>
      <c r="K137">
        <v>12400</v>
      </c>
      <c r="L137">
        <v>12400</v>
      </c>
      <c r="N137">
        <v>9.1999999999999993</v>
      </c>
      <c r="Q137" t="s">
        <v>24</v>
      </c>
    </row>
    <row r="138" spans="1:17" x14ac:dyDescent="0.3">
      <c r="A138" t="s">
        <v>317</v>
      </c>
      <c r="B138" s="2">
        <v>45973</v>
      </c>
      <c r="C138" t="s">
        <v>18</v>
      </c>
      <c r="D138" t="s">
        <v>41</v>
      </c>
      <c r="E138" t="s">
        <v>20</v>
      </c>
      <c r="F138" t="s">
        <v>29</v>
      </c>
      <c r="G138" t="s">
        <v>50</v>
      </c>
      <c r="H138" t="s">
        <v>78</v>
      </c>
      <c r="I138" t="s">
        <v>79</v>
      </c>
      <c r="J138">
        <v>1</v>
      </c>
      <c r="K138">
        <v>22700</v>
      </c>
      <c r="L138">
        <v>0</v>
      </c>
      <c r="N138">
        <v>20.7</v>
      </c>
      <c r="Q138" t="s">
        <v>79</v>
      </c>
    </row>
    <row r="139" spans="1:17" x14ac:dyDescent="0.3">
      <c r="A139" t="s">
        <v>318</v>
      </c>
      <c r="B139" s="2">
        <v>46238</v>
      </c>
      <c r="C139" t="s">
        <v>26</v>
      </c>
      <c r="D139" t="s">
        <v>232</v>
      </c>
      <c r="E139" t="s">
        <v>28</v>
      </c>
      <c r="F139" t="s">
        <v>43</v>
      </c>
      <c r="G139" t="s">
        <v>22</v>
      </c>
      <c r="J139">
        <v>0</v>
      </c>
      <c r="K139">
        <v>0</v>
      </c>
      <c r="L139">
        <v>0</v>
      </c>
      <c r="M139">
        <v>1</v>
      </c>
      <c r="N139">
        <v>8.5</v>
      </c>
      <c r="O139">
        <v>2</v>
      </c>
      <c r="P139">
        <v>2.9</v>
      </c>
      <c r="Q139" t="s">
        <v>62</v>
      </c>
    </row>
    <row r="140" spans="1:17" x14ac:dyDescent="0.3">
      <c r="A140" t="s">
        <v>319</v>
      </c>
      <c r="B140" s="2">
        <v>45937</v>
      </c>
      <c r="C140" t="s">
        <v>18</v>
      </c>
      <c r="D140" t="s">
        <v>52</v>
      </c>
      <c r="E140" t="s">
        <v>28</v>
      </c>
      <c r="F140" t="s">
        <v>320</v>
      </c>
      <c r="G140" t="s">
        <v>44</v>
      </c>
      <c r="H140" t="s">
        <v>78</v>
      </c>
      <c r="I140" t="s">
        <v>67</v>
      </c>
      <c r="J140">
        <v>1</v>
      </c>
      <c r="K140">
        <v>29700</v>
      </c>
      <c r="L140">
        <v>0</v>
      </c>
      <c r="N140">
        <v>10.1</v>
      </c>
      <c r="Q140" t="s">
        <v>67</v>
      </c>
    </row>
    <row r="141" spans="1:17" x14ac:dyDescent="0.3">
      <c r="A141" t="s">
        <v>321</v>
      </c>
      <c r="B141" s="2">
        <v>46263</v>
      </c>
      <c r="C141" t="s">
        <v>26</v>
      </c>
      <c r="D141" t="s">
        <v>114</v>
      </c>
      <c r="E141" t="s">
        <v>48</v>
      </c>
      <c r="F141" t="s">
        <v>99</v>
      </c>
      <c r="G141" t="s">
        <v>44</v>
      </c>
      <c r="J141">
        <v>0</v>
      </c>
      <c r="K141">
        <v>0</v>
      </c>
      <c r="L141">
        <v>0</v>
      </c>
      <c r="M141">
        <v>1</v>
      </c>
      <c r="N141">
        <v>5</v>
      </c>
      <c r="O141">
        <v>3.3</v>
      </c>
      <c r="P141">
        <v>3.1</v>
      </c>
      <c r="Q141" t="s">
        <v>39</v>
      </c>
    </row>
    <row r="142" spans="1:17" x14ac:dyDescent="0.3">
      <c r="A142" t="s">
        <v>322</v>
      </c>
      <c r="B142" s="2">
        <v>46033</v>
      </c>
      <c r="C142" t="s">
        <v>26</v>
      </c>
      <c r="D142" t="s">
        <v>232</v>
      </c>
      <c r="E142" t="s">
        <v>28</v>
      </c>
      <c r="F142" t="s">
        <v>323</v>
      </c>
      <c r="G142" t="s">
        <v>50</v>
      </c>
      <c r="J142">
        <v>0</v>
      </c>
      <c r="K142">
        <v>0</v>
      </c>
      <c r="L142">
        <v>0</v>
      </c>
      <c r="M142">
        <v>1</v>
      </c>
      <c r="N142">
        <v>9.8000000000000007</v>
      </c>
      <c r="O142">
        <v>4.7</v>
      </c>
      <c r="P142">
        <v>4.7</v>
      </c>
      <c r="Q142" t="s">
        <v>39</v>
      </c>
    </row>
    <row r="143" spans="1:17" x14ac:dyDescent="0.3">
      <c r="A143" t="s">
        <v>324</v>
      </c>
      <c r="B143" s="2">
        <v>46096</v>
      </c>
      <c r="C143" t="s">
        <v>18</v>
      </c>
      <c r="D143" t="s">
        <v>47</v>
      </c>
      <c r="E143" t="s">
        <v>42</v>
      </c>
      <c r="F143" t="s">
        <v>288</v>
      </c>
      <c r="G143" t="s">
        <v>22</v>
      </c>
      <c r="H143" t="s">
        <v>54</v>
      </c>
      <c r="I143" t="s">
        <v>24</v>
      </c>
      <c r="J143">
        <v>1</v>
      </c>
      <c r="K143">
        <v>28200</v>
      </c>
      <c r="L143">
        <v>28200</v>
      </c>
      <c r="N143">
        <v>2.2999999999999998</v>
      </c>
      <c r="Q143" t="s">
        <v>24</v>
      </c>
    </row>
    <row r="144" spans="1:17" x14ac:dyDescent="0.3">
      <c r="A144" t="s">
        <v>325</v>
      </c>
      <c r="B144" s="2">
        <v>46244</v>
      </c>
      <c r="C144" t="s">
        <v>18</v>
      </c>
      <c r="D144" t="s">
        <v>19</v>
      </c>
      <c r="E144" t="s">
        <v>28</v>
      </c>
      <c r="F144" t="s">
        <v>326</v>
      </c>
      <c r="G144" t="s">
        <v>50</v>
      </c>
      <c r="H144" t="s">
        <v>66</v>
      </c>
      <c r="I144" t="s">
        <v>45</v>
      </c>
      <c r="J144">
        <v>1</v>
      </c>
      <c r="K144">
        <v>23500</v>
      </c>
      <c r="L144">
        <v>0</v>
      </c>
      <c r="N144">
        <v>22.6</v>
      </c>
      <c r="Q144" t="s">
        <v>45</v>
      </c>
    </row>
    <row r="145" spans="1:17" x14ac:dyDescent="0.3">
      <c r="A145" t="s">
        <v>327</v>
      </c>
      <c r="B145" s="2">
        <v>45997</v>
      </c>
      <c r="C145" t="s">
        <v>18</v>
      </c>
      <c r="D145" t="s">
        <v>19</v>
      </c>
      <c r="E145" t="s">
        <v>20</v>
      </c>
      <c r="F145" t="s">
        <v>328</v>
      </c>
      <c r="G145" t="s">
        <v>30</v>
      </c>
      <c r="H145" t="s">
        <v>54</v>
      </c>
      <c r="I145" t="s">
        <v>89</v>
      </c>
      <c r="J145">
        <v>1</v>
      </c>
      <c r="K145">
        <v>5000</v>
      </c>
      <c r="L145">
        <v>0</v>
      </c>
      <c r="N145">
        <v>20.7</v>
      </c>
      <c r="Q145" t="s">
        <v>89</v>
      </c>
    </row>
    <row r="146" spans="1:17" x14ac:dyDescent="0.3">
      <c r="A146" t="s">
        <v>329</v>
      </c>
      <c r="B146" s="2">
        <v>45987</v>
      </c>
      <c r="C146" t="s">
        <v>18</v>
      </c>
      <c r="D146" t="s">
        <v>47</v>
      </c>
      <c r="E146" t="s">
        <v>28</v>
      </c>
      <c r="F146" t="s">
        <v>330</v>
      </c>
      <c r="G146" t="s">
        <v>30</v>
      </c>
      <c r="H146" t="s">
        <v>86</v>
      </c>
      <c r="I146" t="s">
        <v>24</v>
      </c>
      <c r="J146">
        <v>1</v>
      </c>
      <c r="K146">
        <v>31400</v>
      </c>
      <c r="L146">
        <v>31400</v>
      </c>
      <c r="N146">
        <v>4.7</v>
      </c>
      <c r="Q146" t="s">
        <v>24</v>
      </c>
    </row>
    <row r="147" spans="1:17" x14ac:dyDescent="0.3">
      <c r="A147" t="s">
        <v>331</v>
      </c>
      <c r="B147" s="2">
        <v>45946</v>
      </c>
      <c r="C147" t="s">
        <v>18</v>
      </c>
      <c r="D147" t="s">
        <v>105</v>
      </c>
      <c r="E147" t="s">
        <v>20</v>
      </c>
      <c r="F147" t="s">
        <v>332</v>
      </c>
      <c r="G147" t="s">
        <v>44</v>
      </c>
      <c r="H147" t="s">
        <v>78</v>
      </c>
      <c r="I147" t="s">
        <v>79</v>
      </c>
      <c r="J147">
        <v>1</v>
      </c>
      <c r="K147">
        <v>11000</v>
      </c>
      <c r="L147">
        <v>0</v>
      </c>
      <c r="N147">
        <v>13</v>
      </c>
      <c r="Q147" t="s">
        <v>79</v>
      </c>
    </row>
    <row r="148" spans="1:17" x14ac:dyDescent="0.3">
      <c r="A148" t="s">
        <v>333</v>
      </c>
      <c r="B148" s="2">
        <v>46008</v>
      </c>
      <c r="C148" t="s">
        <v>26</v>
      </c>
      <c r="D148" t="s">
        <v>126</v>
      </c>
      <c r="E148" t="s">
        <v>48</v>
      </c>
      <c r="F148" t="s">
        <v>334</v>
      </c>
      <c r="G148" t="s">
        <v>22</v>
      </c>
      <c r="J148">
        <v>0</v>
      </c>
      <c r="K148">
        <v>0</v>
      </c>
      <c r="L148">
        <v>0</v>
      </c>
      <c r="M148">
        <v>1</v>
      </c>
      <c r="N148">
        <v>0.3</v>
      </c>
      <c r="O148">
        <v>3.3</v>
      </c>
      <c r="P148">
        <v>3.6</v>
      </c>
      <c r="Q148" t="s">
        <v>39</v>
      </c>
    </row>
    <row r="149" spans="1:17" x14ac:dyDescent="0.3">
      <c r="A149" t="s">
        <v>335</v>
      </c>
      <c r="B149" s="2">
        <v>46062</v>
      </c>
      <c r="C149" t="s">
        <v>18</v>
      </c>
      <c r="D149" t="s">
        <v>64</v>
      </c>
      <c r="E149" t="s">
        <v>48</v>
      </c>
      <c r="F149" t="s">
        <v>336</v>
      </c>
      <c r="G149" t="s">
        <v>22</v>
      </c>
      <c r="H149" t="s">
        <v>23</v>
      </c>
      <c r="I149" t="s">
        <v>45</v>
      </c>
      <c r="J149">
        <v>1</v>
      </c>
      <c r="K149">
        <v>12700</v>
      </c>
      <c r="L149">
        <v>0</v>
      </c>
      <c r="N149">
        <v>23.1</v>
      </c>
      <c r="Q149" t="s">
        <v>45</v>
      </c>
    </row>
    <row r="150" spans="1:17" x14ac:dyDescent="0.3">
      <c r="A150" t="s">
        <v>337</v>
      </c>
      <c r="B150" s="2">
        <v>45972</v>
      </c>
      <c r="C150" t="s">
        <v>18</v>
      </c>
      <c r="D150" t="s">
        <v>105</v>
      </c>
      <c r="E150" t="s">
        <v>42</v>
      </c>
      <c r="F150" t="s">
        <v>328</v>
      </c>
      <c r="G150" t="s">
        <v>50</v>
      </c>
      <c r="H150" t="s">
        <v>86</v>
      </c>
      <c r="I150" t="s">
        <v>24</v>
      </c>
      <c r="J150">
        <v>1</v>
      </c>
      <c r="K150">
        <v>13000</v>
      </c>
      <c r="L150">
        <v>13000</v>
      </c>
      <c r="N150">
        <v>10.199999999999999</v>
      </c>
      <c r="Q150" t="s">
        <v>24</v>
      </c>
    </row>
    <row r="151" spans="1:17" x14ac:dyDescent="0.3">
      <c r="A151" t="s">
        <v>338</v>
      </c>
      <c r="B151" s="2">
        <v>46254</v>
      </c>
      <c r="C151" t="s">
        <v>18</v>
      </c>
      <c r="D151" t="s">
        <v>47</v>
      </c>
      <c r="E151" t="s">
        <v>20</v>
      </c>
      <c r="F151" t="s">
        <v>124</v>
      </c>
      <c r="G151" t="s">
        <v>44</v>
      </c>
      <c r="H151" t="s">
        <v>66</v>
      </c>
      <c r="I151" t="s">
        <v>67</v>
      </c>
      <c r="J151">
        <v>1</v>
      </c>
      <c r="K151">
        <v>20400</v>
      </c>
      <c r="L151">
        <v>0</v>
      </c>
      <c r="N151">
        <v>23.5</v>
      </c>
      <c r="Q151" t="s">
        <v>67</v>
      </c>
    </row>
    <row r="152" spans="1:17" x14ac:dyDescent="0.3">
      <c r="A152" t="s">
        <v>339</v>
      </c>
      <c r="B152" s="2">
        <v>45917</v>
      </c>
      <c r="C152" t="s">
        <v>26</v>
      </c>
      <c r="D152" t="s">
        <v>232</v>
      </c>
      <c r="E152" t="s">
        <v>20</v>
      </c>
      <c r="F152" t="s">
        <v>340</v>
      </c>
      <c r="G152" t="s">
        <v>50</v>
      </c>
      <c r="J152">
        <v>0</v>
      </c>
      <c r="K152">
        <v>0</v>
      </c>
      <c r="L152">
        <v>0</v>
      </c>
      <c r="M152">
        <v>1</v>
      </c>
      <c r="N152">
        <v>2.5</v>
      </c>
      <c r="O152">
        <v>1.3</v>
      </c>
      <c r="P152">
        <v>4.5999999999999996</v>
      </c>
      <c r="Q152" t="s">
        <v>39</v>
      </c>
    </row>
    <row r="153" spans="1:17" x14ac:dyDescent="0.3">
      <c r="A153" t="s">
        <v>341</v>
      </c>
      <c r="B153" s="2">
        <v>45917</v>
      </c>
      <c r="C153" t="s">
        <v>18</v>
      </c>
      <c r="D153" t="s">
        <v>117</v>
      </c>
      <c r="E153" t="s">
        <v>28</v>
      </c>
      <c r="F153" t="s">
        <v>342</v>
      </c>
      <c r="G153" t="s">
        <v>50</v>
      </c>
      <c r="H153" t="s">
        <v>78</v>
      </c>
      <c r="I153" t="s">
        <v>89</v>
      </c>
      <c r="J153">
        <v>1</v>
      </c>
      <c r="K153">
        <v>26800</v>
      </c>
      <c r="L153">
        <v>0</v>
      </c>
      <c r="N153">
        <v>17.3</v>
      </c>
      <c r="Q153" t="s">
        <v>89</v>
      </c>
    </row>
    <row r="154" spans="1:17" x14ac:dyDescent="0.3">
      <c r="A154" t="s">
        <v>343</v>
      </c>
      <c r="B154" s="2">
        <v>46044</v>
      </c>
      <c r="C154" t="s">
        <v>18</v>
      </c>
      <c r="D154" t="s">
        <v>41</v>
      </c>
      <c r="E154" t="s">
        <v>20</v>
      </c>
      <c r="F154" t="s">
        <v>344</v>
      </c>
      <c r="G154" t="s">
        <v>44</v>
      </c>
      <c r="H154" t="s">
        <v>78</v>
      </c>
      <c r="I154" t="s">
        <v>24</v>
      </c>
      <c r="J154">
        <v>1</v>
      </c>
      <c r="K154">
        <v>21200</v>
      </c>
      <c r="L154">
        <v>21200</v>
      </c>
      <c r="N154">
        <v>8.3000000000000007</v>
      </c>
      <c r="Q154" t="s">
        <v>24</v>
      </c>
    </row>
    <row r="155" spans="1:17" x14ac:dyDescent="0.3">
      <c r="A155" t="s">
        <v>345</v>
      </c>
      <c r="B155" s="2">
        <v>46133</v>
      </c>
      <c r="C155" t="s">
        <v>18</v>
      </c>
      <c r="D155" t="s">
        <v>64</v>
      </c>
      <c r="E155" t="s">
        <v>48</v>
      </c>
      <c r="F155" t="s">
        <v>346</v>
      </c>
      <c r="G155" t="s">
        <v>30</v>
      </c>
      <c r="H155" t="s">
        <v>86</v>
      </c>
      <c r="I155" t="s">
        <v>45</v>
      </c>
      <c r="J155">
        <v>1</v>
      </c>
      <c r="K155">
        <v>55100</v>
      </c>
      <c r="L155">
        <v>0</v>
      </c>
      <c r="N155">
        <v>0.8</v>
      </c>
      <c r="Q155" t="s">
        <v>45</v>
      </c>
    </row>
    <row r="156" spans="1:17" x14ac:dyDescent="0.3">
      <c r="A156" t="s">
        <v>347</v>
      </c>
      <c r="B156" s="2">
        <v>45930</v>
      </c>
      <c r="C156" t="s">
        <v>26</v>
      </c>
      <c r="D156" t="s">
        <v>69</v>
      </c>
      <c r="E156" t="s">
        <v>37</v>
      </c>
      <c r="F156" t="s">
        <v>136</v>
      </c>
      <c r="G156" t="s">
        <v>22</v>
      </c>
      <c r="J156">
        <v>0</v>
      </c>
      <c r="K156">
        <v>0</v>
      </c>
      <c r="L156">
        <v>0</v>
      </c>
      <c r="M156">
        <v>1</v>
      </c>
      <c r="N156">
        <v>2.6</v>
      </c>
      <c r="O156">
        <v>5</v>
      </c>
      <c r="P156">
        <v>4.0999999999999996</v>
      </c>
      <c r="Q156" t="s">
        <v>39</v>
      </c>
    </row>
    <row r="157" spans="1:17" x14ac:dyDescent="0.3">
      <c r="A157" t="s">
        <v>348</v>
      </c>
      <c r="B157" s="2">
        <v>46260</v>
      </c>
      <c r="C157" t="s">
        <v>18</v>
      </c>
      <c r="D157" t="s">
        <v>41</v>
      </c>
      <c r="E157" t="s">
        <v>42</v>
      </c>
      <c r="F157" t="s">
        <v>349</v>
      </c>
      <c r="G157" t="s">
        <v>30</v>
      </c>
      <c r="H157" t="s">
        <v>66</v>
      </c>
      <c r="I157" t="s">
        <v>67</v>
      </c>
      <c r="J157">
        <v>1</v>
      </c>
      <c r="K157">
        <v>12500</v>
      </c>
      <c r="L157">
        <v>0</v>
      </c>
      <c r="N157">
        <v>17.600000000000001</v>
      </c>
      <c r="Q157" t="s">
        <v>67</v>
      </c>
    </row>
    <row r="158" spans="1:17" x14ac:dyDescent="0.3">
      <c r="A158" t="s">
        <v>350</v>
      </c>
      <c r="B158" s="2">
        <v>45940</v>
      </c>
      <c r="C158" t="s">
        <v>26</v>
      </c>
      <c r="D158" t="s">
        <v>27</v>
      </c>
      <c r="E158" t="s">
        <v>20</v>
      </c>
      <c r="F158" t="s">
        <v>351</v>
      </c>
      <c r="G158" t="s">
        <v>30</v>
      </c>
      <c r="J158">
        <v>0</v>
      </c>
      <c r="K158">
        <v>0</v>
      </c>
      <c r="L158">
        <v>0</v>
      </c>
      <c r="M158">
        <v>1</v>
      </c>
      <c r="N158">
        <v>8.6999999999999993</v>
      </c>
      <c r="O158">
        <v>17.100000000000001</v>
      </c>
      <c r="P158">
        <v>4</v>
      </c>
      <c r="Q158" t="s">
        <v>39</v>
      </c>
    </row>
    <row r="159" spans="1:17" x14ac:dyDescent="0.3">
      <c r="A159" t="s">
        <v>352</v>
      </c>
      <c r="B159" s="2">
        <v>46135</v>
      </c>
      <c r="C159" t="s">
        <v>26</v>
      </c>
      <c r="D159" t="s">
        <v>114</v>
      </c>
      <c r="E159" t="s">
        <v>28</v>
      </c>
      <c r="F159" t="s">
        <v>353</v>
      </c>
      <c r="G159" t="s">
        <v>30</v>
      </c>
      <c r="J159">
        <v>0</v>
      </c>
      <c r="K159">
        <v>0</v>
      </c>
      <c r="L159">
        <v>0</v>
      </c>
      <c r="M159">
        <v>1</v>
      </c>
      <c r="N159">
        <v>7.6</v>
      </c>
      <c r="O159">
        <v>7.9</v>
      </c>
      <c r="P159">
        <v>4.8</v>
      </c>
      <c r="Q159" t="s">
        <v>39</v>
      </c>
    </row>
    <row r="160" spans="1:17" x14ac:dyDescent="0.3">
      <c r="A160" t="s">
        <v>354</v>
      </c>
      <c r="B160" s="2">
        <v>46214</v>
      </c>
      <c r="C160" t="s">
        <v>18</v>
      </c>
      <c r="D160" t="s">
        <v>19</v>
      </c>
      <c r="E160" t="s">
        <v>28</v>
      </c>
      <c r="F160" t="s">
        <v>355</v>
      </c>
      <c r="G160" t="s">
        <v>30</v>
      </c>
      <c r="H160" t="s">
        <v>86</v>
      </c>
      <c r="I160" t="s">
        <v>55</v>
      </c>
      <c r="J160">
        <v>1</v>
      </c>
      <c r="K160">
        <v>14300</v>
      </c>
      <c r="L160">
        <v>0</v>
      </c>
      <c r="N160">
        <v>16.3</v>
      </c>
      <c r="Q160" t="s">
        <v>55</v>
      </c>
    </row>
    <row r="161" spans="1:17" x14ac:dyDescent="0.3">
      <c r="A161" t="s">
        <v>356</v>
      </c>
      <c r="B161" s="2">
        <v>46092</v>
      </c>
      <c r="C161" t="s">
        <v>26</v>
      </c>
      <c r="D161" t="s">
        <v>72</v>
      </c>
      <c r="E161" t="s">
        <v>37</v>
      </c>
      <c r="F161" t="s">
        <v>131</v>
      </c>
      <c r="G161" t="s">
        <v>44</v>
      </c>
      <c r="J161">
        <v>0</v>
      </c>
      <c r="K161">
        <v>0</v>
      </c>
      <c r="L161">
        <v>0</v>
      </c>
      <c r="M161">
        <v>1</v>
      </c>
      <c r="N161">
        <v>4.2</v>
      </c>
      <c r="O161">
        <v>5.9</v>
      </c>
      <c r="P161">
        <v>3.3</v>
      </c>
      <c r="Q161" t="s">
        <v>39</v>
      </c>
    </row>
    <row r="162" spans="1:17" x14ac:dyDescent="0.3">
      <c r="A162" t="s">
        <v>357</v>
      </c>
      <c r="B162" s="2">
        <v>46177</v>
      </c>
      <c r="C162" t="s">
        <v>18</v>
      </c>
      <c r="D162" t="s">
        <v>117</v>
      </c>
      <c r="E162" t="s">
        <v>37</v>
      </c>
      <c r="F162" t="s">
        <v>358</v>
      </c>
      <c r="G162" t="s">
        <v>44</v>
      </c>
      <c r="H162" t="s">
        <v>78</v>
      </c>
      <c r="I162" t="s">
        <v>89</v>
      </c>
      <c r="J162">
        <v>1</v>
      </c>
      <c r="K162">
        <v>75400</v>
      </c>
      <c r="L162">
        <v>0</v>
      </c>
      <c r="N162">
        <v>9.6</v>
      </c>
      <c r="Q162" t="s">
        <v>89</v>
      </c>
    </row>
    <row r="163" spans="1:17" x14ac:dyDescent="0.3">
      <c r="A163" t="s">
        <v>359</v>
      </c>
      <c r="B163" s="2">
        <v>46004</v>
      </c>
      <c r="C163" t="s">
        <v>26</v>
      </c>
      <c r="D163" t="s">
        <v>36</v>
      </c>
      <c r="E163" t="s">
        <v>20</v>
      </c>
      <c r="F163" t="s">
        <v>360</v>
      </c>
      <c r="G163" t="s">
        <v>22</v>
      </c>
      <c r="J163">
        <v>0</v>
      </c>
      <c r="K163">
        <v>0</v>
      </c>
      <c r="L163">
        <v>0</v>
      </c>
      <c r="M163">
        <v>1</v>
      </c>
      <c r="N163">
        <v>5.2</v>
      </c>
      <c r="O163">
        <v>7.5</v>
      </c>
      <c r="P163">
        <v>3.6</v>
      </c>
      <c r="Q163" t="s">
        <v>39</v>
      </c>
    </row>
    <row r="164" spans="1:17" x14ac:dyDescent="0.3">
      <c r="A164" t="s">
        <v>361</v>
      </c>
      <c r="B164" s="2">
        <v>45981</v>
      </c>
      <c r="C164" t="s">
        <v>26</v>
      </c>
      <c r="D164" t="s">
        <v>27</v>
      </c>
      <c r="E164" t="s">
        <v>48</v>
      </c>
      <c r="F164" t="s">
        <v>362</v>
      </c>
      <c r="G164" t="s">
        <v>30</v>
      </c>
      <c r="J164">
        <v>0</v>
      </c>
      <c r="K164">
        <v>0</v>
      </c>
      <c r="L164">
        <v>0</v>
      </c>
      <c r="M164">
        <v>1</v>
      </c>
      <c r="N164">
        <v>5.5</v>
      </c>
      <c r="O164">
        <v>7</v>
      </c>
      <c r="P164">
        <v>4.8</v>
      </c>
      <c r="Q164" t="s">
        <v>62</v>
      </c>
    </row>
    <row r="165" spans="1:17" x14ac:dyDescent="0.3">
      <c r="A165" t="s">
        <v>363</v>
      </c>
      <c r="B165" s="2">
        <v>46139</v>
      </c>
      <c r="C165" t="s">
        <v>18</v>
      </c>
      <c r="D165" t="s">
        <v>117</v>
      </c>
      <c r="E165" t="s">
        <v>37</v>
      </c>
      <c r="F165" t="s">
        <v>364</v>
      </c>
      <c r="G165" t="s">
        <v>22</v>
      </c>
      <c r="H165" t="s">
        <v>78</v>
      </c>
      <c r="I165" t="s">
        <v>89</v>
      </c>
      <c r="J165">
        <v>1</v>
      </c>
      <c r="K165">
        <v>33100</v>
      </c>
      <c r="L165">
        <v>0</v>
      </c>
      <c r="N165">
        <v>16.8</v>
      </c>
      <c r="Q165" t="s">
        <v>89</v>
      </c>
    </row>
    <row r="166" spans="1:17" x14ac:dyDescent="0.3">
      <c r="A166" t="s">
        <v>365</v>
      </c>
      <c r="B166" s="2">
        <v>46169</v>
      </c>
      <c r="C166" t="s">
        <v>18</v>
      </c>
      <c r="D166" t="s">
        <v>105</v>
      </c>
      <c r="E166" t="s">
        <v>37</v>
      </c>
      <c r="F166" t="s">
        <v>366</v>
      </c>
      <c r="G166" t="s">
        <v>44</v>
      </c>
      <c r="H166" t="s">
        <v>86</v>
      </c>
      <c r="I166" t="s">
        <v>45</v>
      </c>
      <c r="J166">
        <v>1</v>
      </c>
      <c r="K166">
        <v>38300</v>
      </c>
      <c r="L166">
        <v>0</v>
      </c>
      <c r="N166">
        <v>4</v>
      </c>
      <c r="Q166" t="s">
        <v>45</v>
      </c>
    </row>
    <row r="167" spans="1:17" x14ac:dyDescent="0.3">
      <c r="A167" t="s">
        <v>367</v>
      </c>
      <c r="B167" s="2">
        <v>46157</v>
      </c>
      <c r="C167" t="s">
        <v>26</v>
      </c>
      <c r="D167" t="s">
        <v>126</v>
      </c>
      <c r="E167" t="s">
        <v>20</v>
      </c>
      <c r="F167" t="s">
        <v>368</v>
      </c>
      <c r="G167" t="s">
        <v>30</v>
      </c>
      <c r="J167">
        <v>0</v>
      </c>
      <c r="K167">
        <v>0</v>
      </c>
      <c r="L167">
        <v>0</v>
      </c>
      <c r="M167">
        <v>1</v>
      </c>
      <c r="N167">
        <v>10.7</v>
      </c>
      <c r="O167">
        <v>9.9</v>
      </c>
      <c r="P167">
        <v>4.7</v>
      </c>
      <c r="Q167" t="s">
        <v>31</v>
      </c>
    </row>
    <row r="168" spans="1:17" x14ac:dyDescent="0.3">
      <c r="A168" t="s">
        <v>369</v>
      </c>
      <c r="B168" s="2">
        <v>46076</v>
      </c>
      <c r="C168" t="s">
        <v>18</v>
      </c>
      <c r="D168" t="s">
        <v>19</v>
      </c>
      <c r="E168" t="s">
        <v>20</v>
      </c>
      <c r="F168" t="s">
        <v>370</v>
      </c>
      <c r="G168" t="s">
        <v>22</v>
      </c>
      <c r="H168" t="s">
        <v>86</v>
      </c>
      <c r="I168" t="s">
        <v>79</v>
      </c>
      <c r="J168">
        <v>1</v>
      </c>
      <c r="K168">
        <v>50700</v>
      </c>
      <c r="L168">
        <v>0</v>
      </c>
      <c r="N168">
        <v>23.9</v>
      </c>
      <c r="Q168" t="s">
        <v>79</v>
      </c>
    </row>
    <row r="169" spans="1:17" x14ac:dyDescent="0.3">
      <c r="A169" t="s">
        <v>371</v>
      </c>
      <c r="B169" s="2">
        <v>46130</v>
      </c>
      <c r="C169" t="s">
        <v>18</v>
      </c>
      <c r="D169" t="s">
        <v>64</v>
      </c>
      <c r="E169" t="s">
        <v>20</v>
      </c>
      <c r="F169" t="s">
        <v>372</v>
      </c>
      <c r="G169" t="s">
        <v>44</v>
      </c>
      <c r="H169" t="s">
        <v>86</v>
      </c>
      <c r="I169" t="s">
        <v>79</v>
      </c>
      <c r="J169">
        <v>1</v>
      </c>
      <c r="K169">
        <v>138300</v>
      </c>
      <c r="L169">
        <v>0</v>
      </c>
      <c r="N169">
        <v>7.6</v>
      </c>
      <c r="Q169" t="s">
        <v>79</v>
      </c>
    </row>
    <row r="170" spans="1:17" x14ac:dyDescent="0.3">
      <c r="A170" t="s">
        <v>373</v>
      </c>
      <c r="B170" s="2">
        <v>46169</v>
      </c>
      <c r="C170" t="s">
        <v>18</v>
      </c>
      <c r="D170" t="s">
        <v>64</v>
      </c>
      <c r="E170" t="s">
        <v>20</v>
      </c>
      <c r="F170" t="s">
        <v>374</v>
      </c>
      <c r="G170" t="s">
        <v>30</v>
      </c>
      <c r="H170" t="s">
        <v>86</v>
      </c>
      <c r="I170" t="s">
        <v>55</v>
      </c>
      <c r="J170">
        <v>1</v>
      </c>
      <c r="K170">
        <v>9100</v>
      </c>
      <c r="L170">
        <v>0</v>
      </c>
      <c r="N170">
        <v>2.4</v>
      </c>
      <c r="Q170" t="s">
        <v>55</v>
      </c>
    </row>
    <row r="171" spans="1:17" x14ac:dyDescent="0.3">
      <c r="A171" t="s">
        <v>375</v>
      </c>
      <c r="B171" s="2">
        <v>46191</v>
      </c>
      <c r="C171" t="s">
        <v>26</v>
      </c>
      <c r="D171" t="s">
        <v>126</v>
      </c>
      <c r="E171" t="s">
        <v>20</v>
      </c>
      <c r="F171" t="s">
        <v>376</v>
      </c>
      <c r="G171" t="s">
        <v>50</v>
      </c>
      <c r="J171">
        <v>0</v>
      </c>
      <c r="K171">
        <v>0</v>
      </c>
      <c r="L171">
        <v>0</v>
      </c>
      <c r="M171">
        <v>1</v>
      </c>
      <c r="N171">
        <v>8.5</v>
      </c>
      <c r="O171">
        <v>5.7</v>
      </c>
      <c r="P171">
        <v>3.5</v>
      </c>
      <c r="Q171" t="s">
        <v>62</v>
      </c>
    </row>
    <row r="172" spans="1:17" x14ac:dyDescent="0.3">
      <c r="A172" t="s">
        <v>377</v>
      </c>
      <c r="B172" s="2">
        <v>46255</v>
      </c>
      <c r="C172" t="s">
        <v>26</v>
      </c>
      <c r="D172" t="s">
        <v>232</v>
      </c>
      <c r="E172" t="s">
        <v>42</v>
      </c>
      <c r="F172" t="s">
        <v>378</v>
      </c>
      <c r="G172" t="s">
        <v>30</v>
      </c>
      <c r="J172">
        <v>0</v>
      </c>
      <c r="K172">
        <v>0</v>
      </c>
      <c r="L172">
        <v>0</v>
      </c>
      <c r="M172">
        <v>1</v>
      </c>
      <c r="N172">
        <v>0.9</v>
      </c>
      <c r="O172">
        <v>12.4</v>
      </c>
      <c r="P172">
        <v>5</v>
      </c>
      <c r="Q172" t="s">
        <v>225</v>
      </c>
    </row>
    <row r="173" spans="1:17" x14ac:dyDescent="0.3">
      <c r="A173" t="s">
        <v>379</v>
      </c>
      <c r="B173" s="2">
        <v>45961</v>
      </c>
      <c r="C173" t="s">
        <v>18</v>
      </c>
      <c r="D173" t="s">
        <v>47</v>
      </c>
      <c r="E173" t="s">
        <v>20</v>
      </c>
      <c r="F173" t="s">
        <v>380</v>
      </c>
      <c r="G173" t="s">
        <v>50</v>
      </c>
      <c r="H173" t="s">
        <v>54</v>
      </c>
      <c r="I173" t="s">
        <v>79</v>
      </c>
      <c r="J173">
        <v>1</v>
      </c>
      <c r="K173">
        <v>29000</v>
      </c>
      <c r="L173">
        <v>0</v>
      </c>
      <c r="N173">
        <v>5.5</v>
      </c>
      <c r="Q173" t="s">
        <v>79</v>
      </c>
    </row>
    <row r="174" spans="1:17" x14ac:dyDescent="0.3">
      <c r="A174" t="s">
        <v>381</v>
      </c>
      <c r="B174" s="2">
        <v>45951</v>
      </c>
      <c r="C174" t="s">
        <v>18</v>
      </c>
      <c r="D174" t="s">
        <v>95</v>
      </c>
      <c r="E174" t="s">
        <v>20</v>
      </c>
      <c r="F174" t="s">
        <v>382</v>
      </c>
      <c r="G174" t="s">
        <v>30</v>
      </c>
      <c r="H174" t="s">
        <v>86</v>
      </c>
      <c r="I174" t="s">
        <v>79</v>
      </c>
      <c r="J174">
        <v>1</v>
      </c>
      <c r="K174">
        <v>5000</v>
      </c>
      <c r="L174">
        <v>0</v>
      </c>
      <c r="N174">
        <v>12.3</v>
      </c>
      <c r="Q174" t="s">
        <v>79</v>
      </c>
    </row>
    <row r="175" spans="1:17" x14ac:dyDescent="0.3">
      <c r="A175" t="s">
        <v>383</v>
      </c>
      <c r="B175" s="2">
        <v>46188</v>
      </c>
      <c r="C175" t="s">
        <v>18</v>
      </c>
      <c r="D175" t="s">
        <v>105</v>
      </c>
      <c r="E175" t="s">
        <v>20</v>
      </c>
      <c r="F175" t="s">
        <v>384</v>
      </c>
      <c r="G175" t="s">
        <v>22</v>
      </c>
      <c r="H175" t="s">
        <v>86</v>
      </c>
      <c r="I175" t="s">
        <v>79</v>
      </c>
      <c r="J175">
        <v>1</v>
      </c>
      <c r="K175">
        <v>14900</v>
      </c>
      <c r="L175">
        <v>0</v>
      </c>
      <c r="N175">
        <v>15.6</v>
      </c>
      <c r="Q175" t="s">
        <v>79</v>
      </c>
    </row>
    <row r="176" spans="1:17" x14ac:dyDescent="0.3">
      <c r="A176" t="s">
        <v>385</v>
      </c>
      <c r="B176" s="2">
        <v>46245</v>
      </c>
      <c r="C176" t="s">
        <v>26</v>
      </c>
      <c r="D176" t="s">
        <v>126</v>
      </c>
      <c r="E176" t="s">
        <v>37</v>
      </c>
      <c r="F176" t="s">
        <v>386</v>
      </c>
      <c r="G176" t="s">
        <v>22</v>
      </c>
      <c r="J176">
        <v>0</v>
      </c>
      <c r="K176">
        <v>0</v>
      </c>
      <c r="L176">
        <v>0</v>
      </c>
      <c r="M176">
        <v>1</v>
      </c>
      <c r="N176">
        <v>7.7</v>
      </c>
      <c r="O176">
        <v>3.4</v>
      </c>
      <c r="P176">
        <v>4.2</v>
      </c>
      <c r="Q176" t="s">
        <v>225</v>
      </c>
    </row>
    <row r="177" spans="1:17" x14ac:dyDescent="0.3">
      <c r="A177" t="s">
        <v>387</v>
      </c>
      <c r="B177" s="2">
        <v>46114</v>
      </c>
      <c r="C177" t="s">
        <v>18</v>
      </c>
      <c r="D177" t="s">
        <v>19</v>
      </c>
      <c r="E177" t="s">
        <v>48</v>
      </c>
      <c r="F177" t="s">
        <v>124</v>
      </c>
      <c r="G177" t="s">
        <v>22</v>
      </c>
      <c r="H177" t="s">
        <v>23</v>
      </c>
      <c r="I177" t="s">
        <v>24</v>
      </c>
      <c r="J177">
        <v>1</v>
      </c>
      <c r="K177">
        <v>29100</v>
      </c>
      <c r="L177">
        <v>29100</v>
      </c>
      <c r="N177">
        <v>14.8</v>
      </c>
      <c r="Q177" t="s">
        <v>24</v>
      </c>
    </row>
    <row r="178" spans="1:17" x14ac:dyDescent="0.3">
      <c r="A178" t="s">
        <v>388</v>
      </c>
      <c r="B178" s="2">
        <v>45943</v>
      </c>
      <c r="C178" t="s">
        <v>26</v>
      </c>
      <c r="D178" t="s">
        <v>126</v>
      </c>
      <c r="E178" t="s">
        <v>20</v>
      </c>
      <c r="F178" t="s">
        <v>389</v>
      </c>
      <c r="G178" t="s">
        <v>44</v>
      </c>
      <c r="J178">
        <v>0</v>
      </c>
      <c r="K178">
        <v>0</v>
      </c>
      <c r="L178">
        <v>0</v>
      </c>
      <c r="M178">
        <v>1</v>
      </c>
      <c r="N178">
        <v>10.9</v>
      </c>
      <c r="O178">
        <v>8.1</v>
      </c>
      <c r="P178">
        <v>4.4000000000000004</v>
      </c>
      <c r="Q178" t="s">
        <v>31</v>
      </c>
    </row>
    <row r="179" spans="1:17" x14ac:dyDescent="0.3">
      <c r="A179" t="s">
        <v>390</v>
      </c>
      <c r="B179" s="2">
        <v>46222</v>
      </c>
      <c r="C179" t="s">
        <v>18</v>
      </c>
      <c r="D179" t="s">
        <v>52</v>
      </c>
      <c r="E179" t="s">
        <v>48</v>
      </c>
      <c r="F179" t="s">
        <v>146</v>
      </c>
      <c r="G179" t="s">
        <v>22</v>
      </c>
      <c r="H179" t="s">
        <v>86</v>
      </c>
      <c r="I179" t="s">
        <v>67</v>
      </c>
      <c r="J179">
        <v>1</v>
      </c>
      <c r="K179">
        <v>16600</v>
      </c>
      <c r="L179">
        <v>0</v>
      </c>
      <c r="N179">
        <v>5.9</v>
      </c>
      <c r="Q179" t="s">
        <v>67</v>
      </c>
    </row>
    <row r="180" spans="1:17" x14ac:dyDescent="0.3">
      <c r="A180" t="s">
        <v>391</v>
      </c>
      <c r="B180" s="2">
        <v>46109</v>
      </c>
      <c r="C180" t="s">
        <v>26</v>
      </c>
      <c r="D180" t="s">
        <v>72</v>
      </c>
      <c r="E180" t="s">
        <v>48</v>
      </c>
      <c r="F180" t="s">
        <v>61</v>
      </c>
      <c r="G180" t="s">
        <v>50</v>
      </c>
      <c r="J180">
        <v>0</v>
      </c>
      <c r="K180">
        <v>0</v>
      </c>
      <c r="L180">
        <v>0</v>
      </c>
      <c r="M180">
        <v>1</v>
      </c>
      <c r="N180">
        <v>7.9</v>
      </c>
      <c r="O180">
        <v>9.8000000000000007</v>
      </c>
      <c r="P180">
        <v>4.2</v>
      </c>
      <c r="Q180" t="s">
        <v>31</v>
      </c>
    </row>
    <row r="181" spans="1:17" x14ac:dyDescent="0.3">
      <c r="A181" t="s">
        <v>392</v>
      </c>
      <c r="B181" s="2">
        <v>46055</v>
      </c>
      <c r="C181" t="s">
        <v>18</v>
      </c>
      <c r="D181" t="s">
        <v>47</v>
      </c>
      <c r="E181" t="s">
        <v>37</v>
      </c>
      <c r="F181" t="s">
        <v>393</v>
      </c>
      <c r="G181" t="s">
        <v>50</v>
      </c>
      <c r="H181" t="s">
        <v>86</v>
      </c>
      <c r="I181" t="s">
        <v>55</v>
      </c>
      <c r="J181">
        <v>1</v>
      </c>
      <c r="K181">
        <v>17100</v>
      </c>
      <c r="L181">
        <v>0</v>
      </c>
      <c r="N181">
        <v>21.6</v>
      </c>
      <c r="Q181" t="s">
        <v>55</v>
      </c>
    </row>
    <row r="182" spans="1:17" x14ac:dyDescent="0.3">
      <c r="A182" t="s">
        <v>394</v>
      </c>
      <c r="B182" s="2">
        <v>46139</v>
      </c>
      <c r="C182" t="s">
        <v>18</v>
      </c>
      <c r="D182" t="s">
        <v>105</v>
      </c>
      <c r="E182" t="s">
        <v>48</v>
      </c>
      <c r="F182" t="s">
        <v>372</v>
      </c>
      <c r="G182" t="s">
        <v>22</v>
      </c>
      <c r="H182" t="s">
        <v>86</v>
      </c>
      <c r="I182" t="s">
        <v>45</v>
      </c>
      <c r="J182">
        <v>1</v>
      </c>
      <c r="K182">
        <v>28500</v>
      </c>
      <c r="L182">
        <v>0</v>
      </c>
      <c r="N182">
        <v>22.5</v>
      </c>
      <c r="Q182" t="s">
        <v>45</v>
      </c>
    </row>
    <row r="183" spans="1:17" x14ac:dyDescent="0.3">
      <c r="A183" t="s">
        <v>395</v>
      </c>
      <c r="B183" s="2">
        <v>45911</v>
      </c>
      <c r="C183" t="s">
        <v>18</v>
      </c>
      <c r="D183" t="s">
        <v>95</v>
      </c>
      <c r="E183" t="s">
        <v>28</v>
      </c>
      <c r="F183" t="s">
        <v>396</v>
      </c>
      <c r="G183" t="s">
        <v>30</v>
      </c>
      <c r="H183" t="s">
        <v>23</v>
      </c>
      <c r="I183" t="s">
        <v>55</v>
      </c>
      <c r="J183">
        <v>1</v>
      </c>
      <c r="K183">
        <v>27800</v>
      </c>
      <c r="L183">
        <v>0</v>
      </c>
      <c r="N183">
        <v>22.6</v>
      </c>
      <c r="Q183" t="s">
        <v>55</v>
      </c>
    </row>
    <row r="184" spans="1:17" x14ac:dyDescent="0.3">
      <c r="A184" t="s">
        <v>397</v>
      </c>
      <c r="B184" s="2">
        <v>45952</v>
      </c>
      <c r="C184" t="s">
        <v>26</v>
      </c>
      <c r="D184" t="s">
        <v>69</v>
      </c>
      <c r="E184" t="s">
        <v>20</v>
      </c>
      <c r="F184" t="s">
        <v>398</v>
      </c>
      <c r="G184" t="s">
        <v>50</v>
      </c>
      <c r="J184">
        <v>0</v>
      </c>
      <c r="K184">
        <v>0</v>
      </c>
      <c r="L184">
        <v>0</v>
      </c>
      <c r="M184">
        <v>1</v>
      </c>
      <c r="N184">
        <v>2.1</v>
      </c>
      <c r="O184">
        <v>5.4</v>
      </c>
      <c r="P184">
        <v>3.8</v>
      </c>
      <c r="Q184" t="s">
        <v>62</v>
      </c>
    </row>
    <row r="185" spans="1:17" x14ac:dyDescent="0.3">
      <c r="A185" t="s">
        <v>399</v>
      </c>
      <c r="B185" s="2">
        <v>45993</v>
      </c>
      <c r="C185" t="s">
        <v>26</v>
      </c>
      <c r="D185" t="s">
        <v>232</v>
      </c>
      <c r="E185" t="s">
        <v>20</v>
      </c>
      <c r="F185" t="s">
        <v>400</v>
      </c>
      <c r="G185" t="s">
        <v>22</v>
      </c>
      <c r="J185">
        <v>0</v>
      </c>
      <c r="K185">
        <v>0</v>
      </c>
      <c r="L185">
        <v>0</v>
      </c>
      <c r="M185">
        <v>1</v>
      </c>
      <c r="N185">
        <v>4.3</v>
      </c>
      <c r="O185">
        <v>8.3000000000000007</v>
      </c>
      <c r="P185">
        <v>3.8</v>
      </c>
      <c r="Q185" t="s">
        <v>39</v>
      </c>
    </row>
    <row r="186" spans="1:17" x14ac:dyDescent="0.3">
      <c r="A186" t="s">
        <v>401</v>
      </c>
      <c r="B186" s="2">
        <v>45986</v>
      </c>
      <c r="C186" t="s">
        <v>18</v>
      </c>
      <c r="D186" t="s">
        <v>47</v>
      </c>
      <c r="E186" t="s">
        <v>28</v>
      </c>
      <c r="F186" t="s">
        <v>402</v>
      </c>
      <c r="G186" t="s">
        <v>50</v>
      </c>
      <c r="H186" t="s">
        <v>23</v>
      </c>
      <c r="I186" t="s">
        <v>89</v>
      </c>
      <c r="J186">
        <v>1</v>
      </c>
      <c r="K186">
        <v>41700</v>
      </c>
      <c r="L186">
        <v>0</v>
      </c>
      <c r="N186">
        <v>4.2</v>
      </c>
      <c r="Q186" t="s">
        <v>89</v>
      </c>
    </row>
    <row r="187" spans="1:17" x14ac:dyDescent="0.3">
      <c r="A187" t="s">
        <v>403</v>
      </c>
      <c r="B187" s="2">
        <v>46092</v>
      </c>
      <c r="C187" t="s">
        <v>26</v>
      </c>
      <c r="D187" t="s">
        <v>33</v>
      </c>
      <c r="E187" t="s">
        <v>48</v>
      </c>
      <c r="F187" t="s">
        <v>404</v>
      </c>
      <c r="G187" t="s">
        <v>22</v>
      </c>
      <c r="J187">
        <v>0</v>
      </c>
      <c r="K187">
        <v>0</v>
      </c>
      <c r="L187">
        <v>0</v>
      </c>
      <c r="M187">
        <v>1</v>
      </c>
      <c r="N187">
        <v>7.5</v>
      </c>
      <c r="O187">
        <v>6.9</v>
      </c>
      <c r="P187">
        <v>5</v>
      </c>
      <c r="Q187" t="s">
        <v>39</v>
      </c>
    </row>
    <row r="188" spans="1:17" x14ac:dyDescent="0.3">
      <c r="A188" t="s">
        <v>405</v>
      </c>
      <c r="B188" s="2">
        <v>46147</v>
      </c>
      <c r="C188" t="s">
        <v>26</v>
      </c>
      <c r="D188" t="s">
        <v>114</v>
      </c>
      <c r="E188" t="s">
        <v>42</v>
      </c>
      <c r="F188" t="s">
        <v>358</v>
      </c>
      <c r="G188" t="s">
        <v>44</v>
      </c>
      <c r="J188">
        <v>0</v>
      </c>
      <c r="K188">
        <v>0</v>
      </c>
      <c r="L188">
        <v>0</v>
      </c>
      <c r="M188">
        <v>1</v>
      </c>
      <c r="N188">
        <v>3.5</v>
      </c>
      <c r="O188">
        <v>3.5</v>
      </c>
      <c r="P188">
        <v>2.8</v>
      </c>
      <c r="Q188" t="s">
        <v>39</v>
      </c>
    </row>
    <row r="189" spans="1:17" x14ac:dyDescent="0.3">
      <c r="A189" t="s">
        <v>406</v>
      </c>
      <c r="B189" s="2">
        <v>45918</v>
      </c>
      <c r="C189" t="s">
        <v>26</v>
      </c>
      <c r="D189" t="s">
        <v>232</v>
      </c>
      <c r="E189" t="s">
        <v>37</v>
      </c>
      <c r="F189" t="s">
        <v>407</v>
      </c>
      <c r="G189" t="s">
        <v>22</v>
      </c>
      <c r="J189">
        <v>0</v>
      </c>
      <c r="K189">
        <v>0</v>
      </c>
      <c r="L189">
        <v>0</v>
      </c>
      <c r="M189">
        <v>1</v>
      </c>
      <c r="N189">
        <v>6.5</v>
      </c>
      <c r="O189">
        <v>6.2</v>
      </c>
      <c r="P189">
        <v>3.7</v>
      </c>
      <c r="Q189" t="s">
        <v>39</v>
      </c>
    </row>
    <row r="190" spans="1:17" x14ac:dyDescent="0.3">
      <c r="A190" t="s">
        <v>408</v>
      </c>
      <c r="B190" s="2">
        <v>45982</v>
      </c>
      <c r="C190" t="s">
        <v>18</v>
      </c>
      <c r="D190" t="s">
        <v>105</v>
      </c>
      <c r="E190" t="s">
        <v>20</v>
      </c>
      <c r="F190" t="s">
        <v>96</v>
      </c>
      <c r="G190" t="s">
        <v>44</v>
      </c>
      <c r="H190" t="s">
        <v>54</v>
      </c>
      <c r="I190" t="s">
        <v>24</v>
      </c>
      <c r="J190">
        <v>1</v>
      </c>
      <c r="K190">
        <v>41500</v>
      </c>
      <c r="L190">
        <v>41500</v>
      </c>
      <c r="N190">
        <v>3.2</v>
      </c>
      <c r="Q190" t="s">
        <v>24</v>
      </c>
    </row>
    <row r="191" spans="1:17" x14ac:dyDescent="0.3">
      <c r="A191" t="s">
        <v>409</v>
      </c>
      <c r="B191" s="2">
        <v>45948</v>
      </c>
      <c r="C191" t="s">
        <v>18</v>
      </c>
      <c r="D191" t="s">
        <v>105</v>
      </c>
      <c r="E191" t="s">
        <v>20</v>
      </c>
      <c r="F191" t="s">
        <v>410</v>
      </c>
      <c r="G191" t="s">
        <v>44</v>
      </c>
      <c r="H191" t="s">
        <v>78</v>
      </c>
      <c r="I191" t="s">
        <v>55</v>
      </c>
      <c r="J191">
        <v>1</v>
      </c>
      <c r="K191">
        <v>26800</v>
      </c>
      <c r="L191">
        <v>0</v>
      </c>
      <c r="N191">
        <v>14.1</v>
      </c>
      <c r="Q191" t="s">
        <v>55</v>
      </c>
    </row>
    <row r="192" spans="1:17" x14ac:dyDescent="0.3">
      <c r="A192" t="s">
        <v>411</v>
      </c>
      <c r="B192" s="2">
        <v>46246</v>
      </c>
      <c r="C192" t="s">
        <v>18</v>
      </c>
      <c r="D192" t="s">
        <v>95</v>
      </c>
      <c r="E192" t="s">
        <v>28</v>
      </c>
      <c r="F192" t="s">
        <v>412</v>
      </c>
      <c r="G192" t="s">
        <v>50</v>
      </c>
      <c r="H192" t="s">
        <v>66</v>
      </c>
      <c r="I192" t="s">
        <v>24</v>
      </c>
      <c r="J192">
        <v>1</v>
      </c>
      <c r="K192">
        <v>8600</v>
      </c>
      <c r="L192">
        <v>8600</v>
      </c>
      <c r="N192">
        <v>7.1</v>
      </c>
      <c r="Q192" t="s">
        <v>24</v>
      </c>
    </row>
    <row r="193" spans="1:17" x14ac:dyDescent="0.3">
      <c r="A193" t="s">
        <v>413</v>
      </c>
      <c r="B193" s="2">
        <v>46091</v>
      </c>
      <c r="C193" t="s">
        <v>26</v>
      </c>
      <c r="D193" t="s">
        <v>36</v>
      </c>
      <c r="E193" t="s">
        <v>48</v>
      </c>
      <c r="F193" t="s">
        <v>21</v>
      </c>
      <c r="G193" t="s">
        <v>22</v>
      </c>
      <c r="J193">
        <v>0</v>
      </c>
      <c r="K193">
        <v>0</v>
      </c>
      <c r="L193">
        <v>0</v>
      </c>
      <c r="M193">
        <v>1</v>
      </c>
      <c r="N193">
        <v>2.7</v>
      </c>
      <c r="O193">
        <v>5.6</v>
      </c>
      <c r="P193">
        <v>4.4000000000000004</v>
      </c>
      <c r="Q193" t="s">
        <v>39</v>
      </c>
    </row>
    <row r="194" spans="1:17" x14ac:dyDescent="0.3">
      <c r="A194" t="s">
        <v>414</v>
      </c>
      <c r="B194" s="2">
        <v>46100</v>
      </c>
      <c r="C194" t="s">
        <v>26</v>
      </c>
      <c r="D194" t="s">
        <v>126</v>
      </c>
      <c r="E194" t="s">
        <v>48</v>
      </c>
      <c r="F194" t="s">
        <v>415</v>
      </c>
      <c r="G194" t="s">
        <v>30</v>
      </c>
      <c r="J194">
        <v>0</v>
      </c>
      <c r="K194">
        <v>0</v>
      </c>
      <c r="L194">
        <v>0</v>
      </c>
      <c r="M194">
        <v>1</v>
      </c>
      <c r="N194">
        <v>9.6</v>
      </c>
      <c r="O194">
        <v>6.4</v>
      </c>
      <c r="P194">
        <v>3.6</v>
      </c>
      <c r="Q194" t="s">
        <v>62</v>
      </c>
    </row>
    <row r="195" spans="1:17" x14ac:dyDescent="0.3">
      <c r="A195" t="s">
        <v>416</v>
      </c>
      <c r="B195" s="2">
        <v>46187</v>
      </c>
      <c r="C195" t="s">
        <v>26</v>
      </c>
      <c r="D195" t="s">
        <v>114</v>
      </c>
      <c r="E195" t="s">
        <v>48</v>
      </c>
      <c r="F195" t="s">
        <v>417</v>
      </c>
      <c r="G195" t="s">
        <v>22</v>
      </c>
      <c r="J195">
        <v>0</v>
      </c>
      <c r="K195">
        <v>0</v>
      </c>
      <c r="L195">
        <v>0</v>
      </c>
      <c r="M195">
        <v>1</v>
      </c>
      <c r="N195">
        <v>3.1</v>
      </c>
      <c r="O195">
        <v>32.299999999999997</v>
      </c>
      <c r="P195">
        <v>5</v>
      </c>
      <c r="Q195" t="s">
        <v>62</v>
      </c>
    </row>
    <row r="196" spans="1:17" x14ac:dyDescent="0.3">
      <c r="A196" t="s">
        <v>418</v>
      </c>
      <c r="B196" s="2">
        <v>45913</v>
      </c>
      <c r="C196" t="s">
        <v>18</v>
      </c>
      <c r="D196" t="s">
        <v>41</v>
      </c>
      <c r="E196" t="s">
        <v>48</v>
      </c>
      <c r="F196" t="s">
        <v>419</v>
      </c>
      <c r="G196" t="s">
        <v>44</v>
      </c>
      <c r="H196" t="s">
        <v>54</v>
      </c>
      <c r="I196" t="s">
        <v>89</v>
      </c>
      <c r="J196">
        <v>1</v>
      </c>
      <c r="K196">
        <v>5000</v>
      </c>
      <c r="L196">
        <v>0</v>
      </c>
      <c r="N196">
        <v>2.7</v>
      </c>
      <c r="Q196" t="s">
        <v>89</v>
      </c>
    </row>
    <row r="197" spans="1:17" x14ac:dyDescent="0.3">
      <c r="A197" t="s">
        <v>420</v>
      </c>
      <c r="B197" s="2">
        <v>45958</v>
      </c>
      <c r="C197" t="s">
        <v>18</v>
      </c>
      <c r="D197" t="s">
        <v>105</v>
      </c>
      <c r="E197" t="s">
        <v>20</v>
      </c>
      <c r="F197" t="s">
        <v>162</v>
      </c>
      <c r="G197" t="s">
        <v>22</v>
      </c>
      <c r="H197" t="s">
        <v>23</v>
      </c>
      <c r="I197" t="s">
        <v>89</v>
      </c>
      <c r="J197">
        <v>1</v>
      </c>
      <c r="K197">
        <v>14200</v>
      </c>
      <c r="L197">
        <v>0</v>
      </c>
      <c r="N197">
        <v>21.8</v>
      </c>
      <c r="Q197" t="s">
        <v>89</v>
      </c>
    </row>
    <row r="198" spans="1:17" x14ac:dyDescent="0.3">
      <c r="A198" t="s">
        <v>421</v>
      </c>
      <c r="B198" s="2">
        <v>46129</v>
      </c>
      <c r="C198" t="s">
        <v>26</v>
      </c>
      <c r="D198" t="s">
        <v>36</v>
      </c>
      <c r="E198" t="s">
        <v>20</v>
      </c>
      <c r="F198" t="s">
        <v>422</v>
      </c>
      <c r="G198" t="s">
        <v>22</v>
      </c>
      <c r="J198">
        <v>0</v>
      </c>
      <c r="K198">
        <v>0</v>
      </c>
      <c r="L198">
        <v>0</v>
      </c>
      <c r="M198">
        <v>1</v>
      </c>
      <c r="N198">
        <v>5.9</v>
      </c>
      <c r="O198">
        <v>3</v>
      </c>
      <c r="P198">
        <v>5</v>
      </c>
      <c r="Q198" t="s">
        <v>31</v>
      </c>
    </row>
    <row r="199" spans="1:17" x14ac:dyDescent="0.3">
      <c r="A199" t="s">
        <v>423</v>
      </c>
      <c r="B199" s="2">
        <v>45996</v>
      </c>
      <c r="C199" t="s">
        <v>26</v>
      </c>
      <c r="D199" t="s">
        <v>126</v>
      </c>
      <c r="E199" t="s">
        <v>20</v>
      </c>
      <c r="F199" t="s">
        <v>424</v>
      </c>
      <c r="G199" t="s">
        <v>30</v>
      </c>
      <c r="J199">
        <v>0</v>
      </c>
      <c r="K199">
        <v>0</v>
      </c>
      <c r="L199">
        <v>0</v>
      </c>
      <c r="M199">
        <v>1</v>
      </c>
      <c r="N199">
        <v>8.1</v>
      </c>
      <c r="O199">
        <v>11.3</v>
      </c>
      <c r="P199">
        <v>3.2</v>
      </c>
      <c r="Q199" t="s">
        <v>225</v>
      </c>
    </row>
    <row r="200" spans="1:17" x14ac:dyDescent="0.3">
      <c r="A200" t="s">
        <v>425</v>
      </c>
      <c r="B200" s="2">
        <v>46080</v>
      </c>
      <c r="C200" t="s">
        <v>26</v>
      </c>
      <c r="D200" t="s">
        <v>36</v>
      </c>
      <c r="E200" t="s">
        <v>48</v>
      </c>
      <c r="F200" t="s">
        <v>426</v>
      </c>
      <c r="G200" t="s">
        <v>22</v>
      </c>
      <c r="J200">
        <v>0</v>
      </c>
      <c r="K200">
        <v>0</v>
      </c>
      <c r="L200">
        <v>0</v>
      </c>
      <c r="M200">
        <v>1</v>
      </c>
      <c r="N200">
        <v>0.5</v>
      </c>
      <c r="O200">
        <v>22.7</v>
      </c>
      <c r="P200">
        <v>2.5</v>
      </c>
      <c r="Q200" t="s">
        <v>31</v>
      </c>
    </row>
    <row r="201" spans="1:17" x14ac:dyDescent="0.3">
      <c r="A201" t="s">
        <v>427</v>
      </c>
      <c r="B201" s="2">
        <v>45901</v>
      </c>
      <c r="C201" t="s">
        <v>26</v>
      </c>
      <c r="D201" t="s">
        <v>33</v>
      </c>
      <c r="E201" t="s">
        <v>28</v>
      </c>
      <c r="F201" t="s">
        <v>428</v>
      </c>
      <c r="G201" t="s">
        <v>22</v>
      </c>
      <c r="J201">
        <v>0</v>
      </c>
      <c r="K201">
        <v>0</v>
      </c>
      <c r="L201">
        <v>0</v>
      </c>
      <c r="M201">
        <v>1</v>
      </c>
      <c r="N201">
        <v>0.7</v>
      </c>
      <c r="O201">
        <v>9.1999999999999993</v>
      </c>
      <c r="P201">
        <v>3.7</v>
      </c>
      <c r="Q201" t="s">
        <v>62</v>
      </c>
    </row>
    <row r="202" spans="1:17" x14ac:dyDescent="0.3">
      <c r="A202" t="s">
        <v>429</v>
      </c>
      <c r="B202" s="2">
        <v>45972</v>
      </c>
      <c r="C202" t="s">
        <v>26</v>
      </c>
      <c r="D202" t="s">
        <v>114</v>
      </c>
      <c r="E202" t="s">
        <v>42</v>
      </c>
      <c r="F202" t="s">
        <v>430</v>
      </c>
      <c r="G202" t="s">
        <v>30</v>
      </c>
      <c r="J202">
        <v>0</v>
      </c>
      <c r="K202">
        <v>0</v>
      </c>
      <c r="L202">
        <v>0</v>
      </c>
      <c r="M202">
        <v>1</v>
      </c>
      <c r="N202">
        <v>2.5</v>
      </c>
      <c r="O202">
        <v>4.9000000000000004</v>
      </c>
      <c r="P202">
        <v>4.2</v>
      </c>
      <c r="Q202" t="s">
        <v>225</v>
      </c>
    </row>
    <row r="203" spans="1:17" x14ac:dyDescent="0.3">
      <c r="A203" t="s">
        <v>431</v>
      </c>
      <c r="B203" s="2">
        <v>46121</v>
      </c>
      <c r="C203" t="s">
        <v>18</v>
      </c>
      <c r="D203" t="s">
        <v>105</v>
      </c>
      <c r="E203" t="s">
        <v>28</v>
      </c>
      <c r="F203" t="s">
        <v>404</v>
      </c>
      <c r="G203" t="s">
        <v>30</v>
      </c>
      <c r="H203" t="s">
        <v>66</v>
      </c>
      <c r="I203" t="s">
        <v>45</v>
      </c>
      <c r="J203">
        <v>1</v>
      </c>
      <c r="K203">
        <v>15900</v>
      </c>
      <c r="L203">
        <v>0</v>
      </c>
      <c r="N203">
        <v>2.6</v>
      </c>
      <c r="Q203" t="s">
        <v>45</v>
      </c>
    </row>
    <row r="204" spans="1:17" x14ac:dyDescent="0.3">
      <c r="A204" t="s">
        <v>432</v>
      </c>
      <c r="B204" s="2">
        <v>46127</v>
      </c>
      <c r="C204" t="s">
        <v>18</v>
      </c>
      <c r="D204" t="s">
        <v>64</v>
      </c>
      <c r="E204" t="s">
        <v>20</v>
      </c>
      <c r="F204" t="s">
        <v>433</v>
      </c>
      <c r="G204" t="s">
        <v>22</v>
      </c>
      <c r="H204" t="s">
        <v>23</v>
      </c>
      <c r="I204" t="s">
        <v>24</v>
      </c>
      <c r="J204">
        <v>1</v>
      </c>
      <c r="K204">
        <v>71200</v>
      </c>
      <c r="L204">
        <v>71200</v>
      </c>
      <c r="N204">
        <v>14.5</v>
      </c>
      <c r="Q204" t="s">
        <v>24</v>
      </c>
    </row>
    <row r="205" spans="1:17" x14ac:dyDescent="0.3">
      <c r="A205" t="s">
        <v>434</v>
      </c>
      <c r="B205" s="2">
        <v>45906</v>
      </c>
      <c r="C205" t="s">
        <v>26</v>
      </c>
      <c r="D205" t="s">
        <v>232</v>
      </c>
      <c r="E205" t="s">
        <v>37</v>
      </c>
      <c r="F205" t="s">
        <v>435</v>
      </c>
      <c r="G205" t="s">
        <v>30</v>
      </c>
      <c r="J205">
        <v>0</v>
      </c>
      <c r="K205">
        <v>0</v>
      </c>
      <c r="L205">
        <v>0</v>
      </c>
      <c r="M205">
        <v>1</v>
      </c>
      <c r="N205">
        <v>7.2</v>
      </c>
      <c r="O205">
        <v>7.8</v>
      </c>
      <c r="P205">
        <v>2.5</v>
      </c>
      <c r="Q205" t="s">
        <v>31</v>
      </c>
    </row>
    <row r="206" spans="1:17" x14ac:dyDescent="0.3">
      <c r="A206" t="s">
        <v>436</v>
      </c>
      <c r="B206" s="2">
        <v>46064</v>
      </c>
      <c r="C206" t="s">
        <v>26</v>
      </c>
      <c r="D206" t="s">
        <v>232</v>
      </c>
      <c r="E206" t="s">
        <v>42</v>
      </c>
      <c r="F206" t="s">
        <v>417</v>
      </c>
      <c r="G206" t="s">
        <v>44</v>
      </c>
      <c r="J206">
        <v>0</v>
      </c>
      <c r="K206">
        <v>0</v>
      </c>
      <c r="L206">
        <v>0</v>
      </c>
      <c r="M206">
        <v>1</v>
      </c>
      <c r="N206">
        <v>8.5</v>
      </c>
      <c r="O206">
        <v>3.2</v>
      </c>
      <c r="P206">
        <v>3.3</v>
      </c>
      <c r="Q206" t="s">
        <v>39</v>
      </c>
    </row>
    <row r="207" spans="1:17" x14ac:dyDescent="0.3">
      <c r="A207" t="s">
        <v>437</v>
      </c>
      <c r="B207" s="2">
        <v>46184</v>
      </c>
      <c r="C207" t="s">
        <v>18</v>
      </c>
      <c r="D207" t="s">
        <v>47</v>
      </c>
      <c r="E207" t="s">
        <v>20</v>
      </c>
      <c r="F207" t="s">
        <v>438</v>
      </c>
      <c r="G207" t="s">
        <v>50</v>
      </c>
      <c r="H207" t="s">
        <v>86</v>
      </c>
      <c r="I207" t="s">
        <v>89</v>
      </c>
      <c r="J207">
        <v>1</v>
      </c>
      <c r="K207">
        <v>35600</v>
      </c>
      <c r="L207">
        <v>0</v>
      </c>
      <c r="N207">
        <v>2</v>
      </c>
      <c r="Q207" t="s">
        <v>89</v>
      </c>
    </row>
    <row r="208" spans="1:17" x14ac:dyDescent="0.3">
      <c r="A208" t="s">
        <v>439</v>
      </c>
      <c r="B208" s="2">
        <v>46037</v>
      </c>
      <c r="C208" t="s">
        <v>18</v>
      </c>
      <c r="D208" t="s">
        <v>95</v>
      </c>
      <c r="E208" t="s">
        <v>20</v>
      </c>
      <c r="F208" t="s">
        <v>440</v>
      </c>
      <c r="G208" t="s">
        <v>22</v>
      </c>
      <c r="H208" t="s">
        <v>23</v>
      </c>
      <c r="I208" t="s">
        <v>45</v>
      </c>
      <c r="J208">
        <v>1</v>
      </c>
      <c r="K208">
        <v>19100</v>
      </c>
      <c r="L208">
        <v>0</v>
      </c>
      <c r="N208">
        <v>22</v>
      </c>
      <c r="Q208" t="s">
        <v>45</v>
      </c>
    </row>
    <row r="209" spans="1:17" x14ac:dyDescent="0.3">
      <c r="A209" t="s">
        <v>441</v>
      </c>
      <c r="B209" s="2">
        <v>45967</v>
      </c>
      <c r="C209" t="s">
        <v>26</v>
      </c>
      <c r="D209" t="s">
        <v>126</v>
      </c>
      <c r="E209" t="s">
        <v>20</v>
      </c>
      <c r="F209" t="s">
        <v>442</v>
      </c>
      <c r="G209" t="s">
        <v>44</v>
      </c>
      <c r="J209">
        <v>0</v>
      </c>
      <c r="K209">
        <v>0</v>
      </c>
      <c r="L209">
        <v>0</v>
      </c>
      <c r="M209">
        <v>1</v>
      </c>
      <c r="N209">
        <v>9</v>
      </c>
      <c r="O209">
        <v>19.899999999999999</v>
      </c>
      <c r="P209">
        <v>4.5</v>
      </c>
      <c r="Q209" t="s">
        <v>31</v>
      </c>
    </row>
    <row r="210" spans="1:17" x14ac:dyDescent="0.3">
      <c r="A210" t="s">
        <v>443</v>
      </c>
      <c r="B210" s="2">
        <v>45905</v>
      </c>
      <c r="C210" t="s">
        <v>18</v>
      </c>
      <c r="D210" t="s">
        <v>47</v>
      </c>
      <c r="E210" t="s">
        <v>20</v>
      </c>
      <c r="F210" t="s">
        <v>288</v>
      </c>
      <c r="G210" t="s">
        <v>30</v>
      </c>
      <c r="H210" t="s">
        <v>86</v>
      </c>
      <c r="I210" t="s">
        <v>79</v>
      </c>
      <c r="J210">
        <v>1</v>
      </c>
      <c r="K210">
        <v>41300</v>
      </c>
      <c r="L210">
        <v>0</v>
      </c>
      <c r="N210">
        <v>20.6</v>
      </c>
      <c r="Q210" t="s">
        <v>79</v>
      </c>
    </row>
    <row r="211" spans="1:17" x14ac:dyDescent="0.3">
      <c r="A211" t="s">
        <v>444</v>
      </c>
      <c r="B211" s="2">
        <v>46240</v>
      </c>
      <c r="C211" t="s">
        <v>18</v>
      </c>
      <c r="D211" t="s">
        <v>105</v>
      </c>
      <c r="E211" t="s">
        <v>28</v>
      </c>
      <c r="F211" t="s">
        <v>445</v>
      </c>
      <c r="G211" t="s">
        <v>22</v>
      </c>
      <c r="H211" t="s">
        <v>23</v>
      </c>
      <c r="I211" t="s">
        <v>45</v>
      </c>
      <c r="J211">
        <v>1</v>
      </c>
      <c r="K211">
        <v>10700</v>
      </c>
      <c r="L211">
        <v>0</v>
      </c>
      <c r="N211">
        <v>17.600000000000001</v>
      </c>
      <c r="Q211" t="s">
        <v>45</v>
      </c>
    </row>
    <row r="212" spans="1:17" x14ac:dyDescent="0.3">
      <c r="A212" t="s">
        <v>446</v>
      </c>
      <c r="B212" s="2">
        <v>46049</v>
      </c>
      <c r="C212" t="s">
        <v>18</v>
      </c>
      <c r="D212" t="s">
        <v>95</v>
      </c>
      <c r="E212" t="s">
        <v>20</v>
      </c>
      <c r="F212" t="s">
        <v>447</v>
      </c>
      <c r="G212" t="s">
        <v>44</v>
      </c>
      <c r="H212" t="s">
        <v>23</v>
      </c>
      <c r="I212" t="s">
        <v>67</v>
      </c>
      <c r="J212">
        <v>1</v>
      </c>
      <c r="K212">
        <v>21000</v>
      </c>
      <c r="L212">
        <v>0</v>
      </c>
      <c r="N212">
        <v>7.5</v>
      </c>
      <c r="Q212" t="s">
        <v>67</v>
      </c>
    </row>
    <row r="213" spans="1:17" x14ac:dyDescent="0.3">
      <c r="A213" t="s">
        <v>448</v>
      </c>
      <c r="B213" s="2">
        <v>46202</v>
      </c>
      <c r="C213" t="s">
        <v>26</v>
      </c>
      <c r="D213" t="s">
        <v>114</v>
      </c>
      <c r="E213" t="s">
        <v>37</v>
      </c>
      <c r="F213" t="s">
        <v>449</v>
      </c>
      <c r="G213" t="s">
        <v>22</v>
      </c>
      <c r="J213">
        <v>0</v>
      </c>
      <c r="K213">
        <v>0</v>
      </c>
      <c r="L213">
        <v>0</v>
      </c>
      <c r="M213">
        <v>1</v>
      </c>
      <c r="N213">
        <v>2.7</v>
      </c>
      <c r="O213">
        <v>7.6</v>
      </c>
      <c r="P213">
        <v>2.7</v>
      </c>
      <c r="Q213" t="s">
        <v>39</v>
      </c>
    </row>
    <row r="214" spans="1:17" x14ac:dyDescent="0.3">
      <c r="A214" t="s">
        <v>450</v>
      </c>
      <c r="B214" s="2">
        <v>46127</v>
      </c>
      <c r="C214" t="s">
        <v>26</v>
      </c>
      <c r="D214" t="s">
        <v>33</v>
      </c>
      <c r="E214" t="s">
        <v>48</v>
      </c>
      <c r="F214" t="s">
        <v>451</v>
      </c>
      <c r="G214" t="s">
        <v>50</v>
      </c>
      <c r="J214">
        <v>0</v>
      </c>
      <c r="K214">
        <v>0</v>
      </c>
      <c r="L214">
        <v>0</v>
      </c>
      <c r="M214">
        <v>1</v>
      </c>
      <c r="N214">
        <v>4.9000000000000004</v>
      </c>
      <c r="O214">
        <v>10</v>
      </c>
      <c r="P214">
        <v>3.9</v>
      </c>
      <c r="Q214" t="s">
        <v>39</v>
      </c>
    </row>
    <row r="215" spans="1:17" x14ac:dyDescent="0.3">
      <c r="A215" t="s">
        <v>452</v>
      </c>
      <c r="B215" s="2">
        <v>46137</v>
      </c>
      <c r="C215" t="s">
        <v>18</v>
      </c>
      <c r="D215" t="s">
        <v>47</v>
      </c>
      <c r="E215" t="s">
        <v>20</v>
      </c>
      <c r="F215" t="s">
        <v>453</v>
      </c>
      <c r="G215" t="s">
        <v>30</v>
      </c>
      <c r="H215" t="s">
        <v>23</v>
      </c>
      <c r="I215" t="s">
        <v>89</v>
      </c>
      <c r="J215">
        <v>1</v>
      </c>
      <c r="K215">
        <v>32200</v>
      </c>
      <c r="L215">
        <v>0</v>
      </c>
      <c r="N215">
        <v>21.5</v>
      </c>
      <c r="Q215" t="s">
        <v>89</v>
      </c>
    </row>
    <row r="216" spans="1:17" x14ac:dyDescent="0.3">
      <c r="A216" t="s">
        <v>454</v>
      </c>
      <c r="B216" s="2">
        <v>45902</v>
      </c>
      <c r="C216" t="s">
        <v>26</v>
      </c>
      <c r="D216" t="s">
        <v>69</v>
      </c>
      <c r="E216" t="s">
        <v>37</v>
      </c>
      <c r="F216" t="s">
        <v>230</v>
      </c>
      <c r="G216" t="s">
        <v>44</v>
      </c>
      <c r="J216">
        <v>0</v>
      </c>
      <c r="K216">
        <v>0</v>
      </c>
      <c r="L216">
        <v>0</v>
      </c>
      <c r="M216">
        <v>1</v>
      </c>
      <c r="N216">
        <v>6.4</v>
      </c>
      <c r="O216">
        <v>10.8</v>
      </c>
      <c r="P216">
        <v>2.8</v>
      </c>
      <c r="Q216" t="s">
        <v>31</v>
      </c>
    </row>
    <row r="217" spans="1:17" x14ac:dyDescent="0.3">
      <c r="A217" t="s">
        <v>455</v>
      </c>
      <c r="B217" s="2">
        <v>46120</v>
      </c>
      <c r="C217" t="s">
        <v>18</v>
      </c>
      <c r="D217" t="s">
        <v>105</v>
      </c>
      <c r="E217" t="s">
        <v>42</v>
      </c>
      <c r="F217" t="s">
        <v>456</v>
      </c>
      <c r="G217" t="s">
        <v>30</v>
      </c>
      <c r="H217" t="s">
        <v>66</v>
      </c>
      <c r="I217" t="s">
        <v>45</v>
      </c>
      <c r="J217">
        <v>1</v>
      </c>
      <c r="K217">
        <v>16200</v>
      </c>
      <c r="L217">
        <v>0</v>
      </c>
      <c r="N217">
        <v>5.8</v>
      </c>
      <c r="Q217" t="s">
        <v>45</v>
      </c>
    </row>
    <row r="218" spans="1:17" x14ac:dyDescent="0.3">
      <c r="A218" t="s">
        <v>457</v>
      </c>
      <c r="B218" s="2">
        <v>46011</v>
      </c>
      <c r="C218" t="s">
        <v>18</v>
      </c>
      <c r="D218" t="s">
        <v>52</v>
      </c>
      <c r="E218" t="s">
        <v>48</v>
      </c>
      <c r="F218" t="s">
        <v>458</v>
      </c>
      <c r="G218" t="s">
        <v>44</v>
      </c>
      <c r="H218" t="s">
        <v>78</v>
      </c>
      <c r="I218" t="s">
        <v>24</v>
      </c>
      <c r="J218">
        <v>1</v>
      </c>
      <c r="K218">
        <v>90700</v>
      </c>
      <c r="L218">
        <v>90700</v>
      </c>
      <c r="N218">
        <v>11.7</v>
      </c>
      <c r="Q218" t="s">
        <v>24</v>
      </c>
    </row>
    <row r="219" spans="1:17" x14ac:dyDescent="0.3">
      <c r="A219" t="s">
        <v>459</v>
      </c>
      <c r="B219" s="2">
        <v>46108</v>
      </c>
      <c r="C219" t="s">
        <v>26</v>
      </c>
      <c r="D219" t="s">
        <v>114</v>
      </c>
      <c r="E219" t="s">
        <v>20</v>
      </c>
      <c r="F219" t="s">
        <v>218</v>
      </c>
      <c r="G219" t="s">
        <v>22</v>
      </c>
      <c r="J219">
        <v>0</v>
      </c>
      <c r="K219">
        <v>0</v>
      </c>
      <c r="L219">
        <v>0</v>
      </c>
      <c r="M219">
        <v>1</v>
      </c>
      <c r="N219">
        <v>2.6</v>
      </c>
      <c r="O219">
        <v>4.2</v>
      </c>
      <c r="P219">
        <v>4</v>
      </c>
      <c r="Q219" t="s">
        <v>39</v>
      </c>
    </row>
    <row r="220" spans="1:17" x14ac:dyDescent="0.3">
      <c r="A220" t="s">
        <v>460</v>
      </c>
      <c r="B220" s="2">
        <v>46162</v>
      </c>
      <c r="C220" t="s">
        <v>26</v>
      </c>
      <c r="D220" t="s">
        <v>72</v>
      </c>
      <c r="E220" t="s">
        <v>48</v>
      </c>
      <c r="F220" t="s">
        <v>461</v>
      </c>
      <c r="G220" t="s">
        <v>22</v>
      </c>
      <c r="J220">
        <v>0</v>
      </c>
      <c r="K220">
        <v>0</v>
      </c>
      <c r="L220">
        <v>0</v>
      </c>
      <c r="M220">
        <v>1</v>
      </c>
      <c r="N220">
        <v>7</v>
      </c>
      <c r="O220">
        <v>11.6</v>
      </c>
      <c r="P220">
        <v>4.7</v>
      </c>
      <c r="Q220" t="s">
        <v>39</v>
      </c>
    </row>
    <row r="221" spans="1:17" x14ac:dyDescent="0.3">
      <c r="A221" t="s">
        <v>462</v>
      </c>
      <c r="B221" s="2">
        <v>46063</v>
      </c>
      <c r="C221" t="s">
        <v>26</v>
      </c>
      <c r="D221" t="s">
        <v>114</v>
      </c>
      <c r="E221" t="s">
        <v>20</v>
      </c>
      <c r="F221" t="s">
        <v>463</v>
      </c>
      <c r="G221" t="s">
        <v>30</v>
      </c>
      <c r="J221">
        <v>0</v>
      </c>
      <c r="K221">
        <v>0</v>
      </c>
      <c r="L221">
        <v>0</v>
      </c>
      <c r="M221">
        <v>1</v>
      </c>
      <c r="N221">
        <v>7.3</v>
      </c>
      <c r="O221">
        <v>9.6</v>
      </c>
      <c r="P221">
        <v>4</v>
      </c>
      <c r="Q221" t="s">
        <v>39</v>
      </c>
    </row>
    <row r="222" spans="1:17" x14ac:dyDescent="0.3">
      <c r="A222" t="s">
        <v>464</v>
      </c>
      <c r="B222" s="2">
        <v>45959</v>
      </c>
      <c r="C222" t="s">
        <v>26</v>
      </c>
      <c r="D222" t="s">
        <v>27</v>
      </c>
      <c r="E222" t="s">
        <v>37</v>
      </c>
      <c r="F222" t="s">
        <v>465</v>
      </c>
      <c r="G222" t="s">
        <v>30</v>
      </c>
      <c r="J222">
        <v>0</v>
      </c>
      <c r="K222">
        <v>0</v>
      </c>
      <c r="L222">
        <v>0</v>
      </c>
      <c r="M222">
        <v>1</v>
      </c>
      <c r="N222">
        <v>8.6</v>
      </c>
      <c r="O222">
        <v>4.7</v>
      </c>
      <c r="P222">
        <v>4</v>
      </c>
      <c r="Q222" t="s">
        <v>39</v>
      </c>
    </row>
    <row r="223" spans="1:17" x14ac:dyDescent="0.3">
      <c r="A223" t="s">
        <v>466</v>
      </c>
      <c r="B223" s="2">
        <v>45919</v>
      </c>
      <c r="C223" t="s">
        <v>26</v>
      </c>
      <c r="D223" t="s">
        <v>114</v>
      </c>
      <c r="E223" t="s">
        <v>28</v>
      </c>
      <c r="F223" t="s">
        <v>467</v>
      </c>
      <c r="G223" t="s">
        <v>30</v>
      </c>
      <c r="J223">
        <v>0</v>
      </c>
      <c r="K223">
        <v>0</v>
      </c>
      <c r="L223">
        <v>0</v>
      </c>
      <c r="M223">
        <v>1</v>
      </c>
      <c r="N223">
        <v>2.9</v>
      </c>
      <c r="O223">
        <v>8.1999999999999993</v>
      </c>
      <c r="P223">
        <v>4.4000000000000004</v>
      </c>
      <c r="Q223" t="s">
        <v>39</v>
      </c>
    </row>
    <row r="224" spans="1:17" x14ac:dyDescent="0.3">
      <c r="A224" t="s">
        <v>468</v>
      </c>
      <c r="B224" s="2">
        <v>46217</v>
      </c>
      <c r="C224" t="s">
        <v>18</v>
      </c>
      <c r="D224" t="s">
        <v>64</v>
      </c>
      <c r="E224" t="s">
        <v>20</v>
      </c>
      <c r="F224" t="s">
        <v>469</v>
      </c>
      <c r="G224" t="s">
        <v>30</v>
      </c>
      <c r="H224" t="s">
        <v>66</v>
      </c>
      <c r="I224" t="s">
        <v>24</v>
      </c>
      <c r="J224">
        <v>1</v>
      </c>
      <c r="K224">
        <v>126700</v>
      </c>
      <c r="L224">
        <v>126700</v>
      </c>
      <c r="N224">
        <v>7</v>
      </c>
      <c r="Q224" t="s">
        <v>24</v>
      </c>
    </row>
    <row r="225" spans="1:17" x14ac:dyDescent="0.3">
      <c r="A225" t="s">
        <v>470</v>
      </c>
      <c r="B225" s="2">
        <v>46139</v>
      </c>
      <c r="C225" t="s">
        <v>18</v>
      </c>
      <c r="D225" t="s">
        <v>47</v>
      </c>
      <c r="E225" t="s">
        <v>20</v>
      </c>
      <c r="F225" t="s">
        <v>471</v>
      </c>
      <c r="G225" t="s">
        <v>22</v>
      </c>
      <c r="H225" t="s">
        <v>86</v>
      </c>
      <c r="I225" t="s">
        <v>45</v>
      </c>
      <c r="J225">
        <v>1</v>
      </c>
      <c r="K225">
        <v>95500</v>
      </c>
      <c r="L225">
        <v>0</v>
      </c>
      <c r="N225">
        <v>4.5</v>
      </c>
      <c r="Q225" t="s">
        <v>45</v>
      </c>
    </row>
    <row r="226" spans="1:17" x14ac:dyDescent="0.3">
      <c r="A226" t="s">
        <v>472</v>
      </c>
      <c r="B226" s="2">
        <v>46137</v>
      </c>
      <c r="C226" t="s">
        <v>18</v>
      </c>
      <c r="D226" t="s">
        <v>47</v>
      </c>
      <c r="E226" t="s">
        <v>37</v>
      </c>
      <c r="F226" t="s">
        <v>473</v>
      </c>
      <c r="G226" t="s">
        <v>22</v>
      </c>
      <c r="H226" t="s">
        <v>66</v>
      </c>
      <c r="I226" t="s">
        <v>45</v>
      </c>
      <c r="J226">
        <v>1</v>
      </c>
      <c r="K226">
        <v>5000</v>
      </c>
      <c r="L226">
        <v>0</v>
      </c>
      <c r="N226">
        <v>7.9</v>
      </c>
      <c r="Q226" t="s">
        <v>45</v>
      </c>
    </row>
    <row r="227" spans="1:17" x14ac:dyDescent="0.3">
      <c r="A227" t="s">
        <v>474</v>
      </c>
      <c r="B227" s="2">
        <v>46186</v>
      </c>
      <c r="C227" t="s">
        <v>18</v>
      </c>
      <c r="D227" t="s">
        <v>52</v>
      </c>
      <c r="E227" t="s">
        <v>28</v>
      </c>
      <c r="F227" t="s">
        <v>136</v>
      </c>
      <c r="G227" t="s">
        <v>30</v>
      </c>
      <c r="H227" t="s">
        <v>54</v>
      </c>
      <c r="I227" t="s">
        <v>24</v>
      </c>
      <c r="J227">
        <v>1</v>
      </c>
      <c r="K227">
        <v>13400</v>
      </c>
      <c r="L227">
        <v>13400</v>
      </c>
      <c r="N227">
        <v>19.899999999999999</v>
      </c>
      <c r="Q227" t="s">
        <v>24</v>
      </c>
    </row>
    <row r="228" spans="1:17" x14ac:dyDescent="0.3">
      <c r="A228" t="s">
        <v>475</v>
      </c>
      <c r="B228" s="2">
        <v>46073</v>
      </c>
      <c r="C228" t="s">
        <v>26</v>
      </c>
      <c r="D228" t="s">
        <v>126</v>
      </c>
      <c r="E228" t="s">
        <v>37</v>
      </c>
      <c r="F228" t="s">
        <v>476</v>
      </c>
      <c r="G228" t="s">
        <v>50</v>
      </c>
      <c r="J228">
        <v>0</v>
      </c>
      <c r="K228">
        <v>0</v>
      </c>
      <c r="L228">
        <v>0</v>
      </c>
      <c r="M228">
        <v>1</v>
      </c>
      <c r="N228">
        <v>2.9</v>
      </c>
      <c r="O228">
        <v>5.8</v>
      </c>
      <c r="P228">
        <v>4.3</v>
      </c>
      <c r="Q228" t="s">
        <v>62</v>
      </c>
    </row>
    <row r="229" spans="1:17" x14ac:dyDescent="0.3">
      <c r="A229" t="s">
        <v>477</v>
      </c>
      <c r="B229" s="2">
        <v>46006</v>
      </c>
      <c r="C229" t="s">
        <v>18</v>
      </c>
      <c r="D229" t="s">
        <v>52</v>
      </c>
      <c r="E229" t="s">
        <v>28</v>
      </c>
      <c r="F229" t="s">
        <v>404</v>
      </c>
      <c r="G229" t="s">
        <v>22</v>
      </c>
      <c r="H229" t="s">
        <v>78</v>
      </c>
      <c r="I229" t="s">
        <v>67</v>
      </c>
      <c r="J229">
        <v>1</v>
      </c>
      <c r="K229">
        <v>18600</v>
      </c>
      <c r="L229">
        <v>0</v>
      </c>
      <c r="N229">
        <v>6.9</v>
      </c>
      <c r="Q229" t="s">
        <v>67</v>
      </c>
    </row>
    <row r="230" spans="1:17" x14ac:dyDescent="0.3">
      <c r="A230" t="s">
        <v>478</v>
      </c>
      <c r="B230" s="2">
        <v>46039</v>
      </c>
      <c r="C230" t="s">
        <v>26</v>
      </c>
      <c r="D230" t="s">
        <v>27</v>
      </c>
      <c r="E230" t="s">
        <v>37</v>
      </c>
      <c r="F230" t="s">
        <v>479</v>
      </c>
      <c r="G230" t="s">
        <v>22</v>
      </c>
      <c r="J230">
        <v>0</v>
      </c>
      <c r="K230">
        <v>0</v>
      </c>
      <c r="L230">
        <v>0</v>
      </c>
      <c r="M230">
        <v>1</v>
      </c>
      <c r="N230">
        <v>2.9</v>
      </c>
      <c r="O230">
        <v>9.9</v>
      </c>
      <c r="P230">
        <v>4</v>
      </c>
      <c r="Q230" t="s">
        <v>31</v>
      </c>
    </row>
    <row r="231" spans="1:17" x14ac:dyDescent="0.3">
      <c r="A231" t="s">
        <v>480</v>
      </c>
      <c r="B231" s="2">
        <v>46191</v>
      </c>
      <c r="C231" t="s">
        <v>26</v>
      </c>
      <c r="D231" t="s">
        <v>33</v>
      </c>
      <c r="E231" t="s">
        <v>42</v>
      </c>
      <c r="F231" t="s">
        <v>481</v>
      </c>
      <c r="G231" t="s">
        <v>30</v>
      </c>
      <c r="J231">
        <v>0</v>
      </c>
      <c r="K231">
        <v>0</v>
      </c>
      <c r="L231">
        <v>0</v>
      </c>
      <c r="M231">
        <v>1</v>
      </c>
      <c r="N231">
        <v>5.5</v>
      </c>
      <c r="O231">
        <v>6.6</v>
      </c>
      <c r="P231">
        <v>3.8</v>
      </c>
      <c r="Q231" t="s">
        <v>39</v>
      </c>
    </row>
    <row r="232" spans="1:17" x14ac:dyDescent="0.3">
      <c r="A232" t="s">
        <v>482</v>
      </c>
      <c r="B232" s="2">
        <v>46151</v>
      </c>
      <c r="C232" t="s">
        <v>26</v>
      </c>
      <c r="D232" t="s">
        <v>36</v>
      </c>
      <c r="E232" t="s">
        <v>42</v>
      </c>
      <c r="F232" t="s">
        <v>483</v>
      </c>
      <c r="G232" t="s">
        <v>22</v>
      </c>
      <c r="J232">
        <v>0</v>
      </c>
      <c r="K232">
        <v>0</v>
      </c>
      <c r="L232">
        <v>0</v>
      </c>
      <c r="M232">
        <v>1</v>
      </c>
      <c r="N232">
        <v>3.8</v>
      </c>
      <c r="O232">
        <v>1.7</v>
      </c>
      <c r="P232">
        <v>3.1</v>
      </c>
      <c r="Q232" t="s">
        <v>39</v>
      </c>
    </row>
    <row r="233" spans="1:17" x14ac:dyDescent="0.3">
      <c r="A233" t="s">
        <v>484</v>
      </c>
      <c r="B233" s="2">
        <v>46137</v>
      </c>
      <c r="C233" t="s">
        <v>18</v>
      </c>
      <c r="D233" t="s">
        <v>41</v>
      </c>
      <c r="E233" t="s">
        <v>48</v>
      </c>
      <c r="F233" t="s">
        <v>485</v>
      </c>
      <c r="G233" t="s">
        <v>44</v>
      </c>
      <c r="H233" t="s">
        <v>86</v>
      </c>
      <c r="I233" t="s">
        <v>24</v>
      </c>
      <c r="J233">
        <v>1</v>
      </c>
      <c r="K233">
        <v>56700</v>
      </c>
      <c r="L233">
        <v>56700</v>
      </c>
      <c r="N233">
        <v>8.5</v>
      </c>
      <c r="Q233" t="s">
        <v>24</v>
      </c>
    </row>
    <row r="234" spans="1:17" x14ac:dyDescent="0.3">
      <c r="A234" t="s">
        <v>486</v>
      </c>
      <c r="B234" s="2">
        <v>46027</v>
      </c>
      <c r="C234" t="s">
        <v>26</v>
      </c>
      <c r="D234" t="s">
        <v>69</v>
      </c>
      <c r="E234" t="s">
        <v>20</v>
      </c>
      <c r="F234" t="s">
        <v>487</v>
      </c>
      <c r="G234" t="s">
        <v>30</v>
      </c>
      <c r="J234">
        <v>0</v>
      </c>
      <c r="K234">
        <v>0</v>
      </c>
      <c r="L234">
        <v>0</v>
      </c>
      <c r="M234">
        <v>1</v>
      </c>
      <c r="N234">
        <v>2</v>
      </c>
      <c r="O234">
        <v>5.3</v>
      </c>
      <c r="P234">
        <v>3.8</v>
      </c>
      <c r="Q234" t="s">
        <v>31</v>
      </c>
    </row>
    <row r="235" spans="1:17" x14ac:dyDescent="0.3">
      <c r="A235" t="s">
        <v>488</v>
      </c>
      <c r="B235" s="2">
        <v>46232</v>
      </c>
      <c r="C235" t="s">
        <v>18</v>
      </c>
      <c r="D235" t="s">
        <v>64</v>
      </c>
      <c r="E235" t="s">
        <v>20</v>
      </c>
      <c r="F235" t="s">
        <v>489</v>
      </c>
      <c r="G235" t="s">
        <v>30</v>
      </c>
      <c r="H235" t="s">
        <v>23</v>
      </c>
      <c r="I235" t="s">
        <v>45</v>
      </c>
      <c r="J235">
        <v>1</v>
      </c>
      <c r="K235">
        <v>23300</v>
      </c>
      <c r="L235">
        <v>0</v>
      </c>
      <c r="N235">
        <v>0.8</v>
      </c>
      <c r="Q235" t="s">
        <v>45</v>
      </c>
    </row>
    <row r="236" spans="1:17" x14ac:dyDescent="0.3">
      <c r="A236" t="s">
        <v>490</v>
      </c>
      <c r="B236" s="2">
        <v>46264</v>
      </c>
      <c r="C236" t="s">
        <v>18</v>
      </c>
      <c r="D236" t="s">
        <v>47</v>
      </c>
      <c r="E236" t="s">
        <v>20</v>
      </c>
      <c r="F236" t="s">
        <v>491</v>
      </c>
      <c r="G236" t="s">
        <v>30</v>
      </c>
      <c r="H236" t="s">
        <v>54</v>
      </c>
      <c r="I236" t="s">
        <v>67</v>
      </c>
      <c r="J236">
        <v>1</v>
      </c>
      <c r="K236">
        <v>16200</v>
      </c>
      <c r="L236">
        <v>0</v>
      </c>
      <c r="N236">
        <v>0.6</v>
      </c>
      <c r="Q236" t="s">
        <v>67</v>
      </c>
    </row>
    <row r="237" spans="1:17" x14ac:dyDescent="0.3">
      <c r="A237" t="s">
        <v>492</v>
      </c>
      <c r="B237" s="2">
        <v>46215</v>
      </c>
      <c r="C237" t="s">
        <v>26</v>
      </c>
      <c r="D237" t="s">
        <v>72</v>
      </c>
      <c r="E237" t="s">
        <v>48</v>
      </c>
      <c r="F237" t="s">
        <v>493</v>
      </c>
      <c r="G237" t="s">
        <v>44</v>
      </c>
      <c r="J237">
        <v>0</v>
      </c>
      <c r="K237">
        <v>0</v>
      </c>
      <c r="L237">
        <v>0</v>
      </c>
      <c r="M237">
        <v>1</v>
      </c>
      <c r="N237">
        <v>1.7</v>
      </c>
      <c r="O237">
        <v>7.7</v>
      </c>
      <c r="P237">
        <v>3</v>
      </c>
      <c r="Q237" t="s">
        <v>39</v>
      </c>
    </row>
    <row r="238" spans="1:17" x14ac:dyDescent="0.3">
      <c r="A238" t="s">
        <v>494</v>
      </c>
      <c r="B238" s="2">
        <v>46041</v>
      </c>
      <c r="C238" t="s">
        <v>18</v>
      </c>
      <c r="D238" t="s">
        <v>105</v>
      </c>
      <c r="E238" t="s">
        <v>28</v>
      </c>
      <c r="F238" t="s">
        <v>495</v>
      </c>
      <c r="G238" t="s">
        <v>22</v>
      </c>
      <c r="H238" t="s">
        <v>23</v>
      </c>
      <c r="I238" t="s">
        <v>24</v>
      </c>
      <c r="J238">
        <v>1</v>
      </c>
      <c r="K238">
        <v>5000</v>
      </c>
      <c r="L238">
        <v>5000</v>
      </c>
      <c r="N238">
        <v>21</v>
      </c>
      <c r="Q238" t="s">
        <v>24</v>
      </c>
    </row>
    <row r="239" spans="1:17" x14ac:dyDescent="0.3">
      <c r="A239" t="s">
        <v>496</v>
      </c>
      <c r="B239" s="2">
        <v>46051</v>
      </c>
      <c r="C239" t="s">
        <v>18</v>
      </c>
      <c r="D239" t="s">
        <v>117</v>
      </c>
      <c r="E239" t="s">
        <v>20</v>
      </c>
      <c r="F239" t="s">
        <v>396</v>
      </c>
      <c r="G239" t="s">
        <v>44</v>
      </c>
      <c r="H239" t="s">
        <v>86</v>
      </c>
      <c r="I239" t="s">
        <v>24</v>
      </c>
      <c r="J239">
        <v>1</v>
      </c>
      <c r="K239">
        <v>13900</v>
      </c>
      <c r="L239">
        <v>13900</v>
      </c>
      <c r="N239">
        <v>11.9</v>
      </c>
      <c r="Q239" t="s">
        <v>24</v>
      </c>
    </row>
    <row r="240" spans="1:17" x14ac:dyDescent="0.3">
      <c r="A240" t="s">
        <v>497</v>
      </c>
      <c r="B240" s="2">
        <v>46175</v>
      </c>
      <c r="C240" t="s">
        <v>26</v>
      </c>
      <c r="D240" t="s">
        <v>33</v>
      </c>
      <c r="E240" t="s">
        <v>20</v>
      </c>
      <c r="F240" t="s">
        <v>323</v>
      </c>
      <c r="G240" t="s">
        <v>22</v>
      </c>
      <c r="J240">
        <v>0</v>
      </c>
      <c r="K240">
        <v>0</v>
      </c>
      <c r="L240">
        <v>0</v>
      </c>
      <c r="M240">
        <v>1</v>
      </c>
      <c r="N240">
        <v>10.9</v>
      </c>
      <c r="O240">
        <v>9.1999999999999993</v>
      </c>
      <c r="P240">
        <v>5</v>
      </c>
      <c r="Q240" t="s">
        <v>39</v>
      </c>
    </row>
    <row r="241" spans="1:17" x14ac:dyDescent="0.3">
      <c r="A241" t="s">
        <v>498</v>
      </c>
      <c r="B241" s="2">
        <v>46124</v>
      </c>
      <c r="C241" t="s">
        <v>18</v>
      </c>
      <c r="D241" t="s">
        <v>117</v>
      </c>
      <c r="E241" t="s">
        <v>37</v>
      </c>
      <c r="F241" t="s">
        <v>499</v>
      </c>
      <c r="G241" t="s">
        <v>44</v>
      </c>
      <c r="H241" t="s">
        <v>78</v>
      </c>
      <c r="I241" t="s">
        <v>89</v>
      </c>
      <c r="J241">
        <v>1</v>
      </c>
      <c r="K241">
        <v>8500</v>
      </c>
      <c r="L241">
        <v>0</v>
      </c>
      <c r="N241">
        <v>3.4</v>
      </c>
      <c r="Q241" t="s">
        <v>89</v>
      </c>
    </row>
    <row r="242" spans="1:17" x14ac:dyDescent="0.3">
      <c r="A242" t="s">
        <v>500</v>
      </c>
      <c r="B242" s="2">
        <v>45938</v>
      </c>
      <c r="C242" t="s">
        <v>26</v>
      </c>
      <c r="D242" t="s">
        <v>72</v>
      </c>
      <c r="E242" t="s">
        <v>20</v>
      </c>
      <c r="F242" t="s">
        <v>491</v>
      </c>
      <c r="G242" t="s">
        <v>44</v>
      </c>
      <c r="J242">
        <v>0</v>
      </c>
      <c r="K242">
        <v>0</v>
      </c>
      <c r="L242">
        <v>0</v>
      </c>
      <c r="M242">
        <v>1</v>
      </c>
      <c r="N242">
        <v>8.1</v>
      </c>
      <c r="O242">
        <v>5.8</v>
      </c>
      <c r="P242">
        <v>3.3</v>
      </c>
      <c r="Q242" t="s">
        <v>39</v>
      </c>
    </row>
    <row r="243" spans="1:17" x14ac:dyDescent="0.3">
      <c r="A243" t="s">
        <v>501</v>
      </c>
      <c r="B243" s="2">
        <v>46026</v>
      </c>
      <c r="C243" t="s">
        <v>26</v>
      </c>
      <c r="D243" t="s">
        <v>232</v>
      </c>
      <c r="E243" t="s">
        <v>48</v>
      </c>
      <c r="F243" t="s">
        <v>502</v>
      </c>
      <c r="G243" t="s">
        <v>22</v>
      </c>
      <c r="J243">
        <v>0</v>
      </c>
      <c r="K243">
        <v>0</v>
      </c>
      <c r="L243">
        <v>0</v>
      </c>
      <c r="M243">
        <v>1</v>
      </c>
      <c r="N243">
        <v>11.9</v>
      </c>
      <c r="O243">
        <v>7.1</v>
      </c>
      <c r="P243">
        <v>5</v>
      </c>
      <c r="Q243" t="s">
        <v>62</v>
      </c>
    </row>
    <row r="244" spans="1:17" x14ac:dyDescent="0.3">
      <c r="A244" t="s">
        <v>503</v>
      </c>
      <c r="B244" s="2">
        <v>45968</v>
      </c>
      <c r="C244" t="s">
        <v>26</v>
      </c>
      <c r="D244" t="s">
        <v>72</v>
      </c>
      <c r="E244" t="s">
        <v>42</v>
      </c>
      <c r="F244" t="s">
        <v>241</v>
      </c>
      <c r="G244" t="s">
        <v>44</v>
      </c>
      <c r="J244">
        <v>0</v>
      </c>
      <c r="K244">
        <v>0</v>
      </c>
      <c r="L244">
        <v>0</v>
      </c>
      <c r="M244">
        <v>1</v>
      </c>
      <c r="N244">
        <v>7</v>
      </c>
      <c r="O244">
        <v>5.7</v>
      </c>
      <c r="P244">
        <v>3.8</v>
      </c>
      <c r="Q244" t="s">
        <v>39</v>
      </c>
    </row>
    <row r="245" spans="1:17" x14ac:dyDescent="0.3">
      <c r="A245" t="s">
        <v>504</v>
      </c>
      <c r="B245" s="2">
        <v>46222</v>
      </c>
      <c r="C245" t="s">
        <v>18</v>
      </c>
      <c r="D245" t="s">
        <v>52</v>
      </c>
      <c r="E245" t="s">
        <v>20</v>
      </c>
      <c r="F245" t="s">
        <v>505</v>
      </c>
      <c r="G245" t="s">
        <v>44</v>
      </c>
      <c r="H245" t="s">
        <v>54</v>
      </c>
      <c r="I245" t="s">
        <v>67</v>
      </c>
      <c r="J245">
        <v>1</v>
      </c>
      <c r="K245">
        <v>37600</v>
      </c>
      <c r="L245">
        <v>0</v>
      </c>
      <c r="N245">
        <v>15.7</v>
      </c>
      <c r="Q245" t="s">
        <v>67</v>
      </c>
    </row>
    <row r="246" spans="1:17" x14ac:dyDescent="0.3">
      <c r="A246" t="s">
        <v>506</v>
      </c>
      <c r="B246" s="2">
        <v>46145</v>
      </c>
      <c r="C246" t="s">
        <v>18</v>
      </c>
      <c r="D246" t="s">
        <v>41</v>
      </c>
      <c r="E246" t="s">
        <v>20</v>
      </c>
      <c r="F246" t="s">
        <v>393</v>
      </c>
      <c r="G246" t="s">
        <v>22</v>
      </c>
      <c r="H246" t="s">
        <v>23</v>
      </c>
      <c r="I246" t="s">
        <v>67</v>
      </c>
      <c r="J246">
        <v>1</v>
      </c>
      <c r="K246">
        <v>6300</v>
      </c>
      <c r="L246">
        <v>0</v>
      </c>
      <c r="N246">
        <v>11.6</v>
      </c>
      <c r="Q246" t="s">
        <v>67</v>
      </c>
    </row>
    <row r="247" spans="1:17" x14ac:dyDescent="0.3">
      <c r="A247" t="s">
        <v>507</v>
      </c>
      <c r="B247" s="2">
        <v>46248</v>
      </c>
      <c r="C247" t="s">
        <v>26</v>
      </c>
      <c r="D247" t="s">
        <v>27</v>
      </c>
      <c r="E247" t="s">
        <v>20</v>
      </c>
      <c r="F247" t="s">
        <v>73</v>
      </c>
      <c r="G247" t="s">
        <v>44</v>
      </c>
      <c r="J247">
        <v>0</v>
      </c>
      <c r="K247">
        <v>0</v>
      </c>
      <c r="L247">
        <v>0</v>
      </c>
      <c r="M247">
        <v>1</v>
      </c>
      <c r="N247">
        <v>9.5</v>
      </c>
      <c r="O247">
        <v>8.9</v>
      </c>
      <c r="P247">
        <v>4.2</v>
      </c>
      <c r="Q247" t="s">
        <v>39</v>
      </c>
    </row>
    <row r="248" spans="1:17" x14ac:dyDescent="0.3">
      <c r="A248" t="s">
        <v>508</v>
      </c>
      <c r="B248" s="2">
        <v>46196</v>
      </c>
      <c r="C248" t="s">
        <v>18</v>
      </c>
      <c r="D248" t="s">
        <v>117</v>
      </c>
      <c r="E248" t="s">
        <v>20</v>
      </c>
      <c r="F248" t="s">
        <v>314</v>
      </c>
      <c r="G248" t="s">
        <v>22</v>
      </c>
      <c r="H248" t="s">
        <v>23</v>
      </c>
      <c r="I248" t="s">
        <v>79</v>
      </c>
      <c r="J248">
        <v>1</v>
      </c>
      <c r="K248">
        <v>143300</v>
      </c>
      <c r="L248">
        <v>0</v>
      </c>
      <c r="N248">
        <v>22.7</v>
      </c>
      <c r="Q248" t="s">
        <v>79</v>
      </c>
    </row>
    <row r="249" spans="1:17" x14ac:dyDescent="0.3">
      <c r="A249" t="s">
        <v>509</v>
      </c>
      <c r="B249" s="2">
        <v>46205</v>
      </c>
      <c r="C249" t="s">
        <v>26</v>
      </c>
      <c r="D249" t="s">
        <v>126</v>
      </c>
      <c r="E249" t="s">
        <v>37</v>
      </c>
      <c r="F249" t="s">
        <v>510</v>
      </c>
      <c r="G249" t="s">
        <v>30</v>
      </c>
      <c r="J249">
        <v>0</v>
      </c>
      <c r="K249">
        <v>0</v>
      </c>
      <c r="L249">
        <v>0</v>
      </c>
      <c r="M249">
        <v>1</v>
      </c>
      <c r="N249">
        <v>3.4</v>
      </c>
      <c r="O249">
        <v>11.8</v>
      </c>
      <c r="P249">
        <v>3.5</v>
      </c>
      <c r="Q249" t="s">
        <v>225</v>
      </c>
    </row>
    <row r="250" spans="1:17" x14ac:dyDescent="0.3">
      <c r="A250" t="s">
        <v>511</v>
      </c>
      <c r="B250" s="2">
        <v>46196</v>
      </c>
      <c r="C250" t="s">
        <v>26</v>
      </c>
      <c r="D250" t="s">
        <v>126</v>
      </c>
      <c r="E250" t="s">
        <v>20</v>
      </c>
      <c r="F250" t="s">
        <v>512</v>
      </c>
      <c r="G250" t="s">
        <v>22</v>
      </c>
      <c r="J250">
        <v>0</v>
      </c>
      <c r="K250">
        <v>0</v>
      </c>
      <c r="L250">
        <v>0</v>
      </c>
      <c r="M250">
        <v>1</v>
      </c>
      <c r="N250">
        <v>0.8</v>
      </c>
      <c r="O250">
        <v>3.9</v>
      </c>
      <c r="P250">
        <v>4.3</v>
      </c>
      <c r="Q250" t="s">
        <v>31</v>
      </c>
    </row>
    <row r="251" spans="1:17" x14ac:dyDescent="0.3">
      <c r="A251" t="s">
        <v>513</v>
      </c>
      <c r="B251" s="2">
        <v>46263</v>
      </c>
      <c r="C251" t="s">
        <v>26</v>
      </c>
      <c r="D251" t="s">
        <v>232</v>
      </c>
      <c r="E251" t="s">
        <v>20</v>
      </c>
      <c r="F251" t="s">
        <v>514</v>
      </c>
      <c r="G251" t="s">
        <v>22</v>
      </c>
      <c r="J251">
        <v>0</v>
      </c>
      <c r="K251">
        <v>0</v>
      </c>
      <c r="L251">
        <v>0</v>
      </c>
      <c r="M251">
        <v>1</v>
      </c>
      <c r="N251">
        <v>7.2</v>
      </c>
      <c r="O251">
        <v>6.3</v>
      </c>
      <c r="P251">
        <v>3.4</v>
      </c>
      <c r="Q251" t="s">
        <v>39</v>
      </c>
    </row>
    <row r="252" spans="1:17" x14ac:dyDescent="0.3">
      <c r="A252" t="s">
        <v>515</v>
      </c>
      <c r="B252" s="2">
        <v>45910</v>
      </c>
      <c r="C252" t="s">
        <v>18</v>
      </c>
      <c r="D252" t="s">
        <v>95</v>
      </c>
      <c r="E252" t="s">
        <v>20</v>
      </c>
      <c r="F252" t="s">
        <v>77</v>
      </c>
      <c r="G252" t="s">
        <v>44</v>
      </c>
      <c r="H252" t="s">
        <v>78</v>
      </c>
      <c r="I252" t="s">
        <v>24</v>
      </c>
      <c r="J252">
        <v>1</v>
      </c>
      <c r="K252">
        <v>21100</v>
      </c>
      <c r="L252">
        <v>21100</v>
      </c>
      <c r="N252">
        <v>15.4</v>
      </c>
      <c r="Q252" t="s">
        <v>24</v>
      </c>
    </row>
    <row r="253" spans="1:17" x14ac:dyDescent="0.3">
      <c r="A253" t="s">
        <v>516</v>
      </c>
      <c r="B253" s="2">
        <v>45957</v>
      </c>
      <c r="C253" t="s">
        <v>18</v>
      </c>
      <c r="D253" t="s">
        <v>105</v>
      </c>
      <c r="E253" t="s">
        <v>42</v>
      </c>
      <c r="F253" t="s">
        <v>517</v>
      </c>
      <c r="G253" t="s">
        <v>30</v>
      </c>
      <c r="H253" t="s">
        <v>86</v>
      </c>
      <c r="I253" t="s">
        <v>67</v>
      </c>
      <c r="J253">
        <v>1</v>
      </c>
      <c r="K253">
        <v>84300</v>
      </c>
      <c r="L253">
        <v>0</v>
      </c>
      <c r="N253">
        <v>12.3</v>
      </c>
      <c r="Q253" t="s">
        <v>67</v>
      </c>
    </row>
    <row r="254" spans="1:17" x14ac:dyDescent="0.3">
      <c r="A254" t="s">
        <v>518</v>
      </c>
      <c r="B254" s="2">
        <v>46010</v>
      </c>
      <c r="C254" t="s">
        <v>26</v>
      </c>
      <c r="D254" t="s">
        <v>33</v>
      </c>
      <c r="E254" t="s">
        <v>20</v>
      </c>
      <c r="F254" t="s">
        <v>136</v>
      </c>
      <c r="G254" t="s">
        <v>22</v>
      </c>
      <c r="J254">
        <v>0</v>
      </c>
      <c r="K254">
        <v>0</v>
      </c>
      <c r="L254">
        <v>0</v>
      </c>
      <c r="M254">
        <v>1</v>
      </c>
      <c r="N254">
        <v>11</v>
      </c>
      <c r="O254">
        <v>6.2</v>
      </c>
      <c r="P254">
        <v>3.3</v>
      </c>
      <c r="Q254" t="s">
        <v>225</v>
      </c>
    </row>
    <row r="255" spans="1:17" x14ac:dyDescent="0.3">
      <c r="A255" t="s">
        <v>519</v>
      </c>
      <c r="B255" s="2">
        <v>45922</v>
      </c>
      <c r="C255" t="s">
        <v>18</v>
      </c>
      <c r="D255" t="s">
        <v>47</v>
      </c>
      <c r="E255" t="s">
        <v>48</v>
      </c>
      <c r="F255" t="s">
        <v>520</v>
      </c>
      <c r="G255" t="s">
        <v>44</v>
      </c>
      <c r="H255" t="s">
        <v>86</v>
      </c>
      <c r="I255" t="s">
        <v>24</v>
      </c>
      <c r="J255">
        <v>1</v>
      </c>
      <c r="K255">
        <v>20200</v>
      </c>
      <c r="L255">
        <v>20200</v>
      </c>
      <c r="N255">
        <v>0.5</v>
      </c>
      <c r="Q255" t="s">
        <v>24</v>
      </c>
    </row>
    <row r="256" spans="1:17" x14ac:dyDescent="0.3">
      <c r="A256" t="s">
        <v>521</v>
      </c>
      <c r="B256" s="2">
        <v>46023</v>
      </c>
      <c r="C256" t="s">
        <v>18</v>
      </c>
      <c r="D256" t="s">
        <v>117</v>
      </c>
      <c r="E256" t="s">
        <v>20</v>
      </c>
      <c r="F256" t="s">
        <v>522</v>
      </c>
      <c r="G256" t="s">
        <v>30</v>
      </c>
      <c r="H256" t="s">
        <v>54</v>
      </c>
      <c r="I256" t="s">
        <v>55</v>
      </c>
      <c r="J256">
        <v>1</v>
      </c>
      <c r="K256">
        <v>26600</v>
      </c>
      <c r="L256">
        <v>0</v>
      </c>
      <c r="N256">
        <v>17.600000000000001</v>
      </c>
      <c r="Q256" t="s">
        <v>55</v>
      </c>
    </row>
    <row r="257" spans="1:17" x14ac:dyDescent="0.3">
      <c r="A257" t="s">
        <v>523</v>
      </c>
      <c r="B257" s="2">
        <v>46237</v>
      </c>
      <c r="C257" t="s">
        <v>26</v>
      </c>
      <c r="D257" t="s">
        <v>36</v>
      </c>
      <c r="E257" t="s">
        <v>37</v>
      </c>
      <c r="F257" t="s">
        <v>524</v>
      </c>
      <c r="G257" t="s">
        <v>22</v>
      </c>
      <c r="J257">
        <v>0</v>
      </c>
      <c r="K257">
        <v>0</v>
      </c>
      <c r="L257">
        <v>0</v>
      </c>
      <c r="M257">
        <v>1</v>
      </c>
      <c r="N257">
        <v>1.7</v>
      </c>
      <c r="O257">
        <v>11.2</v>
      </c>
      <c r="P257">
        <v>4.3</v>
      </c>
      <c r="Q257" t="s">
        <v>39</v>
      </c>
    </row>
    <row r="258" spans="1:17" x14ac:dyDescent="0.3">
      <c r="A258" t="s">
        <v>525</v>
      </c>
      <c r="B258" s="2">
        <v>46243</v>
      </c>
      <c r="C258" t="s">
        <v>26</v>
      </c>
      <c r="D258" t="s">
        <v>72</v>
      </c>
      <c r="E258" t="s">
        <v>37</v>
      </c>
      <c r="F258" t="s">
        <v>526</v>
      </c>
      <c r="G258" t="s">
        <v>50</v>
      </c>
      <c r="J258">
        <v>0</v>
      </c>
      <c r="K258">
        <v>0</v>
      </c>
      <c r="L258">
        <v>0</v>
      </c>
      <c r="M258">
        <v>1</v>
      </c>
      <c r="N258">
        <v>0.3</v>
      </c>
      <c r="O258">
        <v>2.1</v>
      </c>
      <c r="P258">
        <v>4.5</v>
      </c>
      <c r="Q258" t="s">
        <v>39</v>
      </c>
    </row>
    <row r="259" spans="1:17" x14ac:dyDescent="0.3">
      <c r="A259" t="s">
        <v>527</v>
      </c>
      <c r="B259" s="2">
        <v>46090</v>
      </c>
      <c r="C259" t="s">
        <v>26</v>
      </c>
      <c r="D259" t="s">
        <v>27</v>
      </c>
      <c r="E259" t="s">
        <v>48</v>
      </c>
      <c r="F259" t="s">
        <v>342</v>
      </c>
      <c r="G259" t="s">
        <v>30</v>
      </c>
      <c r="J259">
        <v>0</v>
      </c>
      <c r="K259">
        <v>0</v>
      </c>
      <c r="L259">
        <v>0</v>
      </c>
      <c r="M259">
        <v>1</v>
      </c>
      <c r="N259">
        <v>6.2</v>
      </c>
      <c r="O259">
        <v>4.3</v>
      </c>
      <c r="P259">
        <v>4.2</v>
      </c>
      <c r="Q259" t="s">
        <v>39</v>
      </c>
    </row>
    <row r="260" spans="1:17" x14ac:dyDescent="0.3">
      <c r="A260" t="s">
        <v>528</v>
      </c>
      <c r="B260" s="2">
        <v>46225</v>
      </c>
      <c r="C260" t="s">
        <v>26</v>
      </c>
      <c r="D260" t="s">
        <v>33</v>
      </c>
      <c r="E260" t="s">
        <v>20</v>
      </c>
      <c r="F260" t="s">
        <v>529</v>
      </c>
      <c r="G260" t="s">
        <v>22</v>
      </c>
      <c r="J260">
        <v>0</v>
      </c>
      <c r="K260">
        <v>0</v>
      </c>
      <c r="L260">
        <v>0</v>
      </c>
      <c r="M260">
        <v>1</v>
      </c>
      <c r="N260">
        <v>3.8</v>
      </c>
      <c r="O260">
        <v>8.8000000000000007</v>
      </c>
      <c r="P260">
        <v>4.0999999999999996</v>
      </c>
      <c r="Q260" t="s">
        <v>62</v>
      </c>
    </row>
    <row r="261" spans="1:17" x14ac:dyDescent="0.3">
      <c r="A261" t="s">
        <v>530</v>
      </c>
      <c r="B261" s="2">
        <v>46118</v>
      </c>
      <c r="C261" t="s">
        <v>18</v>
      </c>
      <c r="D261" t="s">
        <v>19</v>
      </c>
      <c r="E261" t="s">
        <v>20</v>
      </c>
      <c r="F261" t="s">
        <v>531</v>
      </c>
      <c r="G261" t="s">
        <v>22</v>
      </c>
      <c r="H261" t="s">
        <v>78</v>
      </c>
      <c r="I261" t="s">
        <v>45</v>
      </c>
      <c r="J261">
        <v>1</v>
      </c>
      <c r="K261">
        <v>20100</v>
      </c>
      <c r="L261">
        <v>0</v>
      </c>
      <c r="N261">
        <v>20.7</v>
      </c>
      <c r="Q261" t="s">
        <v>45</v>
      </c>
    </row>
    <row r="262" spans="1:17" x14ac:dyDescent="0.3">
      <c r="A262" t="s">
        <v>532</v>
      </c>
      <c r="B262" s="2">
        <v>45908</v>
      </c>
      <c r="C262" t="s">
        <v>26</v>
      </c>
      <c r="D262" t="s">
        <v>69</v>
      </c>
      <c r="E262" t="s">
        <v>20</v>
      </c>
      <c r="F262" t="s">
        <v>108</v>
      </c>
      <c r="G262" t="s">
        <v>44</v>
      </c>
      <c r="J262">
        <v>0</v>
      </c>
      <c r="K262">
        <v>0</v>
      </c>
      <c r="L262">
        <v>0</v>
      </c>
      <c r="M262">
        <v>1</v>
      </c>
      <c r="N262">
        <v>8</v>
      </c>
      <c r="O262">
        <v>8.4</v>
      </c>
      <c r="P262">
        <v>2.6</v>
      </c>
      <c r="Q262" t="s">
        <v>39</v>
      </c>
    </row>
    <row r="263" spans="1:17" x14ac:dyDescent="0.3">
      <c r="A263" t="s">
        <v>533</v>
      </c>
      <c r="B263" s="2">
        <v>46067</v>
      </c>
      <c r="C263" t="s">
        <v>26</v>
      </c>
      <c r="D263" t="s">
        <v>69</v>
      </c>
      <c r="E263" t="s">
        <v>28</v>
      </c>
      <c r="F263" t="s">
        <v>534</v>
      </c>
      <c r="G263" t="s">
        <v>30</v>
      </c>
      <c r="J263">
        <v>0</v>
      </c>
      <c r="K263">
        <v>0</v>
      </c>
      <c r="L263">
        <v>0</v>
      </c>
      <c r="M263">
        <v>1</v>
      </c>
      <c r="N263">
        <v>2.2999999999999998</v>
      </c>
      <c r="O263">
        <v>28.7</v>
      </c>
      <c r="P263">
        <v>3.4</v>
      </c>
      <c r="Q263" t="s">
        <v>31</v>
      </c>
    </row>
    <row r="264" spans="1:17" x14ac:dyDescent="0.3">
      <c r="A264" t="s">
        <v>535</v>
      </c>
      <c r="B264" s="2">
        <v>46111</v>
      </c>
      <c r="C264" t="s">
        <v>18</v>
      </c>
      <c r="D264" t="s">
        <v>52</v>
      </c>
      <c r="E264" t="s">
        <v>20</v>
      </c>
      <c r="F264" t="s">
        <v>536</v>
      </c>
      <c r="G264" t="s">
        <v>22</v>
      </c>
      <c r="H264" t="s">
        <v>78</v>
      </c>
      <c r="I264" t="s">
        <v>89</v>
      </c>
      <c r="J264">
        <v>1</v>
      </c>
      <c r="K264">
        <v>10300</v>
      </c>
      <c r="L264">
        <v>0</v>
      </c>
      <c r="N264">
        <v>7</v>
      </c>
      <c r="Q264" t="s">
        <v>89</v>
      </c>
    </row>
    <row r="265" spans="1:17" x14ac:dyDescent="0.3">
      <c r="A265" t="s">
        <v>537</v>
      </c>
      <c r="B265" s="2">
        <v>46037</v>
      </c>
      <c r="C265" t="s">
        <v>18</v>
      </c>
      <c r="D265" t="s">
        <v>47</v>
      </c>
      <c r="E265" t="s">
        <v>20</v>
      </c>
      <c r="F265" t="s">
        <v>538</v>
      </c>
      <c r="G265" t="s">
        <v>30</v>
      </c>
      <c r="H265" t="s">
        <v>23</v>
      </c>
      <c r="I265" t="s">
        <v>67</v>
      </c>
      <c r="J265">
        <v>1</v>
      </c>
      <c r="K265">
        <v>36100</v>
      </c>
      <c r="L265">
        <v>0</v>
      </c>
      <c r="N265">
        <v>19.8</v>
      </c>
      <c r="Q265" t="s">
        <v>67</v>
      </c>
    </row>
    <row r="266" spans="1:17" x14ac:dyDescent="0.3">
      <c r="A266" t="s">
        <v>539</v>
      </c>
      <c r="B266" s="2">
        <v>46194</v>
      </c>
      <c r="C266" t="s">
        <v>26</v>
      </c>
      <c r="D266" t="s">
        <v>33</v>
      </c>
      <c r="E266" t="s">
        <v>48</v>
      </c>
      <c r="F266" t="s">
        <v>540</v>
      </c>
      <c r="G266" t="s">
        <v>30</v>
      </c>
      <c r="J266">
        <v>0</v>
      </c>
      <c r="K266">
        <v>0</v>
      </c>
      <c r="L266">
        <v>0</v>
      </c>
      <c r="M266">
        <v>1</v>
      </c>
      <c r="N266">
        <v>7.2</v>
      </c>
      <c r="O266">
        <v>3.9</v>
      </c>
      <c r="P266">
        <v>3.1</v>
      </c>
      <c r="Q266" t="s">
        <v>31</v>
      </c>
    </row>
    <row r="267" spans="1:17" x14ac:dyDescent="0.3">
      <c r="A267" t="s">
        <v>541</v>
      </c>
      <c r="B267" s="2">
        <v>46228</v>
      </c>
      <c r="C267" t="s">
        <v>26</v>
      </c>
      <c r="D267" t="s">
        <v>72</v>
      </c>
      <c r="E267" t="s">
        <v>48</v>
      </c>
      <c r="F267" t="s">
        <v>542</v>
      </c>
      <c r="G267" t="s">
        <v>30</v>
      </c>
      <c r="J267">
        <v>0</v>
      </c>
      <c r="K267">
        <v>0</v>
      </c>
      <c r="L267">
        <v>0</v>
      </c>
      <c r="M267">
        <v>1</v>
      </c>
      <c r="N267">
        <v>5.6</v>
      </c>
      <c r="O267">
        <v>10.9</v>
      </c>
      <c r="P267">
        <v>4.4000000000000004</v>
      </c>
      <c r="Q267" t="s">
        <v>62</v>
      </c>
    </row>
    <row r="268" spans="1:17" x14ac:dyDescent="0.3">
      <c r="A268" t="s">
        <v>543</v>
      </c>
      <c r="B268" s="2">
        <v>45951</v>
      </c>
      <c r="C268" t="s">
        <v>26</v>
      </c>
      <c r="D268" t="s">
        <v>36</v>
      </c>
      <c r="E268" t="s">
        <v>42</v>
      </c>
      <c r="F268" t="s">
        <v>544</v>
      </c>
      <c r="G268" t="s">
        <v>22</v>
      </c>
      <c r="J268">
        <v>0</v>
      </c>
      <c r="K268">
        <v>0</v>
      </c>
      <c r="L268">
        <v>0</v>
      </c>
      <c r="M268">
        <v>1</v>
      </c>
      <c r="N268">
        <v>0.8</v>
      </c>
      <c r="O268">
        <v>12.2</v>
      </c>
      <c r="P268">
        <v>3.4</v>
      </c>
      <c r="Q268" t="s">
        <v>39</v>
      </c>
    </row>
    <row r="269" spans="1:17" x14ac:dyDescent="0.3">
      <c r="A269" t="s">
        <v>545</v>
      </c>
      <c r="B269" s="2">
        <v>46018</v>
      </c>
      <c r="C269" t="s">
        <v>26</v>
      </c>
      <c r="D269" t="s">
        <v>114</v>
      </c>
      <c r="E269" t="s">
        <v>48</v>
      </c>
      <c r="F269" t="s">
        <v>546</v>
      </c>
      <c r="G269" t="s">
        <v>44</v>
      </c>
      <c r="J269">
        <v>0</v>
      </c>
      <c r="K269">
        <v>0</v>
      </c>
      <c r="L269">
        <v>0</v>
      </c>
      <c r="M269">
        <v>1</v>
      </c>
      <c r="N269">
        <v>3.8</v>
      </c>
      <c r="O269">
        <v>12.6</v>
      </c>
      <c r="P269">
        <v>4.9000000000000004</v>
      </c>
      <c r="Q269" t="s">
        <v>31</v>
      </c>
    </row>
    <row r="270" spans="1:17" x14ac:dyDescent="0.3">
      <c r="A270" t="s">
        <v>547</v>
      </c>
      <c r="B270" s="2">
        <v>45928</v>
      </c>
      <c r="C270" t="s">
        <v>18</v>
      </c>
      <c r="D270" t="s">
        <v>52</v>
      </c>
      <c r="E270" t="s">
        <v>48</v>
      </c>
      <c r="F270" t="s">
        <v>276</v>
      </c>
      <c r="G270" t="s">
        <v>30</v>
      </c>
      <c r="H270" t="s">
        <v>86</v>
      </c>
      <c r="I270" t="s">
        <v>55</v>
      </c>
      <c r="J270">
        <v>1</v>
      </c>
      <c r="K270">
        <v>5000</v>
      </c>
      <c r="L270">
        <v>0</v>
      </c>
      <c r="N270">
        <v>4.4000000000000004</v>
      </c>
      <c r="Q270" t="s">
        <v>55</v>
      </c>
    </row>
    <row r="271" spans="1:17" x14ac:dyDescent="0.3">
      <c r="A271" t="s">
        <v>548</v>
      </c>
      <c r="B271" s="2">
        <v>45935</v>
      </c>
      <c r="C271" t="s">
        <v>18</v>
      </c>
      <c r="D271" t="s">
        <v>64</v>
      </c>
      <c r="E271" t="s">
        <v>37</v>
      </c>
      <c r="F271" t="s">
        <v>549</v>
      </c>
      <c r="G271" t="s">
        <v>30</v>
      </c>
      <c r="H271" t="s">
        <v>78</v>
      </c>
      <c r="I271" t="s">
        <v>45</v>
      </c>
      <c r="J271">
        <v>1</v>
      </c>
      <c r="K271">
        <v>5700</v>
      </c>
      <c r="L271">
        <v>0</v>
      </c>
      <c r="N271">
        <v>16</v>
      </c>
      <c r="Q271" t="s">
        <v>45</v>
      </c>
    </row>
    <row r="272" spans="1:17" x14ac:dyDescent="0.3">
      <c r="A272" t="s">
        <v>550</v>
      </c>
      <c r="B272" s="2">
        <v>45964</v>
      </c>
      <c r="C272" t="s">
        <v>26</v>
      </c>
      <c r="D272" t="s">
        <v>126</v>
      </c>
      <c r="E272" t="s">
        <v>20</v>
      </c>
      <c r="F272" t="s">
        <v>551</v>
      </c>
      <c r="G272" t="s">
        <v>30</v>
      </c>
      <c r="J272">
        <v>0</v>
      </c>
      <c r="K272">
        <v>0</v>
      </c>
      <c r="L272">
        <v>0</v>
      </c>
      <c r="M272">
        <v>1</v>
      </c>
      <c r="N272">
        <v>5</v>
      </c>
      <c r="O272">
        <v>4.8</v>
      </c>
      <c r="P272">
        <v>3.1</v>
      </c>
      <c r="Q272" t="s">
        <v>39</v>
      </c>
    </row>
    <row r="273" spans="1:17" x14ac:dyDescent="0.3">
      <c r="A273" t="s">
        <v>552</v>
      </c>
      <c r="B273" s="2">
        <v>46230</v>
      </c>
      <c r="C273" t="s">
        <v>26</v>
      </c>
      <c r="D273" t="s">
        <v>33</v>
      </c>
      <c r="E273" t="s">
        <v>20</v>
      </c>
      <c r="F273" t="s">
        <v>59</v>
      </c>
      <c r="G273" t="s">
        <v>30</v>
      </c>
      <c r="J273">
        <v>0</v>
      </c>
      <c r="K273">
        <v>0</v>
      </c>
      <c r="L273">
        <v>0</v>
      </c>
      <c r="M273">
        <v>1</v>
      </c>
      <c r="N273">
        <v>4.9000000000000004</v>
      </c>
      <c r="O273">
        <v>4.3</v>
      </c>
      <c r="P273">
        <v>4.4000000000000004</v>
      </c>
      <c r="Q273" t="s">
        <v>39</v>
      </c>
    </row>
    <row r="274" spans="1:17" x14ac:dyDescent="0.3">
      <c r="A274" t="s">
        <v>553</v>
      </c>
      <c r="B274" s="2">
        <v>45904</v>
      </c>
      <c r="C274" t="s">
        <v>26</v>
      </c>
      <c r="D274" t="s">
        <v>126</v>
      </c>
      <c r="E274" t="s">
        <v>37</v>
      </c>
      <c r="F274" t="s">
        <v>554</v>
      </c>
      <c r="G274" t="s">
        <v>22</v>
      </c>
      <c r="J274">
        <v>0</v>
      </c>
      <c r="K274">
        <v>0</v>
      </c>
      <c r="L274">
        <v>0</v>
      </c>
      <c r="M274">
        <v>1</v>
      </c>
      <c r="N274">
        <v>6.7</v>
      </c>
      <c r="O274">
        <v>14.1</v>
      </c>
      <c r="P274">
        <v>3.8</v>
      </c>
      <c r="Q274" t="s">
        <v>62</v>
      </c>
    </row>
    <row r="275" spans="1:17" x14ac:dyDescent="0.3">
      <c r="A275" t="s">
        <v>555</v>
      </c>
      <c r="B275" s="2">
        <v>46153</v>
      </c>
      <c r="C275" t="s">
        <v>26</v>
      </c>
      <c r="D275" t="s">
        <v>232</v>
      </c>
      <c r="E275" t="s">
        <v>20</v>
      </c>
      <c r="F275" t="s">
        <v>184</v>
      </c>
      <c r="G275" t="s">
        <v>30</v>
      </c>
      <c r="J275">
        <v>0</v>
      </c>
      <c r="K275">
        <v>0</v>
      </c>
      <c r="L275">
        <v>0</v>
      </c>
      <c r="M275">
        <v>1</v>
      </c>
      <c r="N275">
        <v>8.1999999999999993</v>
      </c>
      <c r="O275">
        <v>3.6</v>
      </c>
      <c r="P275">
        <v>4.3</v>
      </c>
      <c r="Q275" t="s">
        <v>39</v>
      </c>
    </row>
    <row r="276" spans="1:17" x14ac:dyDescent="0.3">
      <c r="A276" t="s">
        <v>556</v>
      </c>
      <c r="B276" s="2">
        <v>45916</v>
      </c>
      <c r="C276" t="s">
        <v>18</v>
      </c>
      <c r="D276" t="s">
        <v>105</v>
      </c>
      <c r="E276" t="s">
        <v>48</v>
      </c>
      <c r="F276" t="s">
        <v>471</v>
      </c>
      <c r="G276" t="s">
        <v>22</v>
      </c>
      <c r="H276" t="s">
        <v>54</v>
      </c>
      <c r="I276" t="s">
        <v>79</v>
      </c>
      <c r="J276">
        <v>1</v>
      </c>
      <c r="K276">
        <v>27300</v>
      </c>
      <c r="L276">
        <v>0</v>
      </c>
      <c r="N276">
        <v>18.2</v>
      </c>
      <c r="Q276" t="s">
        <v>79</v>
      </c>
    </row>
    <row r="277" spans="1:17" x14ac:dyDescent="0.3">
      <c r="A277" t="s">
        <v>557</v>
      </c>
      <c r="B277" s="2">
        <v>45939</v>
      </c>
      <c r="C277" t="s">
        <v>18</v>
      </c>
      <c r="D277" t="s">
        <v>19</v>
      </c>
      <c r="E277" t="s">
        <v>48</v>
      </c>
      <c r="F277" t="s">
        <v>558</v>
      </c>
      <c r="G277" t="s">
        <v>44</v>
      </c>
      <c r="H277" t="s">
        <v>78</v>
      </c>
      <c r="I277" t="s">
        <v>79</v>
      </c>
      <c r="J277">
        <v>1</v>
      </c>
      <c r="K277">
        <v>7800</v>
      </c>
      <c r="L277">
        <v>0</v>
      </c>
      <c r="N277">
        <v>5.0999999999999996</v>
      </c>
      <c r="Q277" t="s">
        <v>79</v>
      </c>
    </row>
    <row r="278" spans="1:17" x14ac:dyDescent="0.3">
      <c r="A278" t="s">
        <v>559</v>
      </c>
      <c r="B278" s="2">
        <v>46153</v>
      </c>
      <c r="C278" t="s">
        <v>26</v>
      </c>
      <c r="D278" t="s">
        <v>232</v>
      </c>
      <c r="E278" t="s">
        <v>20</v>
      </c>
      <c r="F278" t="s">
        <v>560</v>
      </c>
      <c r="G278" t="s">
        <v>50</v>
      </c>
      <c r="J278">
        <v>0</v>
      </c>
      <c r="K278">
        <v>0</v>
      </c>
      <c r="L278">
        <v>0</v>
      </c>
      <c r="M278">
        <v>1</v>
      </c>
      <c r="N278">
        <v>2.2000000000000002</v>
      </c>
      <c r="O278">
        <v>9.8000000000000007</v>
      </c>
      <c r="P278">
        <v>3.3</v>
      </c>
      <c r="Q278" t="s">
        <v>62</v>
      </c>
    </row>
    <row r="279" spans="1:17" x14ac:dyDescent="0.3">
      <c r="A279" t="s">
        <v>561</v>
      </c>
      <c r="B279" s="2">
        <v>46257</v>
      </c>
      <c r="C279" t="s">
        <v>26</v>
      </c>
      <c r="D279" t="s">
        <v>232</v>
      </c>
      <c r="E279" t="s">
        <v>20</v>
      </c>
      <c r="F279" t="s">
        <v>220</v>
      </c>
      <c r="G279" t="s">
        <v>44</v>
      </c>
      <c r="J279">
        <v>0</v>
      </c>
      <c r="K279">
        <v>0</v>
      </c>
      <c r="L279">
        <v>0</v>
      </c>
      <c r="M279">
        <v>1</v>
      </c>
      <c r="N279">
        <v>11.4</v>
      </c>
      <c r="O279">
        <v>4.8</v>
      </c>
      <c r="P279">
        <v>2.2000000000000002</v>
      </c>
      <c r="Q279" t="s">
        <v>39</v>
      </c>
    </row>
    <row r="280" spans="1:17" x14ac:dyDescent="0.3">
      <c r="A280" t="s">
        <v>562</v>
      </c>
      <c r="B280" s="2">
        <v>46080</v>
      </c>
      <c r="C280" t="s">
        <v>26</v>
      </c>
      <c r="D280" t="s">
        <v>126</v>
      </c>
      <c r="E280" t="s">
        <v>20</v>
      </c>
      <c r="F280" t="s">
        <v>563</v>
      </c>
      <c r="G280" t="s">
        <v>22</v>
      </c>
      <c r="J280">
        <v>0</v>
      </c>
      <c r="K280">
        <v>0</v>
      </c>
      <c r="L280">
        <v>0</v>
      </c>
      <c r="M280">
        <v>1</v>
      </c>
      <c r="N280">
        <v>2.4</v>
      </c>
      <c r="O280">
        <v>21.2</v>
      </c>
      <c r="P280">
        <v>3.8</v>
      </c>
      <c r="Q280" t="s">
        <v>31</v>
      </c>
    </row>
    <row r="281" spans="1:17" x14ac:dyDescent="0.3">
      <c r="A281" t="s">
        <v>564</v>
      </c>
      <c r="B281" s="2">
        <v>46264</v>
      </c>
      <c r="C281" t="s">
        <v>26</v>
      </c>
      <c r="D281" t="s">
        <v>69</v>
      </c>
      <c r="E281" t="s">
        <v>20</v>
      </c>
      <c r="F281" t="s">
        <v>138</v>
      </c>
      <c r="G281" t="s">
        <v>44</v>
      </c>
      <c r="J281">
        <v>0</v>
      </c>
      <c r="K281">
        <v>0</v>
      </c>
      <c r="L281">
        <v>0</v>
      </c>
      <c r="M281">
        <v>1</v>
      </c>
      <c r="N281">
        <v>7.1</v>
      </c>
      <c r="O281">
        <v>15.5</v>
      </c>
      <c r="P281">
        <v>3.9</v>
      </c>
      <c r="Q281" t="s">
        <v>62</v>
      </c>
    </row>
    <row r="282" spans="1:17" x14ac:dyDescent="0.3">
      <c r="A282" t="s">
        <v>565</v>
      </c>
      <c r="B282" s="2">
        <v>46072</v>
      </c>
      <c r="C282" t="s">
        <v>26</v>
      </c>
      <c r="D282" t="s">
        <v>114</v>
      </c>
      <c r="E282" t="s">
        <v>42</v>
      </c>
      <c r="F282" t="s">
        <v>566</v>
      </c>
      <c r="G282" t="s">
        <v>30</v>
      </c>
      <c r="J282">
        <v>0</v>
      </c>
      <c r="K282">
        <v>0</v>
      </c>
      <c r="L282">
        <v>0</v>
      </c>
      <c r="M282">
        <v>1</v>
      </c>
      <c r="N282">
        <v>0.3</v>
      </c>
      <c r="O282">
        <v>10.6</v>
      </c>
      <c r="P282">
        <v>3.7</v>
      </c>
      <c r="Q282" t="s">
        <v>39</v>
      </c>
    </row>
    <row r="283" spans="1:17" x14ac:dyDescent="0.3">
      <c r="A283" t="s">
        <v>567</v>
      </c>
      <c r="B283" s="2">
        <v>46124</v>
      </c>
      <c r="C283" t="s">
        <v>18</v>
      </c>
      <c r="D283" t="s">
        <v>41</v>
      </c>
      <c r="E283" t="s">
        <v>20</v>
      </c>
      <c r="F283" t="s">
        <v>568</v>
      </c>
      <c r="G283" t="s">
        <v>22</v>
      </c>
      <c r="H283" t="s">
        <v>54</v>
      </c>
      <c r="I283" t="s">
        <v>55</v>
      </c>
      <c r="J283">
        <v>1</v>
      </c>
      <c r="K283">
        <v>16500</v>
      </c>
      <c r="L283">
        <v>0</v>
      </c>
      <c r="N283">
        <v>14.7</v>
      </c>
      <c r="Q283" t="s">
        <v>55</v>
      </c>
    </row>
    <row r="284" spans="1:17" x14ac:dyDescent="0.3">
      <c r="A284" t="s">
        <v>569</v>
      </c>
      <c r="B284" s="2">
        <v>45942</v>
      </c>
      <c r="C284" t="s">
        <v>18</v>
      </c>
      <c r="D284" t="s">
        <v>52</v>
      </c>
      <c r="E284" t="s">
        <v>20</v>
      </c>
      <c r="F284" t="s">
        <v>570</v>
      </c>
      <c r="G284" t="s">
        <v>30</v>
      </c>
      <c r="H284" t="s">
        <v>78</v>
      </c>
      <c r="I284" t="s">
        <v>24</v>
      </c>
      <c r="J284">
        <v>1</v>
      </c>
      <c r="K284">
        <v>11600</v>
      </c>
      <c r="L284">
        <v>11600</v>
      </c>
      <c r="N284">
        <v>14.6</v>
      </c>
      <c r="Q284" t="s">
        <v>24</v>
      </c>
    </row>
    <row r="285" spans="1:17" x14ac:dyDescent="0.3">
      <c r="A285" t="s">
        <v>571</v>
      </c>
      <c r="B285" s="2">
        <v>46011</v>
      </c>
      <c r="C285" t="s">
        <v>18</v>
      </c>
      <c r="D285" t="s">
        <v>64</v>
      </c>
      <c r="E285" t="s">
        <v>28</v>
      </c>
      <c r="F285" t="s">
        <v>572</v>
      </c>
      <c r="G285" t="s">
        <v>22</v>
      </c>
      <c r="H285" t="s">
        <v>86</v>
      </c>
      <c r="I285" t="s">
        <v>89</v>
      </c>
      <c r="J285">
        <v>1</v>
      </c>
      <c r="K285">
        <v>40500</v>
      </c>
      <c r="L285">
        <v>0</v>
      </c>
      <c r="N285">
        <v>11.6</v>
      </c>
      <c r="Q285" t="s">
        <v>89</v>
      </c>
    </row>
    <row r="286" spans="1:17" x14ac:dyDescent="0.3">
      <c r="A286" t="s">
        <v>573</v>
      </c>
      <c r="B286" s="2">
        <v>46079</v>
      </c>
      <c r="C286" t="s">
        <v>26</v>
      </c>
      <c r="D286" t="s">
        <v>33</v>
      </c>
      <c r="E286" t="s">
        <v>20</v>
      </c>
      <c r="F286" t="s">
        <v>574</v>
      </c>
      <c r="G286" t="s">
        <v>30</v>
      </c>
      <c r="J286">
        <v>0</v>
      </c>
      <c r="K286">
        <v>0</v>
      </c>
      <c r="L286">
        <v>0</v>
      </c>
      <c r="M286">
        <v>1</v>
      </c>
      <c r="N286">
        <v>6.8</v>
      </c>
      <c r="O286">
        <v>14.4</v>
      </c>
      <c r="P286">
        <v>4.2</v>
      </c>
      <c r="Q286" t="s">
        <v>31</v>
      </c>
    </row>
    <row r="287" spans="1:17" x14ac:dyDescent="0.3">
      <c r="A287" t="s">
        <v>575</v>
      </c>
      <c r="B287" s="2">
        <v>46227</v>
      </c>
      <c r="C287" t="s">
        <v>18</v>
      </c>
      <c r="D287" t="s">
        <v>52</v>
      </c>
      <c r="E287" t="s">
        <v>20</v>
      </c>
      <c r="F287" t="s">
        <v>103</v>
      </c>
      <c r="G287" t="s">
        <v>30</v>
      </c>
      <c r="H287" t="s">
        <v>23</v>
      </c>
      <c r="I287" t="s">
        <v>24</v>
      </c>
      <c r="J287">
        <v>1</v>
      </c>
      <c r="K287">
        <v>15300</v>
      </c>
      <c r="L287">
        <v>15300</v>
      </c>
      <c r="N287">
        <v>2.2999999999999998</v>
      </c>
      <c r="Q287" t="s">
        <v>24</v>
      </c>
    </row>
    <row r="288" spans="1:17" x14ac:dyDescent="0.3">
      <c r="A288" t="s">
        <v>576</v>
      </c>
      <c r="B288" s="2">
        <v>45912</v>
      </c>
      <c r="C288" t="s">
        <v>18</v>
      </c>
      <c r="D288" t="s">
        <v>52</v>
      </c>
      <c r="E288" t="s">
        <v>42</v>
      </c>
      <c r="F288" t="s">
        <v>230</v>
      </c>
      <c r="G288" t="s">
        <v>44</v>
      </c>
      <c r="H288" t="s">
        <v>86</v>
      </c>
      <c r="I288" t="s">
        <v>89</v>
      </c>
      <c r="J288">
        <v>1</v>
      </c>
      <c r="K288">
        <v>40800</v>
      </c>
      <c r="L288">
        <v>0</v>
      </c>
      <c r="N288">
        <v>1.9</v>
      </c>
      <c r="Q288" t="s">
        <v>89</v>
      </c>
    </row>
    <row r="289" spans="1:17" x14ac:dyDescent="0.3">
      <c r="A289" t="s">
        <v>577</v>
      </c>
      <c r="B289" s="2">
        <v>46034</v>
      </c>
      <c r="C289" t="s">
        <v>18</v>
      </c>
      <c r="D289" t="s">
        <v>41</v>
      </c>
      <c r="E289" t="s">
        <v>37</v>
      </c>
      <c r="F289" t="s">
        <v>554</v>
      </c>
      <c r="G289" t="s">
        <v>30</v>
      </c>
      <c r="H289" t="s">
        <v>23</v>
      </c>
      <c r="I289" t="s">
        <v>67</v>
      </c>
      <c r="J289">
        <v>1</v>
      </c>
      <c r="K289">
        <v>52300</v>
      </c>
      <c r="L289">
        <v>0</v>
      </c>
      <c r="N289">
        <v>10.199999999999999</v>
      </c>
      <c r="Q289" t="s">
        <v>67</v>
      </c>
    </row>
    <row r="290" spans="1:17" x14ac:dyDescent="0.3">
      <c r="A290" t="s">
        <v>578</v>
      </c>
      <c r="B290" s="2">
        <v>46011</v>
      </c>
      <c r="C290" t="s">
        <v>18</v>
      </c>
      <c r="D290" t="s">
        <v>95</v>
      </c>
      <c r="E290" t="s">
        <v>20</v>
      </c>
      <c r="F290" t="s">
        <v>579</v>
      </c>
      <c r="G290" t="s">
        <v>22</v>
      </c>
      <c r="H290" t="s">
        <v>78</v>
      </c>
      <c r="I290" t="s">
        <v>55</v>
      </c>
      <c r="J290">
        <v>1</v>
      </c>
      <c r="K290">
        <v>62300</v>
      </c>
      <c r="L290">
        <v>0</v>
      </c>
      <c r="N290">
        <v>23</v>
      </c>
      <c r="Q290" t="s">
        <v>55</v>
      </c>
    </row>
    <row r="291" spans="1:17" x14ac:dyDescent="0.3">
      <c r="A291" t="s">
        <v>580</v>
      </c>
      <c r="B291" s="2">
        <v>45906</v>
      </c>
      <c r="C291" t="s">
        <v>26</v>
      </c>
      <c r="D291" t="s">
        <v>72</v>
      </c>
      <c r="E291" t="s">
        <v>37</v>
      </c>
      <c r="F291" t="s">
        <v>581</v>
      </c>
      <c r="G291" t="s">
        <v>30</v>
      </c>
      <c r="J291">
        <v>0</v>
      </c>
      <c r="K291">
        <v>0</v>
      </c>
      <c r="L291">
        <v>0</v>
      </c>
      <c r="M291">
        <v>1</v>
      </c>
      <c r="N291">
        <v>2.9</v>
      </c>
      <c r="O291">
        <v>14.5</v>
      </c>
      <c r="P291">
        <v>4.5999999999999996</v>
      </c>
      <c r="Q291" t="s">
        <v>62</v>
      </c>
    </row>
    <row r="292" spans="1:17" x14ac:dyDescent="0.3">
      <c r="A292" t="s">
        <v>582</v>
      </c>
      <c r="B292" s="2">
        <v>46075</v>
      </c>
      <c r="C292" t="s">
        <v>18</v>
      </c>
      <c r="D292" t="s">
        <v>117</v>
      </c>
      <c r="E292" t="s">
        <v>42</v>
      </c>
      <c r="F292" t="s">
        <v>485</v>
      </c>
      <c r="G292" t="s">
        <v>22</v>
      </c>
      <c r="H292" t="s">
        <v>23</v>
      </c>
      <c r="I292" t="s">
        <v>24</v>
      </c>
      <c r="J292">
        <v>1</v>
      </c>
      <c r="K292">
        <v>22800</v>
      </c>
      <c r="L292">
        <v>22800</v>
      </c>
      <c r="N292">
        <v>5.8</v>
      </c>
      <c r="Q292" t="s">
        <v>24</v>
      </c>
    </row>
    <row r="293" spans="1:17" x14ac:dyDescent="0.3">
      <c r="A293" t="s">
        <v>583</v>
      </c>
      <c r="B293" s="2">
        <v>46133</v>
      </c>
      <c r="C293" t="s">
        <v>18</v>
      </c>
      <c r="D293" t="s">
        <v>47</v>
      </c>
      <c r="E293" t="s">
        <v>37</v>
      </c>
      <c r="F293" t="s">
        <v>451</v>
      </c>
      <c r="G293" t="s">
        <v>22</v>
      </c>
      <c r="H293" t="s">
        <v>86</v>
      </c>
      <c r="I293" t="s">
        <v>24</v>
      </c>
      <c r="J293">
        <v>1</v>
      </c>
      <c r="K293">
        <v>22900</v>
      </c>
      <c r="L293">
        <v>22900</v>
      </c>
      <c r="N293">
        <v>10.4</v>
      </c>
      <c r="Q293" t="s">
        <v>24</v>
      </c>
    </row>
    <row r="294" spans="1:17" x14ac:dyDescent="0.3">
      <c r="A294" t="s">
        <v>584</v>
      </c>
      <c r="B294" s="2">
        <v>46087</v>
      </c>
      <c r="C294" t="s">
        <v>26</v>
      </c>
      <c r="D294" t="s">
        <v>69</v>
      </c>
      <c r="E294" t="s">
        <v>20</v>
      </c>
      <c r="F294" t="s">
        <v>336</v>
      </c>
      <c r="G294" t="s">
        <v>22</v>
      </c>
      <c r="J294">
        <v>0</v>
      </c>
      <c r="K294">
        <v>0</v>
      </c>
      <c r="L294">
        <v>0</v>
      </c>
      <c r="M294">
        <v>1</v>
      </c>
      <c r="N294">
        <v>2.2999999999999998</v>
      </c>
      <c r="O294">
        <v>28.5</v>
      </c>
      <c r="P294">
        <v>3.7</v>
      </c>
      <c r="Q294" t="s">
        <v>225</v>
      </c>
    </row>
    <row r="295" spans="1:17" x14ac:dyDescent="0.3">
      <c r="A295" t="s">
        <v>585</v>
      </c>
      <c r="B295" s="2">
        <v>46026</v>
      </c>
      <c r="C295" t="s">
        <v>18</v>
      </c>
      <c r="D295" t="s">
        <v>19</v>
      </c>
      <c r="E295" t="s">
        <v>48</v>
      </c>
      <c r="F295" t="s">
        <v>412</v>
      </c>
      <c r="G295" t="s">
        <v>44</v>
      </c>
      <c r="H295" t="s">
        <v>23</v>
      </c>
      <c r="I295" t="s">
        <v>45</v>
      </c>
      <c r="J295">
        <v>1</v>
      </c>
      <c r="K295">
        <v>14200</v>
      </c>
      <c r="L295">
        <v>0</v>
      </c>
      <c r="N295">
        <v>16.2</v>
      </c>
      <c r="Q295" t="s">
        <v>45</v>
      </c>
    </row>
    <row r="296" spans="1:17" x14ac:dyDescent="0.3">
      <c r="A296" t="s">
        <v>586</v>
      </c>
      <c r="B296" s="2">
        <v>46263</v>
      </c>
      <c r="C296" t="s">
        <v>18</v>
      </c>
      <c r="D296" t="s">
        <v>117</v>
      </c>
      <c r="E296" t="s">
        <v>20</v>
      </c>
      <c r="F296" t="s">
        <v>587</v>
      </c>
      <c r="G296" t="s">
        <v>30</v>
      </c>
      <c r="H296" t="s">
        <v>54</v>
      </c>
      <c r="I296" t="s">
        <v>89</v>
      </c>
      <c r="J296">
        <v>1</v>
      </c>
      <c r="K296">
        <v>9100</v>
      </c>
      <c r="L296">
        <v>0</v>
      </c>
      <c r="N296">
        <v>11.6</v>
      </c>
      <c r="Q296" t="s">
        <v>89</v>
      </c>
    </row>
    <row r="297" spans="1:17" x14ac:dyDescent="0.3">
      <c r="A297" t="s">
        <v>588</v>
      </c>
      <c r="B297" s="2">
        <v>46247</v>
      </c>
      <c r="C297" t="s">
        <v>18</v>
      </c>
      <c r="D297" t="s">
        <v>47</v>
      </c>
      <c r="E297" t="s">
        <v>48</v>
      </c>
      <c r="F297" t="s">
        <v>589</v>
      </c>
      <c r="G297" t="s">
        <v>22</v>
      </c>
      <c r="H297" t="s">
        <v>86</v>
      </c>
      <c r="I297" t="s">
        <v>45</v>
      </c>
      <c r="J297">
        <v>1</v>
      </c>
      <c r="K297">
        <v>28200</v>
      </c>
      <c r="L297">
        <v>0</v>
      </c>
      <c r="N297">
        <v>6.6</v>
      </c>
      <c r="Q297" t="s">
        <v>45</v>
      </c>
    </row>
    <row r="298" spans="1:17" x14ac:dyDescent="0.3">
      <c r="A298" t="s">
        <v>590</v>
      </c>
      <c r="B298" s="2">
        <v>46037</v>
      </c>
      <c r="C298" t="s">
        <v>26</v>
      </c>
      <c r="D298" t="s">
        <v>232</v>
      </c>
      <c r="E298" t="s">
        <v>37</v>
      </c>
      <c r="F298" t="s">
        <v>81</v>
      </c>
      <c r="G298" t="s">
        <v>30</v>
      </c>
      <c r="J298">
        <v>0</v>
      </c>
      <c r="K298">
        <v>0</v>
      </c>
      <c r="L298">
        <v>0</v>
      </c>
      <c r="M298">
        <v>1</v>
      </c>
      <c r="N298">
        <v>1.7</v>
      </c>
      <c r="O298">
        <v>2.2000000000000002</v>
      </c>
      <c r="P298">
        <v>5</v>
      </c>
      <c r="Q298" t="s">
        <v>31</v>
      </c>
    </row>
    <row r="299" spans="1:17" x14ac:dyDescent="0.3">
      <c r="A299" t="s">
        <v>591</v>
      </c>
      <c r="B299" s="2">
        <v>45992</v>
      </c>
      <c r="C299" t="s">
        <v>18</v>
      </c>
      <c r="D299" t="s">
        <v>52</v>
      </c>
      <c r="E299" t="s">
        <v>48</v>
      </c>
      <c r="F299" t="s">
        <v>83</v>
      </c>
      <c r="G299" t="s">
        <v>30</v>
      </c>
      <c r="H299" t="s">
        <v>23</v>
      </c>
      <c r="I299" t="s">
        <v>89</v>
      </c>
      <c r="J299">
        <v>1</v>
      </c>
      <c r="K299">
        <v>14000</v>
      </c>
      <c r="L299">
        <v>0</v>
      </c>
      <c r="N299">
        <v>17.8</v>
      </c>
      <c r="Q299" t="s">
        <v>89</v>
      </c>
    </row>
    <row r="300" spans="1:17" x14ac:dyDescent="0.3">
      <c r="A300" t="s">
        <v>592</v>
      </c>
      <c r="B300" s="2">
        <v>45975</v>
      </c>
      <c r="C300" t="s">
        <v>26</v>
      </c>
      <c r="D300" t="s">
        <v>69</v>
      </c>
      <c r="E300" t="s">
        <v>48</v>
      </c>
      <c r="F300" t="s">
        <v>282</v>
      </c>
      <c r="G300" t="s">
        <v>22</v>
      </c>
      <c r="J300">
        <v>0</v>
      </c>
      <c r="K300">
        <v>0</v>
      </c>
      <c r="L300">
        <v>0</v>
      </c>
      <c r="M300">
        <v>1</v>
      </c>
      <c r="N300">
        <v>5.7</v>
      </c>
      <c r="O300">
        <v>4.5</v>
      </c>
      <c r="P300">
        <v>4.3</v>
      </c>
      <c r="Q300" t="s">
        <v>62</v>
      </c>
    </row>
    <row r="301" spans="1:17" x14ac:dyDescent="0.3">
      <c r="A301" t="s">
        <v>593</v>
      </c>
      <c r="B301" s="2">
        <v>46244</v>
      </c>
      <c r="C301" t="s">
        <v>18</v>
      </c>
      <c r="D301" t="s">
        <v>95</v>
      </c>
      <c r="E301" t="s">
        <v>48</v>
      </c>
      <c r="F301" t="s">
        <v>594</v>
      </c>
      <c r="G301" t="s">
        <v>30</v>
      </c>
      <c r="H301" t="s">
        <v>23</v>
      </c>
      <c r="I301" t="s">
        <v>55</v>
      </c>
      <c r="J301">
        <v>1</v>
      </c>
      <c r="K301">
        <v>6100</v>
      </c>
      <c r="L301">
        <v>0</v>
      </c>
      <c r="N301">
        <v>15.2</v>
      </c>
      <c r="Q301" t="s">
        <v>55</v>
      </c>
    </row>
    <row r="302" spans="1:17" x14ac:dyDescent="0.3">
      <c r="A302" t="s">
        <v>595</v>
      </c>
      <c r="B302" s="2">
        <v>46111</v>
      </c>
      <c r="C302" t="s">
        <v>18</v>
      </c>
      <c r="D302" t="s">
        <v>64</v>
      </c>
      <c r="E302" t="s">
        <v>48</v>
      </c>
      <c r="F302" t="s">
        <v>596</v>
      </c>
      <c r="G302" t="s">
        <v>22</v>
      </c>
      <c r="H302" t="s">
        <v>23</v>
      </c>
      <c r="I302" t="s">
        <v>89</v>
      </c>
      <c r="J302">
        <v>1</v>
      </c>
      <c r="K302">
        <v>40700</v>
      </c>
      <c r="L302">
        <v>0</v>
      </c>
      <c r="N302">
        <v>4.8</v>
      </c>
      <c r="Q302" t="s">
        <v>89</v>
      </c>
    </row>
    <row r="303" spans="1:17" x14ac:dyDescent="0.3">
      <c r="A303" t="s">
        <v>597</v>
      </c>
      <c r="B303" s="2">
        <v>46260</v>
      </c>
      <c r="C303" t="s">
        <v>18</v>
      </c>
      <c r="D303" t="s">
        <v>41</v>
      </c>
      <c r="E303" t="s">
        <v>20</v>
      </c>
      <c r="F303" t="s">
        <v>598</v>
      </c>
      <c r="G303" t="s">
        <v>30</v>
      </c>
      <c r="H303" t="s">
        <v>54</v>
      </c>
      <c r="I303" t="s">
        <v>45</v>
      </c>
      <c r="J303">
        <v>1</v>
      </c>
      <c r="K303">
        <v>12800</v>
      </c>
      <c r="L303">
        <v>0</v>
      </c>
      <c r="N303">
        <v>2.6</v>
      </c>
      <c r="Q303" t="s">
        <v>45</v>
      </c>
    </row>
    <row r="304" spans="1:17" x14ac:dyDescent="0.3">
      <c r="A304" t="s">
        <v>599</v>
      </c>
      <c r="B304" s="2">
        <v>45910</v>
      </c>
      <c r="C304" t="s">
        <v>18</v>
      </c>
      <c r="D304" t="s">
        <v>95</v>
      </c>
      <c r="E304" t="s">
        <v>48</v>
      </c>
      <c r="F304" t="s">
        <v>600</v>
      </c>
      <c r="G304" t="s">
        <v>30</v>
      </c>
      <c r="H304" t="s">
        <v>23</v>
      </c>
      <c r="I304" t="s">
        <v>67</v>
      </c>
      <c r="J304">
        <v>1</v>
      </c>
      <c r="K304">
        <v>25600</v>
      </c>
      <c r="L304">
        <v>0</v>
      </c>
      <c r="N304">
        <v>9.6</v>
      </c>
      <c r="Q304" t="s">
        <v>67</v>
      </c>
    </row>
    <row r="305" spans="1:17" x14ac:dyDescent="0.3">
      <c r="A305" t="s">
        <v>601</v>
      </c>
      <c r="B305" s="2">
        <v>46068</v>
      </c>
      <c r="C305" t="s">
        <v>26</v>
      </c>
      <c r="D305" t="s">
        <v>232</v>
      </c>
      <c r="E305" t="s">
        <v>37</v>
      </c>
      <c r="F305" t="s">
        <v>328</v>
      </c>
      <c r="G305" t="s">
        <v>50</v>
      </c>
      <c r="J305">
        <v>0</v>
      </c>
      <c r="K305">
        <v>0</v>
      </c>
      <c r="L305">
        <v>0</v>
      </c>
      <c r="M305">
        <v>1</v>
      </c>
      <c r="N305">
        <v>0.3</v>
      </c>
      <c r="O305">
        <v>2.8</v>
      </c>
      <c r="P305">
        <v>5</v>
      </c>
      <c r="Q305" t="s">
        <v>225</v>
      </c>
    </row>
    <row r="306" spans="1:17" x14ac:dyDescent="0.3">
      <c r="A306" t="s">
        <v>602</v>
      </c>
      <c r="B306" s="2">
        <v>46158</v>
      </c>
      <c r="C306" t="s">
        <v>26</v>
      </c>
      <c r="D306" t="s">
        <v>232</v>
      </c>
      <c r="E306" t="s">
        <v>28</v>
      </c>
      <c r="F306" t="s">
        <v>603</v>
      </c>
      <c r="G306" t="s">
        <v>22</v>
      </c>
      <c r="J306">
        <v>0</v>
      </c>
      <c r="K306">
        <v>0</v>
      </c>
      <c r="L306">
        <v>0</v>
      </c>
      <c r="M306">
        <v>1</v>
      </c>
      <c r="N306">
        <v>1.7</v>
      </c>
      <c r="O306">
        <v>14.9</v>
      </c>
      <c r="P306">
        <v>3</v>
      </c>
      <c r="Q306" t="s">
        <v>39</v>
      </c>
    </row>
    <row r="307" spans="1:17" x14ac:dyDescent="0.3">
      <c r="A307" t="s">
        <v>604</v>
      </c>
      <c r="B307" s="2">
        <v>46017</v>
      </c>
      <c r="C307" t="s">
        <v>26</v>
      </c>
      <c r="D307" t="s">
        <v>36</v>
      </c>
      <c r="E307" t="s">
        <v>20</v>
      </c>
      <c r="F307" t="s">
        <v>605</v>
      </c>
      <c r="G307" t="s">
        <v>22</v>
      </c>
      <c r="J307">
        <v>0</v>
      </c>
      <c r="K307">
        <v>0</v>
      </c>
      <c r="L307">
        <v>0</v>
      </c>
      <c r="M307">
        <v>1</v>
      </c>
      <c r="N307">
        <v>2.6</v>
      </c>
      <c r="O307">
        <v>3.7</v>
      </c>
      <c r="P307">
        <v>2.7</v>
      </c>
      <c r="Q307" t="s">
        <v>31</v>
      </c>
    </row>
    <row r="308" spans="1:17" x14ac:dyDescent="0.3">
      <c r="A308" t="s">
        <v>606</v>
      </c>
      <c r="B308" s="2">
        <v>45973</v>
      </c>
      <c r="C308" t="s">
        <v>18</v>
      </c>
      <c r="D308" t="s">
        <v>19</v>
      </c>
      <c r="E308" t="s">
        <v>28</v>
      </c>
      <c r="F308" t="s">
        <v>607</v>
      </c>
      <c r="G308" t="s">
        <v>22</v>
      </c>
      <c r="H308" t="s">
        <v>78</v>
      </c>
      <c r="I308" t="s">
        <v>79</v>
      </c>
      <c r="J308">
        <v>1</v>
      </c>
      <c r="K308">
        <v>33500</v>
      </c>
      <c r="L308">
        <v>0</v>
      </c>
      <c r="N308">
        <v>7.6</v>
      </c>
      <c r="Q308" t="s">
        <v>79</v>
      </c>
    </row>
    <row r="309" spans="1:17" x14ac:dyDescent="0.3">
      <c r="A309" t="s">
        <v>608</v>
      </c>
      <c r="B309" s="2">
        <v>46079</v>
      </c>
      <c r="C309" t="s">
        <v>18</v>
      </c>
      <c r="D309" t="s">
        <v>105</v>
      </c>
      <c r="E309" t="s">
        <v>28</v>
      </c>
      <c r="F309" t="s">
        <v>609</v>
      </c>
      <c r="G309" t="s">
        <v>30</v>
      </c>
      <c r="H309" t="s">
        <v>66</v>
      </c>
      <c r="I309" t="s">
        <v>55</v>
      </c>
      <c r="J309">
        <v>1</v>
      </c>
      <c r="K309">
        <v>25400</v>
      </c>
      <c r="L309">
        <v>0</v>
      </c>
      <c r="N309">
        <v>16.3</v>
      </c>
      <c r="Q309" t="s">
        <v>55</v>
      </c>
    </row>
    <row r="310" spans="1:17" x14ac:dyDescent="0.3">
      <c r="A310" t="s">
        <v>610</v>
      </c>
      <c r="B310" s="2">
        <v>45913</v>
      </c>
      <c r="C310" t="s">
        <v>26</v>
      </c>
      <c r="D310" t="s">
        <v>72</v>
      </c>
      <c r="E310" t="s">
        <v>20</v>
      </c>
      <c r="F310" t="s">
        <v>611</v>
      </c>
      <c r="G310" t="s">
        <v>30</v>
      </c>
      <c r="J310">
        <v>0</v>
      </c>
      <c r="K310">
        <v>0</v>
      </c>
      <c r="L310">
        <v>0</v>
      </c>
      <c r="M310">
        <v>1</v>
      </c>
      <c r="N310">
        <v>3.8</v>
      </c>
      <c r="O310">
        <v>4</v>
      </c>
      <c r="P310">
        <v>5</v>
      </c>
      <c r="Q310" t="s">
        <v>225</v>
      </c>
    </row>
    <row r="311" spans="1:17" x14ac:dyDescent="0.3">
      <c r="A311" t="s">
        <v>612</v>
      </c>
      <c r="B311" s="2">
        <v>46114</v>
      </c>
      <c r="C311" t="s">
        <v>18</v>
      </c>
      <c r="D311" t="s">
        <v>19</v>
      </c>
      <c r="E311" t="s">
        <v>20</v>
      </c>
      <c r="F311" t="s">
        <v>613</v>
      </c>
      <c r="G311" t="s">
        <v>44</v>
      </c>
      <c r="H311" t="s">
        <v>23</v>
      </c>
      <c r="I311" t="s">
        <v>79</v>
      </c>
      <c r="J311">
        <v>1</v>
      </c>
      <c r="K311">
        <v>60200</v>
      </c>
      <c r="L311">
        <v>0</v>
      </c>
      <c r="N311">
        <v>21.6</v>
      </c>
      <c r="Q311" t="s">
        <v>79</v>
      </c>
    </row>
    <row r="312" spans="1:17" x14ac:dyDescent="0.3">
      <c r="A312" t="s">
        <v>614</v>
      </c>
      <c r="B312" s="2">
        <v>46083</v>
      </c>
      <c r="C312" t="s">
        <v>18</v>
      </c>
      <c r="D312" t="s">
        <v>19</v>
      </c>
      <c r="E312" t="s">
        <v>20</v>
      </c>
      <c r="F312" t="s">
        <v>613</v>
      </c>
      <c r="G312" t="s">
        <v>22</v>
      </c>
      <c r="H312" t="s">
        <v>54</v>
      </c>
      <c r="I312" t="s">
        <v>24</v>
      </c>
      <c r="J312">
        <v>1</v>
      </c>
      <c r="K312">
        <v>13100</v>
      </c>
      <c r="L312">
        <v>13100</v>
      </c>
      <c r="N312">
        <v>21.7</v>
      </c>
      <c r="Q312" t="s">
        <v>24</v>
      </c>
    </row>
    <row r="313" spans="1:17" x14ac:dyDescent="0.3">
      <c r="A313" t="s">
        <v>615</v>
      </c>
      <c r="B313" s="2">
        <v>46132</v>
      </c>
      <c r="C313" t="s">
        <v>18</v>
      </c>
      <c r="D313" t="s">
        <v>95</v>
      </c>
      <c r="E313" t="s">
        <v>28</v>
      </c>
      <c r="F313" t="s">
        <v>616</v>
      </c>
      <c r="G313" t="s">
        <v>30</v>
      </c>
      <c r="H313" t="s">
        <v>78</v>
      </c>
      <c r="I313" t="s">
        <v>79</v>
      </c>
      <c r="J313">
        <v>1</v>
      </c>
      <c r="K313">
        <v>27800</v>
      </c>
      <c r="L313">
        <v>0</v>
      </c>
      <c r="N313">
        <v>6.9</v>
      </c>
      <c r="Q313" t="s">
        <v>79</v>
      </c>
    </row>
    <row r="314" spans="1:17" x14ac:dyDescent="0.3">
      <c r="A314" t="s">
        <v>617</v>
      </c>
      <c r="B314" s="2">
        <v>45906</v>
      </c>
      <c r="C314" t="s">
        <v>18</v>
      </c>
      <c r="D314" t="s">
        <v>19</v>
      </c>
      <c r="E314" t="s">
        <v>37</v>
      </c>
      <c r="F314" t="s">
        <v>292</v>
      </c>
      <c r="G314" t="s">
        <v>22</v>
      </c>
      <c r="H314" t="s">
        <v>54</v>
      </c>
      <c r="I314" t="s">
        <v>67</v>
      </c>
      <c r="J314">
        <v>1</v>
      </c>
      <c r="K314">
        <v>29900</v>
      </c>
      <c r="L314">
        <v>0</v>
      </c>
      <c r="N314">
        <v>15.7</v>
      </c>
      <c r="Q314" t="s">
        <v>67</v>
      </c>
    </row>
    <row r="315" spans="1:17" x14ac:dyDescent="0.3">
      <c r="A315" t="s">
        <v>618</v>
      </c>
      <c r="B315" s="2">
        <v>45926</v>
      </c>
      <c r="C315" t="s">
        <v>26</v>
      </c>
      <c r="D315" t="s">
        <v>27</v>
      </c>
      <c r="E315" t="s">
        <v>20</v>
      </c>
      <c r="F315" t="s">
        <v>619</v>
      </c>
      <c r="G315" t="s">
        <v>44</v>
      </c>
      <c r="J315">
        <v>0</v>
      </c>
      <c r="K315">
        <v>0</v>
      </c>
      <c r="L315">
        <v>0</v>
      </c>
      <c r="M315">
        <v>1</v>
      </c>
      <c r="N315">
        <v>10.4</v>
      </c>
      <c r="O315">
        <v>3.3</v>
      </c>
      <c r="P315">
        <v>5</v>
      </c>
      <c r="Q315" t="s">
        <v>31</v>
      </c>
    </row>
    <row r="316" spans="1:17" x14ac:dyDescent="0.3">
      <c r="A316" t="s">
        <v>620</v>
      </c>
      <c r="B316" s="2">
        <v>46228</v>
      </c>
      <c r="C316" t="s">
        <v>26</v>
      </c>
      <c r="D316" t="s">
        <v>33</v>
      </c>
      <c r="E316" t="s">
        <v>28</v>
      </c>
      <c r="F316" t="s">
        <v>621</v>
      </c>
      <c r="G316" t="s">
        <v>44</v>
      </c>
      <c r="J316">
        <v>0</v>
      </c>
      <c r="K316">
        <v>0</v>
      </c>
      <c r="L316">
        <v>0</v>
      </c>
      <c r="M316">
        <v>1</v>
      </c>
      <c r="N316">
        <v>9.6999999999999993</v>
      </c>
      <c r="O316">
        <v>8.1999999999999993</v>
      </c>
      <c r="P316">
        <v>4.0999999999999996</v>
      </c>
      <c r="Q316" t="s">
        <v>39</v>
      </c>
    </row>
    <row r="317" spans="1:17" x14ac:dyDescent="0.3">
      <c r="A317" t="s">
        <v>622</v>
      </c>
      <c r="B317" s="2">
        <v>46096</v>
      </c>
      <c r="C317" t="s">
        <v>26</v>
      </c>
      <c r="D317" t="s">
        <v>126</v>
      </c>
      <c r="E317" t="s">
        <v>48</v>
      </c>
      <c r="F317" t="s">
        <v>142</v>
      </c>
      <c r="G317" t="s">
        <v>22</v>
      </c>
      <c r="J317">
        <v>0</v>
      </c>
      <c r="K317">
        <v>0</v>
      </c>
      <c r="L317">
        <v>0</v>
      </c>
      <c r="M317">
        <v>1</v>
      </c>
      <c r="N317">
        <v>10.3</v>
      </c>
      <c r="O317">
        <v>14</v>
      </c>
      <c r="P317">
        <v>4.5</v>
      </c>
      <c r="Q317" t="s">
        <v>62</v>
      </c>
    </row>
    <row r="318" spans="1:17" x14ac:dyDescent="0.3">
      <c r="A318" t="s">
        <v>623</v>
      </c>
      <c r="B318" s="2">
        <v>45963</v>
      </c>
      <c r="C318" t="s">
        <v>18</v>
      </c>
      <c r="D318" t="s">
        <v>105</v>
      </c>
      <c r="E318" t="s">
        <v>37</v>
      </c>
      <c r="F318" t="s">
        <v>624</v>
      </c>
      <c r="G318" t="s">
        <v>44</v>
      </c>
      <c r="H318" t="s">
        <v>78</v>
      </c>
      <c r="I318" t="s">
        <v>79</v>
      </c>
      <c r="J318">
        <v>1</v>
      </c>
      <c r="K318">
        <v>12400</v>
      </c>
      <c r="L318">
        <v>0</v>
      </c>
      <c r="N318">
        <v>17.100000000000001</v>
      </c>
      <c r="Q318" t="s">
        <v>79</v>
      </c>
    </row>
    <row r="319" spans="1:17" x14ac:dyDescent="0.3">
      <c r="A319" t="s">
        <v>625</v>
      </c>
      <c r="B319" s="2">
        <v>46217</v>
      </c>
      <c r="C319" t="s">
        <v>18</v>
      </c>
      <c r="D319" t="s">
        <v>95</v>
      </c>
      <c r="E319" t="s">
        <v>20</v>
      </c>
      <c r="F319" t="s">
        <v>626</v>
      </c>
      <c r="G319" t="s">
        <v>30</v>
      </c>
      <c r="H319" t="s">
        <v>23</v>
      </c>
      <c r="I319" t="s">
        <v>79</v>
      </c>
      <c r="J319">
        <v>1</v>
      </c>
      <c r="K319">
        <v>5000</v>
      </c>
      <c r="L319">
        <v>0</v>
      </c>
      <c r="N319">
        <v>1.6</v>
      </c>
      <c r="Q319" t="s">
        <v>79</v>
      </c>
    </row>
    <row r="320" spans="1:17" x14ac:dyDescent="0.3">
      <c r="A320" t="s">
        <v>627</v>
      </c>
      <c r="B320" s="2">
        <v>45970</v>
      </c>
      <c r="C320" t="s">
        <v>18</v>
      </c>
      <c r="D320" t="s">
        <v>95</v>
      </c>
      <c r="E320" t="s">
        <v>20</v>
      </c>
      <c r="F320" t="s">
        <v>382</v>
      </c>
      <c r="G320" t="s">
        <v>44</v>
      </c>
      <c r="H320" t="s">
        <v>23</v>
      </c>
      <c r="I320" t="s">
        <v>24</v>
      </c>
      <c r="J320">
        <v>1</v>
      </c>
      <c r="K320">
        <v>23000</v>
      </c>
      <c r="L320">
        <v>23000</v>
      </c>
      <c r="N320">
        <v>23.9</v>
      </c>
      <c r="Q320" t="s">
        <v>24</v>
      </c>
    </row>
    <row r="321" spans="1:17" x14ac:dyDescent="0.3">
      <c r="A321" t="s">
        <v>628</v>
      </c>
      <c r="B321" s="2">
        <v>46141</v>
      </c>
      <c r="C321" t="s">
        <v>18</v>
      </c>
      <c r="D321" t="s">
        <v>19</v>
      </c>
      <c r="E321" t="s">
        <v>20</v>
      </c>
      <c r="F321" t="s">
        <v>598</v>
      </c>
      <c r="G321" t="s">
        <v>30</v>
      </c>
      <c r="H321" t="s">
        <v>23</v>
      </c>
      <c r="I321" t="s">
        <v>89</v>
      </c>
      <c r="J321">
        <v>1</v>
      </c>
      <c r="K321">
        <v>28600</v>
      </c>
      <c r="L321">
        <v>0</v>
      </c>
      <c r="N321">
        <v>4.4000000000000004</v>
      </c>
      <c r="Q321" t="s">
        <v>89</v>
      </c>
    </row>
    <row r="322" spans="1:17" x14ac:dyDescent="0.3">
      <c r="A322" t="s">
        <v>629</v>
      </c>
      <c r="B322" s="2">
        <v>46092</v>
      </c>
      <c r="C322" t="s">
        <v>18</v>
      </c>
      <c r="D322" t="s">
        <v>19</v>
      </c>
      <c r="E322" t="s">
        <v>48</v>
      </c>
      <c r="F322" t="s">
        <v>630</v>
      </c>
      <c r="G322" t="s">
        <v>22</v>
      </c>
      <c r="H322" t="s">
        <v>66</v>
      </c>
      <c r="I322" t="s">
        <v>55</v>
      </c>
      <c r="J322">
        <v>1</v>
      </c>
      <c r="K322">
        <v>46500</v>
      </c>
      <c r="L322">
        <v>0</v>
      </c>
      <c r="N322">
        <v>10.3</v>
      </c>
      <c r="Q322" t="s">
        <v>55</v>
      </c>
    </row>
    <row r="323" spans="1:17" x14ac:dyDescent="0.3">
      <c r="A323" t="s">
        <v>631</v>
      </c>
      <c r="B323" s="2">
        <v>45985</v>
      </c>
      <c r="C323" t="s">
        <v>26</v>
      </c>
      <c r="D323" t="s">
        <v>69</v>
      </c>
      <c r="E323" t="s">
        <v>20</v>
      </c>
      <c r="F323" t="s">
        <v>197</v>
      </c>
      <c r="G323" t="s">
        <v>50</v>
      </c>
      <c r="J323">
        <v>0</v>
      </c>
      <c r="K323">
        <v>0</v>
      </c>
      <c r="L323">
        <v>0</v>
      </c>
      <c r="M323">
        <v>1</v>
      </c>
      <c r="N323">
        <v>10.3</v>
      </c>
      <c r="O323">
        <v>4.3</v>
      </c>
      <c r="P323">
        <v>5</v>
      </c>
      <c r="Q323" t="s">
        <v>39</v>
      </c>
    </row>
    <row r="324" spans="1:17" x14ac:dyDescent="0.3">
      <c r="A324" t="s">
        <v>632</v>
      </c>
      <c r="B324" s="2">
        <v>46030</v>
      </c>
      <c r="C324" t="s">
        <v>26</v>
      </c>
      <c r="D324" t="s">
        <v>126</v>
      </c>
      <c r="E324" t="s">
        <v>42</v>
      </c>
      <c r="F324" t="s">
        <v>619</v>
      </c>
      <c r="G324" t="s">
        <v>30</v>
      </c>
      <c r="J324">
        <v>0</v>
      </c>
      <c r="K324">
        <v>0</v>
      </c>
      <c r="L324">
        <v>0</v>
      </c>
      <c r="M324">
        <v>1</v>
      </c>
      <c r="N324">
        <v>11.9</v>
      </c>
      <c r="O324">
        <v>12.4</v>
      </c>
      <c r="P324">
        <v>4.4000000000000004</v>
      </c>
      <c r="Q324" t="s">
        <v>39</v>
      </c>
    </row>
    <row r="325" spans="1:17" x14ac:dyDescent="0.3">
      <c r="A325" t="s">
        <v>633</v>
      </c>
      <c r="B325" s="2">
        <v>46005</v>
      </c>
      <c r="C325" t="s">
        <v>18</v>
      </c>
      <c r="D325" t="s">
        <v>41</v>
      </c>
      <c r="E325" t="s">
        <v>48</v>
      </c>
      <c r="F325" t="s">
        <v>566</v>
      </c>
      <c r="G325" t="s">
        <v>30</v>
      </c>
      <c r="H325" t="s">
        <v>23</v>
      </c>
      <c r="I325" t="s">
        <v>67</v>
      </c>
      <c r="J325">
        <v>1</v>
      </c>
      <c r="K325">
        <v>20100</v>
      </c>
      <c r="L325">
        <v>0</v>
      </c>
      <c r="N325">
        <v>7.1</v>
      </c>
      <c r="Q325" t="s">
        <v>67</v>
      </c>
    </row>
    <row r="326" spans="1:17" x14ac:dyDescent="0.3">
      <c r="A326" t="s">
        <v>634</v>
      </c>
      <c r="B326" s="2">
        <v>46062</v>
      </c>
      <c r="C326" t="s">
        <v>26</v>
      </c>
      <c r="D326" t="s">
        <v>69</v>
      </c>
      <c r="E326" t="s">
        <v>20</v>
      </c>
      <c r="F326" t="s">
        <v>635</v>
      </c>
      <c r="G326" t="s">
        <v>22</v>
      </c>
      <c r="J326">
        <v>0</v>
      </c>
      <c r="K326">
        <v>0</v>
      </c>
      <c r="L326">
        <v>0</v>
      </c>
      <c r="M326">
        <v>1</v>
      </c>
      <c r="N326">
        <v>8.6999999999999993</v>
      </c>
      <c r="O326">
        <v>12</v>
      </c>
      <c r="P326">
        <v>4</v>
      </c>
      <c r="Q326" t="s">
        <v>39</v>
      </c>
    </row>
    <row r="327" spans="1:17" x14ac:dyDescent="0.3">
      <c r="A327" t="s">
        <v>636</v>
      </c>
      <c r="B327" s="2">
        <v>46160</v>
      </c>
      <c r="C327" t="s">
        <v>26</v>
      </c>
      <c r="D327" t="s">
        <v>69</v>
      </c>
      <c r="E327" t="s">
        <v>20</v>
      </c>
      <c r="F327" t="s">
        <v>288</v>
      </c>
      <c r="G327" t="s">
        <v>44</v>
      </c>
      <c r="J327">
        <v>0</v>
      </c>
      <c r="K327">
        <v>0</v>
      </c>
      <c r="L327">
        <v>0</v>
      </c>
      <c r="M327">
        <v>1</v>
      </c>
      <c r="N327">
        <v>8.6</v>
      </c>
      <c r="O327">
        <v>4.3</v>
      </c>
      <c r="P327">
        <v>4.7</v>
      </c>
      <c r="Q327" t="s">
        <v>31</v>
      </c>
    </row>
    <row r="328" spans="1:17" x14ac:dyDescent="0.3">
      <c r="A328" t="s">
        <v>637</v>
      </c>
      <c r="B328" s="2">
        <v>46218</v>
      </c>
      <c r="C328" t="s">
        <v>26</v>
      </c>
      <c r="D328" t="s">
        <v>232</v>
      </c>
      <c r="E328" t="s">
        <v>20</v>
      </c>
      <c r="F328" t="s">
        <v>638</v>
      </c>
      <c r="G328" t="s">
        <v>22</v>
      </c>
      <c r="J328">
        <v>0</v>
      </c>
      <c r="K328">
        <v>0</v>
      </c>
      <c r="L328">
        <v>0</v>
      </c>
      <c r="M328">
        <v>1</v>
      </c>
      <c r="N328">
        <v>0.6</v>
      </c>
      <c r="O328">
        <v>5.5</v>
      </c>
      <c r="P328">
        <v>5</v>
      </c>
      <c r="Q328" t="s">
        <v>39</v>
      </c>
    </row>
    <row r="329" spans="1:17" x14ac:dyDescent="0.3">
      <c r="A329" t="s">
        <v>639</v>
      </c>
      <c r="B329" s="2">
        <v>46129</v>
      </c>
      <c r="C329" t="s">
        <v>26</v>
      </c>
      <c r="D329" t="s">
        <v>232</v>
      </c>
      <c r="E329" t="s">
        <v>37</v>
      </c>
      <c r="F329" t="s">
        <v>260</v>
      </c>
      <c r="G329" t="s">
        <v>50</v>
      </c>
      <c r="J329">
        <v>0</v>
      </c>
      <c r="K329">
        <v>0</v>
      </c>
      <c r="L329">
        <v>0</v>
      </c>
      <c r="M329">
        <v>1</v>
      </c>
      <c r="N329">
        <v>9.3000000000000007</v>
      </c>
      <c r="O329">
        <v>7.6</v>
      </c>
      <c r="P329">
        <v>4</v>
      </c>
      <c r="Q329" t="s">
        <v>62</v>
      </c>
    </row>
    <row r="330" spans="1:17" x14ac:dyDescent="0.3">
      <c r="A330" t="s">
        <v>640</v>
      </c>
      <c r="B330" s="2">
        <v>46096</v>
      </c>
      <c r="C330" t="s">
        <v>18</v>
      </c>
      <c r="D330" t="s">
        <v>52</v>
      </c>
      <c r="E330" t="s">
        <v>42</v>
      </c>
      <c r="F330" t="s">
        <v>641</v>
      </c>
      <c r="G330" t="s">
        <v>44</v>
      </c>
      <c r="H330" t="s">
        <v>66</v>
      </c>
      <c r="I330" t="s">
        <v>89</v>
      </c>
      <c r="J330">
        <v>1</v>
      </c>
      <c r="K330">
        <v>26100</v>
      </c>
      <c r="L330">
        <v>0</v>
      </c>
      <c r="N330">
        <v>20.7</v>
      </c>
      <c r="Q330" t="s">
        <v>89</v>
      </c>
    </row>
    <row r="331" spans="1:17" x14ac:dyDescent="0.3">
      <c r="A331" t="s">
        <v>642</v>
      </c>
      <c r="B331" s="2">
        <v>46263</v>
      </c>
      <c r="C331" t="s">
        <v>18</v>
      </c>
      <c r="D331" t="s">
        <v>19</v>
      </c>
      <c r="E331" t="s">
        <v>20</v>
      </c>
      <c r="F331" t="s">
        <v>643</v>
      </c>
      <c r="G331" t="s">
        <v>22</v>
      </c>
      <c r="H331" t="s">
        <v>86</v>
      </c>
      <c r="I331" t="s">
        <v>79</v>
      </c>
      <c r="J331">
        <v>1</v>
      </c>
      <c r="K331">
        <v>22300</v>
      </c>
      <c r="L331">
        <v>0</v>
      </c>
      <c r="N331">
        <v>3.4</v>
      </c>
      <c r="Q331" t="s">
        <v>79</v>
      </c>
    </row>
    <row r="332" spans="1:17" x14ac:dyDescent="0.3">
      <c r="A332" t="s">
        <v>644</v>
      </c>
      <c r="B332" s="2">
        <v>46098</v>
      </c>
      <c r="C332" t="s">
        <v>18</v>
      </c>
      <c r="D332" t="s">
        <v>19</v>
      </c>
      <c r="E332" t="s">
        <v>20</v>
      </c>
      <c r="F332" t="s">
        <v>645</v>
      </c>
      <c r="G332" t="s">
        <v>50</v>
      </c>
      <c r="H332" t="s">
        <v>66</v>
      </c>
      <c r="I332" t="s">
        <v>55</v>
      </c>
      <c r="J332">
        <v>1</v>
      </c>
      <c r="K332">
        <v>8100</v>
      </c>
      <c r="L332">
        <v>0</v>
      </c>
      <c r="N332">
        <v>10.6</v>
      </c>
      <c r="Q332" t="s">
        <v>55</v>
      </c>
    </row>
    <row r="333" spans="1:17" x14ac:dyDescent="0.3">
      <c r="A333" t="s">
        <v>646</v>
      </c>
      <c r="B333" s="2">
        <v>46085</v>
      </c>
      <c r="C333" t="s">
        <v>26</v>
      </c>
      <c r="D333" t="s">
        <v>126</v>
      </c>
      <c r="E333" t="s">
        <v>20</v>
      </c>
      <c r="F333" t="s">
        <v>248</v>
      </c>
      <c r="G333" t="s">
        <v>30</v>
      </c>
      <c r="J333">
        <v>0</v>
      </c>
      <c r="K333">
        <v>0</v>
      </c>
      <c r="L333">
        <v>0</v>
      </c>
      <c r="M333">
        <v>1</v>
      </c>
      <c r="N333">
        <v>10.5</v>
      </c>
      <c r="O333">
        <v>7.3</v>
      </c>
      <c r="P333">
        <v>4.2</v>
      </c>
      <c r="Q333" t="s">
        <v>39</v>
      </c>
    </row>
    <row r="334" spans="1:17" x14ac:dyDescent="0.3">
      <c r="A334" t="s">
        <v>647</v>
      </c>
      <c r="B334" s="2">
        <v>45998</v>
      </c>
      <c r="C334" t="s">
        <v>18</v>
      </c>
      <c r="D334" t="s">
        <v>47</v>
      </c>
      <c r="E334" t="s">
        <v>28</v>
      </c>
      <c r="F334" t="s">
        <v>587</v>
      </c>
      <c r="G334" t="s">
        <v>50</v>
      </c>
      <c r="H334" t="s">
        <v>86</v>
      </c>
      <c r="I334" t="s">
        <v>45</v>
      </c>
      <c r="J334">
        <v>1</v>
      </c>
      <c r="K334">
        <v>43800</v>
      </c>
      <c r="L334">
        <v>0</v>
      </c>
      <c r="N334">
        <v>16.3</v>
      </c>
      <c r="Q334" t="s">
        <v>45</v>
      </c>
    </row>
    <row r="335" spans="1:17" x14ac:dyDescent="0.3">
      <c r="A335" t="s">
        <v>648</v>
      </c>
      <c r="B335" s="2">
        <v>46107</v>
      </c>
      <c r="C335" t="s">
        <v>18</v>
      </c>
      <c r="D335" t="s">
        <v>64</v>
      </c>
      <c r="E335" t="s">
        <v>28</v>
      </c>
      <c r="F335" t="s">
        <v>502</v>
      </c>
      <c r="G335" t="s">
        <v>22</v>
      </c>
      <c r="H335" t="s">
        <v>54</v>
      </c>
      <c r="I335" t="s">
        <v>55</v>
      </c>
      <c r="J335">
        <v>1</v>
      </c>
      <c r="K335">
        <v>25200</v>
      </c>
      <c r="L335">
        <v>0</v>
      </c>
      <c r="N335">
        <v>2.2999999999999998</v>
      </c>
      <c r="Q335" t="s">
        <v>55</v>
      </c>
    </row>
    <row r="336" spans="1:17" x14ac:dyDescent="0.3">
      <c r="A336" t="s">
        <v>649</v>
      </c>
      <c r="B336" s="2">
        <v>46079</v>
      </c>
      <c r="C336" t="s">
        <v>18</v>
      </c>
      <c r="D336" t="s">
        <v>95</v>
      </c>
      <c r="E336" t="s">
        <v>20</v>
      </c>
      <c r="F336" t="s">
        <v>650</v>
      </c>
      <c r="G336" t="s">
        <v>30</v>
      </c>
      <c r="H336" t="s">
        <v>78</v>
      </c>
      <c r="I336" t="s">
        <v>89</v>
      </c>
      <c r="J336">
        <v>1</v>
      </c>
      <c r="K336">
        <v>58500</v>
      </c>
      <c r="L336">
        <v>0</v>
      </c>
      <c r="N336">
        <v>3.2</v>
      </c>
      <c r="Q336" t="s">
        <v>89</v>
      </c>
    </row>
    <row r="337" spans="1:17" x14ac:dyDescent="0.3">
      <c r="A337" t="s">
        <v>651</v>
      </c>
      <c r="B337" s="2">
        <v>46000</v>
      </c>
      <c r="C337" t="s">
        <v>18</v>
      </c>
      <c r="D337" t="s">
        <v>41</v>
      </c>
      <c r="E337" t="s">
        <v>42</v>
      </c>
      <c r="F337" t="s">
        <v>652</v>
      </c>
      <c r="G337" t="s">
        <v>50</v>
      </c>
      <c r="H337" t="s">
        <v>86</v>
      </c>
      <c r="I337" t="s">
        <v>89</v>
      </c>
      <c r="J337">
        <v>1</v>
      </c>
      <c r="K337">
        <v>10500</v>
      </c>
      <c r="L337">
        <v>0</v>
      </c>
      <c r="N337">
        <v>9.4</v>
      </c>
      <c r="Q337" t="s">
        <v>89</v>
      </c>
    </row>
    <row r="338" spans="1:17" x14ac:dyDescent="0.3">
      <c r="A338" t="s">
        <v>653</v>
      </c>
      <c r="B338" s="2">
        <v>46106</v>
      </c>
      <c r="C338" t="s">
        <v>26</v>
      </c>
      <c r="D338" t="s">
        <v>33</v>
      </c>
      <c r="E338" t="s">
        <v>48</v>
      </c>
      <c r="F338" t="s">
        <v>469</v>
      </c>
      <c r="G338" t="s">
        <v>44</v>
      </c>
      <c r="J338">
        <v>0</v>
      </c>
      <c r="K338">
        <v>0</v>
      </c>
      <c r="L338">
        <v>0</v>
      </c>
      <c r="M338">
        <v>1</v>
      </c>
      <c r="N338">
        <v>2.1</v>
      </c>
      <c r="O338">
        <v>7.6</v>
      </c>
      <c r="P338">
        <v>3.3</v>
      </c>
      <c r="Q338" t="s">
        <v>31</v>
      </c>
    </row>
    <row r="339" spans="1:17" x14ac:dyDescent="0.3">
      <c r="A339" t="s">
        <v>654</v>
      </c>
      <c r="B339" s="2">
        <v>46188</v>
      </c>
      <c r="C339" t="s">
        <v>26</v>
      </c>
      <c r="D339" t="s">
        <v>126</v>
      </c>
      <c r="E339" t="s">
        <v>20</v>
      </c>
      <c r="F339" t="s">
        <v>655</v>
      </c>
      <c r="G339" t="s">
        <v>22</v>
      </c>
      <c r="J339">
        <v>0</v>
      </c>
      <c r="K339">
        <v>0</v>
      </c>
      <c r="L339">
        <v>0</v>
      </c>
      <c r="M339">
        <v>1</v>
      </c>
      <c r="N339">
        <v>4.9000000000000004</v>
      </c>
      <c r="O339">
        <v>4.9000000000000004</v>
      </c>
      <c r="P339">
        <v>2.6</v>
      </c>
      <c r="Q339" t="s">
        <v>39</v>
      </c>
    </row>
    <row r="340" spans="1:17" x14ac:dyDescent="0.3">
      <c r="A340" t="s">
        <v>656</v>
      </c>
      <c r="B340" s="2">
        <v>45923</v>
      </c>
      <c r="C340" t="s">
        <v>18</v>
      </c>
      <c r="D340" t="s">
        <v>105</v>
      </c>
      <c r="E340" t="s">
        <v>20</v>
      </c>
      <c r="F340" t="s">
        <v>59</v>
      </c>
      <c r="G340" t="s">
        <v>30</v>
      </c>
      <c r="H340" t="s">
        <v>66</v>
      </c>
      <c r="I340" t="s">
        <v>55</v>
      </c>
      <c r="J340">
        <v>1</v>
      </c>
      <c r="K340">
        <v>36300</v>
      </c>
      <c r="L340">
        <v>0</v>
      </c>
      <c r="N340">
        <v>4.7</v>
      </c>
      <c r="Q340" t="s">
        <v>55</v>
      </c>
    </row>
    <row r="341" spans="1:17" x14ac:dyDescent="0.3">
      <c r="A341" t="s">
        <v>657</v>
      </c>
      <c r="B341" s="2">
        <v>46092</v>
      </c>
      <c r="C341" t="s">
        <v>18</v>
      </c>
      <c r="D341" t="s">
        <v>117</v>
      </c>
      <c r="E341" t="s">
        <v>20</v>
      </c>
      <c r="F341" t="s">
        <v>658</v>
      </c>
      <c r="G341" t="s">
        <v>44</v>
      </c>
      <c r="H341" t="s">
        <v>78</v>
      </c>
      <c r="I341" t="s">
        <v>67</v>
      </c>
      <c r="J341">
        <v>1</v>
      </c>
      <c r="K341">
        <v>15900</v>
      </c>
      <c r="L341">
        <v>0</v>
      </c>
      <c r="N341">
        <v>11.7</v>
      </c>
      <c r="Q341" t="s">
        <v>67</v>
      </c>
    </row>
    <row r="342" spans="1:17" x14ac:dyDescent="0.3">
      <c r="A342" t="s">
        <v>659</v>
      </c>
      <c r="B342" s="2">
        <v>45935</v>
      </c>
      <c r="C342" t="s">
        <v>18</v>
      </c>
      <c r="D342" t="s">
        <v>52</v>
      </c>
      <c r="E342" t="s">
        <v>48</v>
      </c>
      <c r="F342" t="s">
        <v>346</v>
      </c>
      <c r="G342" t="s">
        <v>30</v>
      </c>
      <c r="H342" t="s">
        <v>78</v>
      </c>
      <c r="I342" t="s">
        <v>24</v>
      </c>
      <c r="J342">
        <v>1</v>
      </c>
      <c r="K342">
        <v>126800</v>
      </c>
      <c r="L342">
        <v>126800</v>
      </c>
      <c r="N342">
        <v>19.899999999999999</v>
      </c>
      <c r="Q342" t="s">
        <v>24</v>
      </c>
    </row>
    <row r="343" spans="1:17" x14ac:dyDescent="0.3">
      <c r="A343" t="s">
        <v>660</v>
      </c>
      <c r="B343" s="2">
        <v>46187</v>
      </c>
      <c r="C343" t="s">
        <v>18</v>
      </c>
      <c r="D343" t="s">
        <v>41</v>
      </c>
      <c r="E343" t="s">
        <v>28</v>
      </c>
      <c r="F343" t="s">
        <v>661</v>
      </c>
      <c r="G343" t="s">
        <v>44</v>
      </c>
      <c r="H343" t="s">
        <v>54</v>
      </c>
      <c r="I343" t="s">
        <v>79</v>
      </c>
      <c r="J343">
        <v>1</v>
      </c>
      <c r="K343">
        <v>51800</v>
      </c>
      <c r="L343">
        <v>0</v>
      </c>
      <c r="N343">
        <v>16.7</v>
      </c>
      <c r="Q343" t="s">
        <v>79</v>
      </c>
    </row>
    <row r="344" spans="1:17" x14ac:dyDescent="0.3">
      <c r="A344" t="s">
        <v>662</v>
      </c>
      <c r="B344" s="2">
        <v>46026</v>
      </c>
      <c r="C344" t="s">
        <v>18</v>
      </c>
      <c r="D344" t="s">
        <v>52</v>
      </c>
      <c r="E344" t="s">
        <v>20</v>
      </c>
      <c r="F344" t="s">
        <v>663</v>
      </c>
      <c r="G344" t="s">
        <v>44</v>
      </c>
      <c r="H344" t="s">
        <v>66</v>
      </c>
      <c r="I344" t="s">
        <v>67</v>
      </c>
      <c r="J344">
        <v>1</v>
      </c>
      <c r="K344">
        <v>30100</v>
      </c>
      <c r="L344">
        <v>0</v>
      </c>
      <c r="N344">
        <v>22.4</v>
      </c>
      <c r="Q344" t="s">
        <v>67</v>
      </c>
    </row>
    <row r="345" spans="1:17" x14ac:dyDescent="0.3">
      <c r="A345" t="s">
        <v>664</v>
      </c>
      <c r="B345" s="2">
        <v>46108</v>
      </c>
      <c r="C345" t="s">
        <v>18</v>
      </c>
      <c r="D345" t="s">
        <v>19</v>
      </c>
      <c r="E345" t="s">
        <v>37</v>
      </c>
      <c r="F345" t="s">
        <v>665</v>
      </c>
      <c r="G345" t="s">
        <v>22</v>
      </c>
      <c r="H345" t="s">
        <v>86</v>
      </c>
      <c r="I345" t="s">
        <v>45</v>
      </c>
      <c r="J345">
        <v>1</v>
      </c>
      <c r="K345">
        <v>14900</v>
      </c>
      <c r="L345">
        <v>0</v>
      </c>
      <c r="N345">
        <v>3.1</v>
      </c>
      <c r="Q345" t="s">
        <v>45</v>
      </c>
    </row>
    <row r="346" spans="1:17" x14ac:dyDescent="0.3">
      <c r="A346" t="s">
        <v>666</v>
      </c>
      <c r="B346" s="2">
        <v>46099</v>
      </c>
      <c r="C346" t="s">
        <v>18</v>
      </c>
      <c r="D346" t="s">
        <v>105</v>
      </c>
      <c r="E346" t="s">
        <v>20</v>
      </c>
      <c r="F346" t="s">
        <v>529</v>
      </c>
      <c r="G346" t="s">
        <v>22</v>
      </c>
      <c r="H346" t="s">
        <v>78</v>
      </c>
      <c r="I346" t="s">
        <v>67</v>
      </c>
      <c r="J346">
        <v>1</v>
      </c>
      <c r="K346">
        <v>31900</v>
      </c>
      <c r="L346">
        <v>0</v>
      </c>
      <c r="N346">
        <v>20.6</v>
      </c>
      <c r="Q346" t="s">
        <v>67</v>
      </c>
    </row>
    <row r="347" spans="1:17" x14ac:dyDescent="0.3">
      <c r="A347" t="s">
        <v>667</v>
      </c>
      <c r="B347" s="2">
        <v>45925</v>
      </c>
      <c r="C347" t="s">
        <v>26</v>
      </c>
      <c r="D347" t="s">
        <v>36</v>
      </c>
      <c r="E347" t="s">
        <v>48</v>
      </c>
      <c r="F347" t="s">
        <v>554</v>
      </c>
      <c r="G347" t="s">
        <v>30</v>
      </c>
      <c r="J347">
        <v>0</v>
      </c>
      <c r="K347">
        <v>0</v>
      </c>
      <c r="L347">
        <v>0</v>
      </c>
      <c r="M347">
        <v>1</v>
      </c>
      <c r="N347">
        <v>1.1000000000000001</v>
      </c>
      <c r="O347">
        <v>4.4000000000000004</v>
      </c>
      <c r="P347">
        <v>3.8</v>
      </c>
      <c r="Q347" t="s">
        <v>39</v>
      </c>
    </row>
    <row r="348" spans="1:17" x14ac:dyDescent="0.3">
      <c r="A348" t="s">
        <v>668</v>
      </c>
      <c r="B348" s="2">
        <v>46129</v>
      </c>
      <c r="C348" t="s">
        <v>26</v>
      </c>
      <c r="D348" t="s">
        <v>114</v>
      </c>
      <c r="E348" t="s">
        <v>28</v>
      </c>
      <c r="F348" t="s">
        <v>669</v>
      </c>
      <c r="G348" t="s">
        <v>22</v>
      </c>
      <c r="J348">
        <v>0</v>
      </c>
      <c r="K348">
        <v>0</v>
      </c>
      <c r="L348">
        <v>0</v>
      </c>
      <c r="M348">
        <v>1</v>
      </c>
      <c r="N348">
        <v>9.8000000000000007</v>
      </c>
      <c r="O348">
        <v>6</v>
      </c>
      <c r="P348">
        <v>3.5</v>
      </c>
      <c r="Q348" t="s">
        <v>62</v>
      </c>
    </row>
    <row r="349" spans="1:17" x14ac:dyDescent="0.3">
      <c r="A349" t="s">
        <v>670</v>
      </c>
      <c r="B349" s="2">
        <v>45994</v>
      </c>
      <c r="C349" t="s">
        <v>18</v>
      </c>
      <c r="D349" t="s">
        <v>117</v>
      </c>
      <c r="E349" t="s">
        <v>20</v>
      </c>
      <c r="F349" t="s">
        <v>671</v>
      </c>
      <c r="G349" t="s">
        <v>22</v>
      </c>
      <c r="H349" t="s">
        <v>78</v>
      </c>
      <c r="I349" t="s">
        <v>55</v>
      </c>
      <c r="J349">
        <v>1</v>
      </c>
      <c r="K349">
        <v>29100</v>
      </c>
      <c r="L349">
        <v>0</v>
      </c>
      <c r="N349">
        <v>7.6</v>
      </c>
      <c r="Q349" t="s">
        <v>55</v>
      </c>
    </row>
    <row r="350" spans="1:17" x14ac:dyDescent="0.3">
      <c r="A350" t="s">
        <v>672</v>
      </c>
      <c r="B350" s="2">
        <v>45945</v>
      </c>
      <c r="C350" t="s">
        <v>18</v>
      </c>
      <c r="D350" t="s">
        <v>19</v>
      </c>
      <c r="E350" t="s">
        <v>20</v>
      </c>
      <c r="F350" t="s">
        <v>301</v>
      </c>
      <c r="G350" t="s">
        <v>22</v>
      </c>
      <c r="H350" t="s">
        <v>86</v>
      </c>
      <c r="I350" t="s">
        <v>79</v>
      </c>
      <c r="J350">
        <v>1</v>
      </c>
      <c r="K350">
        <v>34700</v>
      </c>
      <c r="L350">
        <v>0</v>
      </c>
      <c r="N350">
        <v>17.8</v>
      </c>
      <c r="Q350" t="s">
        <v>79</v>
      </c>
    </row>
    <row r="351" spans="1:17" x14ac:dyDescent="0.3">
      <c r="A351" t="s">
        <v>673</v>
      </c>
      <c r="B351" s="2">
        <v>45947</v>
      </c>
      <c r="C351" t="s">
        <v>26</v>
      </c>
      <c r="D351" t="s">
        <v>36</v>
      </c>
      <c r="E351" t="s">
        <v>28</v>
      </c>
      <c r="F351" t="s">
        <v>186</v>
      </c>
      <c r="G351" t="s">
        <v>22</v>
      </c>
      <c r="J351">
        <v>0</v>
      </c>
      <c r="K351">
        <v>0</v>
      </c>
      <c r="L351">
        <v>0</v>
      </c>
      <c r="M351">
        <v>1</v>
      </c>
      <c r="N351">
        <v>5.6</v>
      </c>
      <c r="O351">
        <v>4.3</v>
      </c>
      <c r="P351">
        <v>4.7</v>
      </c>
      <c r="Q351" t="s">
        <v>31</v>
      </c>
    </row>
    <row r="352" spans="1:17" x14ac:dyDescent="0.3">
      <c r="A352" t="s">
        <v>674</v>
      </c>
      <c r="B352" s="2">
        <v>46117</v>
      </c>
      <c r="C352" t="s">
        <v>18</v>
      </c>
      <c r="D352" t="s">
        <v>95</v>
      </c>
      <c r="E352" t="s">
        <v>37</v>
      </c>
      <c r="F352" t="s">
        <v>316</v>
      </c>
      <c r="G352" t="s">
        <v>44</v>
      </c>
      <c r="H352" t="s">
        <v>54</v>
      </c>
      <c r="I352" t="s">
        <v>89</v>
      </c>
      <c r="J352">
        <v>1</v>
      </c>
      <c r="K352">
        <v>23800</v>
      </c>
      <c r="L352">
        <v>0</v>
      </c>
      <c r="N352">
        <v>7.5</v>
      </c>
      <c r="Q352" t="s">
        <v>89</v>
      </c>
    </row>
    <row r="353" spans="1:17" x14ac:dyDescent="0.3">
      <c r="A353" t="s">
        <v>675</v>
      </c>
      <c r="B353" s="2">
        <v>45976</v>
      </c>
      <c r="C353" t="s">
        <v>26</v>
      </c>
      <c r="D353" t="s">
        <v>69</v>
      </c>
      <c r="E353" t="s">
        <v>28</v>
      </c>
      <c r="F353" t="s">
        <v>676</v>
      </c>
      <c r="G353" t="s">
        <v>44</v>
      </c>
      <c r="J353">
        <v>0</v>
      </c>
      <c r="K353">
        <v>0</v>
      </c>
      <c r="L353">
        <v>0</v>
      </c>
      <c r="M353">
        <v>1</v>
      </c>
      <c r="N353">
        <v>10</v>
      </c>
      <c r="O353">
        <v>2.5</v>
      </c>
      <c r="P353">
        <v>4.7</v>
      </c>
      <c r="Q353" t="s">
        <v>62</v>
      </c>
    </row>
    <row r="354" spans="1:17" x14ac:dyDescent="0.3">
      <c r="A354" t="s">
        <v>677</v>
      </c>
      <c r="B354" s="2">
        <v>46089</v>
      </c>
      <c r="C354" t="s">
        <v>26</v>
      </c>
      <c r="D354" t="s">
        <v>114</v>
      </c>
      <c r="E354" t="s">
        <v>37</v>
      </c>
      <c r="F354" t="s">
        <v>655</v>
      </c>
      <c r="G354" t="s">
        <v>22</v>
      </c>
      <c r="J354">
        <v>0</v>
      </c>
      <c r="K354">
        <v>0</v>
      </c>
      <c r="L354">
        <v>0</v>
      </c>
      <c r="M354">
        <v>1</v>
      </c>
      <c r="N354">
        <v>0.8</v>
      </c>
      <c r="O354">
        <v>17.7</v>
      </c>
      <c r="P354">
        <v>4.9000000000000004</v>
      </c>
      <c r="Q354" t="s">
        <v>39</v>
      </c>
    </row>
    <row r="355" spans="1:17" x14ac:dyDescent="0.3">
      <c r="A355" t="s">
        <v>678</v>
      </c>
      <c r="B355" s="2">
        <v>46034</v>
      </c>
      <c r="C355" t="s">
        <v>18</v>
      </c>
      <c r="D355" t="s">
        <v>105</v>
      </c>
      <c r="E355" t="s">
        <v>37</v>
      </c>
      <c r="F355" t="s">
        <v>514</v>
      </c>
      <c r="G355" t="s">
        <v>30</v>
      </c>
      <c r="H355" t="s">
        <v>86</v>
      </c>
      <c r="I355" t="s">
        <v>89</v>
      </c>
      <c r="J355">
        <v>1</v>
      </c>
      <c r="K355">
        <v>5700</v>
      </c>
      <c r="L355">
        <v>0</v>
      </c>
      <c r="N355">
        <v>7.4</v>
      </c>
      <c r="Q355" t="s">
        <v>89</v>
      </c>
    </row>
    <row r="356" spans="1:17" x14ac:dyDescent="0.3">
      <c r="A356" t="s">
        <v>679</v>
      </c>
      <c r="B356" s="2">
        <v>45926</v>
      </c>
      <c r="C356" t="s">
        <v>18</v>
      </c>
      <c r="D356" t="s">
        <v>64</v>
      </c>
      <c r="E356" t="s">
        <v>20</v>
      </c>
      <c r="F356" t="s">
        <v>278</v>
      </c>
      <c r="G356" t="s">
        <v>44</v>
      </c>
      <c r="H356" t="s">
        <v>66</v>
      </c>
      <c r="I356" t="s">
        <v>79</v>
      </c>
      <c r="J356">
        <v>1</v>
      </c>
      <c r="K356">
        <v>11300</v>
      </c>
      <c r="L356">
        <v>0</v>
      </c>
      <c r="N356">
        <v>21.6</v>
      </c>
      <c r="Q356" t="s">
        <v>79</v>
      </c>
    </row>
    <row r="357" spans="1:17" x14ac:dyDescent="0.3">
      <c r="A357" t="s">
        <v>680</v>
      </c>
      <c r="B357" s="2">
        <v>45944</v>
      </c>
      <c r="C357" t="s">
        <v>26</v>
      </c>
      <c r="D357" t="s">
        <v>33</v>
      </c>
      <c r="E357" t="s">
        <v>48</v>
      </c>
      <c r="F357" t="s">
        <v>681</v>
      </c>
      <c r="G357" t="s">
        <v>44</v>
      </c>
      <c r="J357">
        <v>0</v>
      </c>
      <c r="K357">
        <v>0</v>
      </c>
      <c r="L357">
        <v>0</v>
      </c>
      <c r="M357">
        <v>1</v>
      </c>
      <c r="N357">
        <v>8</v>
      </c>
      <c r="O357">
        <v>1.2</v>
      </c>
      <c r="P357">
        <v>2.2000000000000002</v>
      </c>
      <c r="Q357" t="s">
        <v>39</v>
      </c>
    </row>
    <row r="358" spans="1:17" x14ac:dyDescent="0.3">
      <c r="A358" t="s">
        <v>682</v>
      </c>
      <c r="B358" s="2">
        <v>46134</v>
      </c>
      <c r="C358" t="s">
        <v>18</v>
      </c>
      <c r="D358" t="s">
        <v>117</v>
      </c>
      <c r="E358" t="s">
        <v>42</v>
      </c>
      <c r="F358" t="s">
        <v>683</v>
      </c>
      <c r="G358" t="s">
        <v>44</v>
      </c>
      <c r="H358" t="s">
        <v>54</v>
      </c>
      <c r="I358" t="s">
        <v>67</v>
      </c>
      <c r="J358">
        <v>1</v>
      </c>
      <c r="K358">
        <v>30300</v>
      </c>
      <c r="L358">
        <v>0</v>
      </c>
      <c r="N358">
        <v>4.0999999999999996</v>
      </c>
      <c r="Q358" t="s">
        <v>67</v>
      </c>
    </row>
    <row r="359" spans="1:17" x14ac:dyDescent="0.3">
      <c r="A359" t="s">
        <v>684</v>
      </c>
      <c r="B359" s="2">
        <v>46087</v>
      </c>
      <c r="C359" t="s">
        <v>26</v>
      </c>
      <c r="D359" t="s">
        <v>27</v>
      </c>
      <c r="E359" t="s">
        <v>42</v>
      </c>
      <c r="F359" t="s">
        <v>685</v>
      </c>
      <c r="G359" t="s">
        <v>44</v>
      </c>
      <c r="J359">
        <v>0</v>
      </c>
      <c r="K359">
        <v>0</v>
      </c>
      <c r="L359">
        <v>0</v>
      </c>
      <c r="M359">
        <v>1</v>
      </c>
      <c r="N359">
        <v>10.3</v>
      </c>
      <c r="O359">
        <v>4.5999999999999996</v>
      </c>
      <c r="P359">
        <v>2.8</v>
      </c>
      <c r="Q359" t="s">
        <v>31</v>
      </c>
    </row>
    <row r="360" spans="1:17" x14ac:dyDescent="0.3">
      <c r="A360" t="s">
        <v>686</v>
      </c>
      <c r="B360" s="2">
        <v>46138</v>
      </c>
      <c r="C360" t="s">
        <v>26</v>
      </c>
      <c r="D360" t="s">
        <v>27</v>
      </c>
      <c r="E360" t="s">
        <v>20</v>
      </c>
      <c r="F360" t="s">
        <v>687</v>
      </c>
      <c r="G360" t="s">
        <v>22</v>
      </c>
      <c r="J360">
        <v>0</v>
      </c>
      <c r="K360">
        <v>0</v>
      </c>
      <c r="L360">
        <v>0</v>
      </c>
      <c r="M360">
        <v>1</v>
      </c>
      <c r="N360">
        <v>4</v>
      </c>
      <c r="O360">
        <v>16.399999999999999</v>
      </c>
      <c r="P360">
        <v>4.4000000000000004</v>
      </c>
      <c r="Q360" t="s">
        <v>39</v>
      </c>
    </row>
    <row r="361" spans="1:17" x14ac:dyDescent="0.3">
      <c r="A361" t="s">
        <v>688</v>
      </c>
      <c r="B361" s="2">
        <v>45971</v>
      </c>
      <c r="C361" t="s">
        <v>26</v>
      </c>
      <c r="D361" t="s">
        <v>126</v>
      </c>
      <c r="E361" t="s">
        <v>48</v>
      </c>
      <c r="F361" t="s">
        <v>689</v>
      </c>
      <c r="G361" t="s">
        <v>22</v>
      </c>
      <c r="J361">
        <v>0</v>
      </c>
      <c r="K361">
        <v>0</v>
      </c>
      <c r="L361">
        <v>0</v>
      </c>
      <c r="M361">
        <v>1</v>
      </c>
      <c r="N361">
        <v>10.199999999999999</v>
      </c>
      <c r="O361">
        <v>4.8</v>
      </c>
      <c r="P361">
        <v>3.9</v>
      </c>
      <c r="Q361" t="s">
        <v>225</v>
      </c>
    </row>
    <row r="362" spans="1:17" x14ac:dyDescent="0.3">
      <c r="A362" t="s">
        <v>690</v>
      </c>
      <c r="B362" s="2">
        <v>46043</v>
      </c>
      <c r="C362" t="s">
        <v>18</v>
      </c>
      <c r="D362" t="s">
        <v>117</v>
      </c>
      <c r="E362" t="s">
        <v>20</v>
      </c>
      <c r="F362" t="s">
        <v>138</v>
      </c>
      <c r="G362" t="s">
        <v>30</v>
      </c>
      <c r="H362" t="s">
        <v>86</v>
      </c>
      <c r="I362" t="s">
        <v>24</v>
      </c>
      <c r="J362">
        <v>1</v>
      </c>
      <c r="K362">
        <v>14300</v>
      </c>
      <c r="L362">
        <v>14300</v>
      </c>
      <c r="N362">
        <v>1.5</v>
      </c>
      <c r="Q362" t="s">
        <v>24</v>
      </c>
    </row>
    <row r="363" spans="1:17" x14ac:dyDescent="0.3">
      <c r="A363" t="s">
        <v>691</v>
      </c>
      <c r="B363" s="2">
        <v>46049</v>
      </c>
      <c r="C363" t="s">
        <v>26</v>
      </c>
      <c r="D363" t="s">
        <v>33</v>
      </c>
      <c r="E363" t="s">
        <v>28</v>
      </c>
      <c r="F363" t="s">
        <v>635</v>
      </c>
      <c r="G363" t="s">
        <v>50</v>
      </c>
      <c r="J363">
        <v>0</v>
      </c>
      <c r="K363">
        <v>0</v>
      </c>
      <c r="L363">
        <v>0</v>
      </c>
      <c r="M363">
        <v>1</v>
      </c>
      <c r="N363">
        <v>8.9</v>
      </c>
      <c r="O363">
        <v>3.6</v>
      </c>
      <c r="P363">
        <v>3.6</v>
      </c>
      <c r="Q363" t="s">
        <v>225</v>
      </c>
    </row>
    <row r="364" spans="1:17" x14ac:dyDescent="0.3">
      <c r="A364" t="s">
        <v>692</v>
      </c>
      <c r="B364" s="2">
        <v>46194</v>
      </c>
      <c r="C364" t="s">
        <v>18</v>
      </c>
      <c r="D364" t="s">
        <v>52</v>
      </c>
      <c r="E364" t="s">
        <v>48</v>
      </c>
      <c r="F364" t="s">
        <v>424</v>
      </c>
      <c r="G364" t="s">
        <v>44</v>
      </c>
      <c r="H364" t="s">
        <v>23</v>
      </c>
      <c r="I364" t="s">
        <v>55</v>
      </c>
      <c r="J364">
        <v>1</v>
      </c>
      <c r="K364">
        <v>11200</v>
      </c>
      <c r="L364">
        <v>0</v>
      </c>
      <c r="N364">
        <v>7.6</v>
      </c>
      <c r="Q364" t="s">
        <v>55</v>
      </c>
    </row>
    <row r="365" spans="1:17" x14ac:dyDescent="0.3">
      <c r="A365" t="s">
        <v>693</v>
      </c>
      <c r="B365" s="2">
        <v>46157</v>
      </c>
      <c r="C365" t="s">
        <v>18</v>
      </c>
      <c r="D365" t="s">
        <v>52</v>
      </c>
      <c r="E365" t="s">
        <v>48</v>
      </c>
      <c r="F365" t="s">
        <v>694</v>
      </c>
      <c r="G365" t="s">
        <v>30</v>
      </c>
      <c r="H365" t="s">
        <v>23</v>
      </c>
      <c r="I365" t="s">
        <v>24</v>
      </c>
      <c r="J365">
        <v>1</v>
      </c>
      <c r="K365">
        <v>23300</v>
      </c>
      <c r="L365">
        <v>23300</v>
      </c>
      <c r="N365">
        <v>14.4</v>
      </c>
      <c r="Q365" t="s">
        <v>24</v>
      </c>
    </row>
    <row r="366" spans="1:17" x14ac:dyDescent="0.3">
      <c r="A366" t="s">
        <v>695</v>
      </c>
      <c r="B366" s="2">
        <v>46025</v>
      </c>
      <c r="C366" t="s">
        <v>26</v>
      </c>
      <c r="D366" t="s">
        <v>114</v>
      </c>
      <c r="E366" t="s">
        <v>37</v>
      </c>
      <c r="F366" t="s">
        <v>696</v>
      </c>
      <c r="G366" t="s">
        <v>30</v>
      </c>
      <c r="J366">
        <v>0</v>
      </c>
      <c r="K366">
        <v>0</v>
      </c>
      <c r="L366">
        <v>0</v>
      </c>
      <c r="M366">
        <v>1</v>
      </c>
      <c r="N366">
        <v>5.9</v>
      </c>
      <c r="O366">
        <v>1.9</v>
      </c>
      <c r="P366">
        <v>4.2</v>
      </c>
      <c r="Q366" t="s">
        <v>62</v>
      </c>
    </row>
    <row r="367" spans="1:17" x14ac:dyDescent="0.3">
      <c r="A367" t="s">
        <v>697</v>
      </c>
      <c r="B367" s="2">
        <v>45910</v>
      </c>
      <c r="C367" t="s">
        <v>18</v>
      </c>
      <c r="D367" t="s">
        <v>47</v>
      </c>
      <c r="E367" t="s">
        <v>28</v>
      </c>
      <c r="F367" t="s">
        <v>621</v>
      </c>
      <c r="G367" t="s">
        <v>30</v>
      </c>
      <c r="H367" t="s">
        <v>86</v>
      </c>
      <c r="I367" t="s">
        <v>67</v>
      </c>
      <c r="J367">
        <v>1</v>
      </c>
      <c r="K367">
        <v>28800</v>
      </c>
      <c r="L367">
        <v>0</v>
      </c>
      <c r="N367">
        <v>20.6</v>
      </c>
      <c r="Q367" t="s">
        <v>67</v>
      </c>
    </row>
    <row r="368" spans="1:17" x14ac:dyDescent="0.3">
      <c r="A368" t="s">
        <v>698</v>
      </c>
      <c r="B368" s="2">
        <v>46142</v>
      </c>
      <c r="C368" t="s">
        <v>26</v>
      </c>
      <c r="D368" t="s">
        <v>27</v>
      </c>
      <c r="E368" t="s">
        <v>20</v>
      </c>
      <c r="F368" t="s">
        <v>699</v>
      </c>
      <c r="G368" t="s">
        <v>22</v>
      </c>
      <c r="J368">
        <v>0</v>
      </c>
      <c r="K368">
        <v>0</v>
      </c>
      <c r="L368">
        <v>0</v>
      </c>
      <c r="M368">
        <v>1</v>
      </c>
      <c r="N368">
        <v>11.2</v>
      </c>
      <c r="O368">
        <v>12.6</v>
      </c>
      <c r="P368">
        <v>4.0999999999999996</v>
      </c>
      <c r="Q368" t="s">
        <v>39</v>
      </c>
    </row>
    <row r="369" spans="1:17" x14ac:dyDescent="0.3">
      <c r="A369" t="s">
        <v>700</v>
      </c>
      <c r="B369" s="2">
        <v>46194</v>
      </c>
      <c r="C369" t="s">
        <v>26</v>
      </c>
      <c r="D369" t="s">
        <v>126</v>
      </c>
      <c r="E369" t="s">
        <v>20</v>
      </c>
      <c r="F369" t="s">
        <v>701</v>
      </c>
      <c r="G369" t="s">
        <v>22</v>
      </c>
      <c r="J369">
        <v>0</v>
      </c>
      <c r="K369">
        <v>0</v>
      </c>
      <c r="L369">
        <v>0</v>
      </c>
      <c r="M369">
        <v>1</v>
      </c>
      <c r="N369">
        <v>11.1</v>
      </c>
      <c r="O369">
        <v>6.2</v>
      </c>
      <c r="P369">
        <v>4.0999999999999996</v>
      </c>
      <c r="Q369" t="s">
        <v>225</v>
      </c>
    </row>
    <row r="370" spans="1:17" x14ac:dyDescent="0.3">
      <c r="A370" t="s">
        <v>702</v>
      </c>
      <c r="B370" s="2">
        <v>45951</v>
      </c>
      <c r="C370" t="s">
        <v>18</v>
      </c>
      <c r="D370" t="s">
        <v>19</v>
      </c>
      <c r="E370" t="s">
        <v>20</v>
      </c>
      <c r="F370" t="s">
        <v>641</v>
      </c>
      <c r="G370" t="s">
        <v>22</v>
      </c>
      <c r="H370" t="s">
        <v>54</v>
      </c>
      <c r="I370" t="s">
        <v>45</v>
      </c>
      <c r="J370">
        <v>1</v>
      </c>
      <c r="K370">
        <v>12500</v>
      </c>
      <c r="L370">
        <v>0</v>
      </c>
      <c r="N370">
        <v>3</v>
      </c>
      <c r="Q370" t="s">
        <v>45</v>
      </c>
    </row>
    <row r="371" spans="1:17" x14ac:dyDescent="0.3">
      <c r="A371" t="s">
        <v>703</v>
      </c>
      <c r="B371" s="2">
        <v>46252</v>
      </c>
      <c r="C371" t="s">
        <v>18</v>
      </c>
      <c r="D371" t="s">
        <v>64</v>
      </c>
      <c r="E371" t="s">
        <v>28</v>
      </c>
      <c r="F371" t="s">
        <v>704</v>
      </c>
      <c r="G371" t="s">
        <v>44</v>
      </c>
      <c r="H371" t="s">
        <v>23</v>
      </c>
      <c r="I371" t="s">
        <v>45</v>
      </c>
      <c r="J371">
        <v>1</v>
      </c>
      <c r="K371">
        <v>20000</v>
      </c>
      <c r="L371">
        <v>0</v>
      </c>
      <c r="N371">
        <v>23.6</v>
      </c>
      <c r="Q371" t="s">
        <v>45</v>
      </c>
    </row>
    <row r="372" spans="1:17" x14ac:dyDescent="0.3">
      <c r="A372" t="s">
        <v>705</v>
      </c>
      <c r="B372" s="2">
        <v>45925</v>
      </c>
      <c r="C372" t="s">
        <v>18</v>
      </c>
      <c r="D372" t="s">
        <v>95</v>
      </c>
      <c r="E372" t="s">
        <v>20</v>
      </c>
      <c r="F372" t="s">
        <v>706</v>
      </c>
      <c r="G372" t="s">
        <v>30</v>
      </c>
      <c r="H372" t="s">
        <v>78</v>
      </c>
      <c r="I372" t="s">
        <v>24</v>
      </c>
      <c r="J372">
        <v>1</v>
      </c>
      <c r="K372">
        <v>36400</v>
      </c>
      <c r="L372">
        <v>36400</v>
      </c>
      <c r="N372">
        <v>6.4</v>
      </c>
      <c r="Q372" t="s">
        <v>24</v>
      </c>
    </row>
    <row r="373" spans="1:17" x14ac:dyDescent="0.3">
      <c r="A373" t="s">
        <v>707</v>
      </c>
      <c r="B373" s="2">
        <v>46075</v>
      </c>
      <c r="C373" t="s">
        <v>18</v>
      </c>
      <c r="D373" t="s">
        <v>95</v>
      </c>
      <c r="E373" t="s">
        <v>20</v>
      </c>
      <c r="F373" t="s">
        <v>88</v>
      </c>
      <c r="G373" t="s">
        <v>30</v>
      </c>
      <c r="H373" t="s">
        <v>78</v>
      </c>
      <c r="I373" t="s">
        <v>67</v>
      </c>
      <c r="J373">
        <v>1</v>
      </c>
      <c r="K373">
        <v>23200</v>
      </c>
      <c r="L373">
        <v>0</v>
      </c>
      <c r="N373">
        <v>8.3000000000000007</v>
      </c>
      <c r="Q373" t="s">
        <v>67</v>
      </c>
    </row>
    <row r="374" spans="1:17" x14ac:dyDescent="0.3">
      <c r="A374" t="s">
        <v>708</v>
      </c>
      <c r="B374" s="2">
        <v>45988</v>
      </c>
      <c r="C374" t="s">
        <v>18</v>
      </c>
      <c r="D374" t="s">
        <v>95</v>
      </c>
      <c r="E374" t="s">
        <v>48</v>
      </c>
      <c r="F374" t="s">
        <v>558</v>
      </c>
      <c r="G374" t="s">
        <v>30</v>
      </c>
      <c r="H374" t="s">
        <v>23</v>
      </c>
      <c r="I374" t="s">
        <v>79</v>
      </c>
      <c r="J374">
        <v>1</v>
      </c>
      <c r="K374">
        <v>25300</v>
      </c>
      <c r="L374">
        <v>0</v>
      </c>
      <c r="N374">
        <v>12.6</v>
      </c>
      <c r="Q374" t="s">
        <v>79</v>
      </c>
    </row>
    <row r="375" spans="1:17" x14ac:dyDescent="0.3">
      <c r="A375" t="s">
        <v>709</v>
      </c>
      <c r="B375" s="2">
        <v>45913</v>
      </c>
      <c r="C375" t="s">
        <v>26</v>
      </c>
      <c r="D375" t="s">
        <v>69</v>
      </c>
      <c r="E375" t="s">
        <v>37</v>
      </c>
      <c r="F375" t="s">
        <v>710</v>
      </c>
      <c r="G375" t="s">
        <v>44</v>
      </c>
      <c r="J375">
        <v>0</v>
      </c>
      <c r="K375">
        <v>0</v>
      </c>
      <c r="L375">
        <v>0</v>
      </c>
      <c r="M375">
        <v>1</v>
      </c>
      <c r="N375">
        <v>3.6</v>
      </c>
      <c r="O375">
        <v>4.8</v>
      </c>
      <c r="P375">
        <v>4.9000000000000004</v>
      </c>
      <c r="Q375" t="s">
        <v>39</v>
      </c>
    </row>
    <row r="376" spans="1:17" x14ac:dyDescent="0.3">
      <c r="A376" t="s">
        <v>711</v>
      </c>
      <c r="B376" s="2">
        <v>46040</v>
      </c>
      <c r="C376" t="s">
        <v>18</v>
      </c>
      <c r="D376" t="s">
        <v>41</v>
      </c>
      <c r="E376" t="s">
        <v>42</v>
      </c>
      <c r="F376" t="s">
        <v>320</v>
      </c>
      <c r="G376" t="s">
        <v>22</v>
      </c>
      <c r="H376" t="s">
        <v>78</v>
      </c>
      <c r="I376" t="s">
        <v>55</v>
      </c>
      <c r="J376">
        <v>1</v>
      </c>
      <c r="K376">
        <v>11900</v>
      </c>
      <c r="L376">
        <v>0</v>
      </c>
      <c r="N376">
        <v>8</v>
      </c>
      <c r="Q376" t="s">
        <v>55</v>
      </c>
    </row>
    <row r="377" spans="1:17" x14ac:dyDescent="0.3">
      <c r="A377" t="s">
        <v>712</v>
      </c>
      <c r="B377" s="2">
        <v>46159</v>
      </c>
      <c r="C377" t="s">
        <v>18</v>
      </c>
      <c r="D377" t="s">
        <v>52</v>
      </c>
      <c r="E377" t="s">
        <v>28</v>
      </c>
      <c r="F377" t="s">
        <v>713</v>
      </c>
      <c r="G377" t="s">
        <v>50</v>
      </c>
      <c r="H377" t="s">
        <v>86</v>
      </c>
      <c r="I377" t="s">
        <v>24</v>
      </c>
      <c r="J377">
        <v>1</v>
      </c>
      <c r="K377">
        <v>51400</v>
      </c>
      <c r="L377">
        <v>51400</v>
      </c>
      <c r="N377">
        <v>16.8</v>
      </c>
      <c r="Q377" t="s">
        <v>24</v>
      </c>
    </row>
    <row r="378" spans="1:17" x14ac:dyDescent="0.3">
      <c r="A378" t="s">
        <v>714</v>
      </c>
      <c r="B378" s="2">
        <v>46027</v>
      </c>
      <c r="C378" t="s">
        <v>26</v>
      </c>
      <c r="D378" t="s">
        <v>232</v>
      </c>
      <c r="E378" t="s">
        <v>37</v>
      </c>
      <c r="F378" t="s">
        <v>254</v>
      </c>
      <c r="G378" t="s">
        <v>30</v>
      </c>
      <c r="J378">
        <v>0</v>
      </c>
      <c r="K378">
        <v>0</v>
      </c>
      <c r="L378">
        <v>0</v>
      </c>
      <c r="M378">
        <v>1</v>
      </c>
      <c r="N378">
        <v>1.6</v>
      </c>
      <c r="O378">
        <v>19.100000000000001</v>
      </c>
      <c r="P378">
        <v>4.2</v>
      </c>
      <c r="Q378" t="s">
        <v>39</v>
      </c>
    </row>
    <row r="379" spans="1:17" x14ac:dyDescent="0.3">
      <c r="A379" t="s">
        <v>715</v>
      </c>
      <c r="B379" s="2">
        <v>45905</v>
      </c>
      <c r="C379" t="s">
        <v>18</v>
      </c>
      <c r="D379" t="s">
        <v>117</v>
      </c>
      <c r="E379" t="s">
        <v>20</v>
      </c>
      <c r="F379" t="s">
        <v>716</v>
      </c>
      <c r="G379" t="s">
        <v>44</v>
      </c>
      <c r="H379" t="s">
        <v>78</v>
      </c>
      <c r="I379" t="s">
        <v>45</v>
      </c>
      <c r="J379">
        <v>1</v>
      </c>
      <c r="K379">
        <v>30800</v>
      </c>
      <c r="L379">
        <v>0</v>
      </c>
      <c r="N379">
        <v>16.2</v>
      </c>
      <c r="Q379" t="s">
        <v>45</v>
      </c>
    </row>
    <row r="380" spans="1:17" x14ac:dyDescent="0.3">
      <c r="A380" t="s">
        <v>717</v>
      </c>
      <c r="B380" s="2">
        <v>46255</v>
      </c>
      <c r="C380" t="s">
        <v>26</v>
      </c>
      <c r="D380" t="s">
        <v>27</v>
      </c>
      <c r="E380" t="s">
        <v>20</v>
      </c>
      <c r="F380" t="s">
        <v>718</v>
      </c>
      <c r="G380" t="s">
        <v>22</v>
      </c>
      <c r="J380">
        <v>0</v>
      </c>
      <c r="K380">
        <v>0</v>
      </c>
      <c r="L380">
        <v>0</v>
      </c>
      <c r="M380">
        <v>1</v>
      </c>
      <c r="N380">
        <v>7.4</v>
      </c>
      <c r="O380">
        <v>6.3</v>
      </c>
      <c r="P380">
        <v>4</v>
      </c>
      <c r="Q380" t="s">
        <v>39</v>
      </c>
    </row>
    <row r="381" spans="1:17" x14ac:dyDescent="0.3">
      <c r="A381" t="s">
        <v>719</v>
      </c>
      <c r="B381" s="2">
        <v>46137</v>
      </c>
      <c r="C381" t="s">
        <v>18</v>
      </c>
      <c r="D381" t="s">
        <v>47</v>
      </c>
      <c r="E381" t="s">
        <v>20</v>
      </c>
      <c r="F381" t="s">
        <v>170</v>
      </c>
      <c r="G381" t="s">
        <v>50</v>
      </c>
      <c r="H381" t="s">
        <v>23</v>
      </c>
      <c r="I381" t="s">
        <v>45</v>
      </c>
      <c r="J381">
        <v>1</v>
      </c>
      <c r="K381">
        <v>14200</v>
      </c>
      <c r="L381">
        <v>0</v>
      </c>
      <c r="N381">
        <v>0.7</v>
      </c>
      <c r="Q381" t="s">
        <v>45</v>
      </c>
    </row>
    <row r="382" spans="1:17" x14ac:dyDescent="0.3">
      <c r="A382" t="s">
        <v>720</v>
      </c>
      <c r="B382" s="2">
        <v>45990</v>
      </c>
      <c r="C382" t="s">
        <v>18</v>
      </c>
      <c r="D382" t="s">
        <v>95</v>
      </c>
      <c r="E382" t="s">
        <v>28</v>
      </c>
      <c r="F382" t="s">
        <v>721</v>
      </c>
      <c r="G382" t="s">
        <v>30</v>
      </c>
      <c r="H382" t="s">
        <v>78</v>
      </c>
      <c r="I382" t="s">
        <v>24</v>
      </c>
      <c r="J382">
        <v>1</v>
      </c>
      <c r="K382">
        <v>46400</v>
      </c>
      <c r="L382">
        <v>46400</v>
      </c>
      <c r="N382">
        <v>15.1</v>
      </c>
      <c r="Q382" t="s">
        <v>24</v>
      </c>
    </row>
    <row r="383" spans="1:17" x14ac:dyDescent="0.3">
      <c r="A383" t="s">
        <v>722</v>
      </c>
      <c r="B383" s="2">
        <v>45999</v>
      </c>
      <c r="C383" t="s">
        <v>26</v>
      </c>
      <c r="D383" t="s">
        <v>36</v>
      </c>
      <c r="E383" t="s">
        <v>20</v>
      </c>
      <c r="F383" t="s">
        <v>88</v>
      </c>
      <c r="G383" t="s">
        <v>30</v>
      </c>
      <c r="J383">
        <v>0</v>
      </c>
      <c r="K383">
        <v>0</v>
      </c>
      <c r="L383">
        <v>0</v>
      </c>
      <c r="M383">
        <v>1</v>
      </c>
      <c r="N383">
        <v>5.9</v>
      </c>
      <c r="O383">
        <v>3.7</v>
      </c>
      <c r="P383">
        <v>5</v>
      </c>
      <c r="Q383" t="s">
        <v>39</v>
      </c>
    </row>
    <row r="384" spans="1:17" x14ac:dyDescent="0.3">
      <c r="A384" t="s">
        <v>723</v>
      </c>
      <c r="B384" s="2">
        <v>46005</v>
      </c>
      <c r="C384" t="s">
        <v>26</v>
      </c>
      <c r="D384" t="s">
        <v>232</v>
      </c>
      <c r="E384" t="s">
        <v>28</v>
      </c>
      <c r="F384" t="s">
        <v>70</v>
      </c>
      <c r="G384" t="s">
        <v>22</v>
      </c>
      <c r="J384">
        <v>0</v>
      </c>
      <c r="K384">
        <v>0</v>
      </c>
      <c r="L384">
        <v>0</v>
      </c>
      <c r="M384">
        <v>1</v>
      </c>
      <c r="N384">
        <v>2.9</v>
      </c>
      <c r="O384">
        <v>2.6</v>
      </c>
      <c r="P384">
        <v>3.5</v>
      </c>
      <c r="Q384" t="s">
        <v>39</v>
      </c>
    </row>
    <row r="385" spans="1:17" x14ac:dyDescent="0.3">
      <c r="A385" t="s">
        <v>724</v>
      </c>
      <c r="B385" s="2">
        <v>45910</v>
      </c>
      <c r="C385" t="s">
        <v>26</v>
      </c>
      <c r="D385" t="s">
        <v>72</v>
      </c>
      <c r="E385" t="s">
        <v>20</v>
      </c>
      <c r="F385" t="s">
        <v>725</v>
      </c>
      <c r="G385" t="s">
        <v>30</v>
      </c>
      <c r="J385">
        <v>0</v>
      </c>
      <c r="K385">
        <v>0</v>
      </c>
      <c r="L385">
        <v>0</v>
      </c>
      <c r="M385">
        <v>1</v>
      </c>
      <c r="N385">
        <v>8.6</v>
      </c>
      <c r="O385">
        <v>8.6999999999999993</v>
      </c>
      <c r="P385">
        <v>4.0999999999999996</v>
      </c>
      <c r="Q385" t="s">
        <v>31</v>
      </c>
    </row>
    <row r="386" spans="1:17" x14ac:dyDescent="0.3">
      <c r="A386" t="s">
        <v>726</v>
      </c>
      <c r="B386" s="2">
        <v>45909</v>
      </c>
      <c r="C386" t="s">
        <v>26</v>
      </c>
      <c r="D386" t="s">
        <v>69</v>
      </c>
      <c r="E386" t="s">
        <v>28</v>
      </c>
      <c r="F386" t="s">
        <v>136</v>
      </c>
      <c r="G386" t="s">
        <v>50</v>
      </c>
      <c r="J386">
        <v>0</v>
      </c>
      <c r="K386">
        <v>0</v>
      </c>
      <c r="L386">
        <v>0</v>
      </c>
      <c r="M386">
        <v>1</v>
      </c>
      <c r="N386">
        <v>2.7</v>
      </c>
      <c r="O386">
        <v>4.5</v>
      </c>
      <c r="P386">
        <v>5</v>
      </c>
      <c r="Q386" t="s">
        <v>39</v>
      </c>
    </row>
    <row r="387" spans="1:17" x14ac:dyDescent="0.3">
      <c r="A387" t="s">
        <v>727</v>
      </c>
      <c r="B387" s="2">
        <v>46155</v>
      </c>
      <c r="C387" t="s">
        <v>26</v>
      </c>
      <c r="D387" t="s">
        <v>27</v>
      </c>
      <c r="E387" t="s">
        <v>20</v>
      </c>
      <c r="F387" t="s">
        <v>99</v>
      </c>
      <c r="G387" t="s">
        <v>22</v>
      </c>
      <c r="J387">
        <v>0</v>
      </c>
      <c r="K387">
        <v>0</v>
      </c>
      <c r="L387">
        <v>0</v>
      </c>
      <c r="M387">
        <v>1</v>
      </c>
      <c r="N387">
        <v>0.8</v>
      </c>
      <c r="O387">
        <v>2.2000000000000002</v>
      </c>
      <c r="P387">
        <v>3.9</v>
      </c>
      <c r="Q387" t="s">
        <v>39</v>
      </c>
    </row>
    <row r="388" spans="1:17" x14ac:dyDescent="0.3">
      <c r="A388" t="s">
        <v>728</v>
      </c>
      <c r="B388" s="2">
        <v>46118</v>
      </c>
      <c r="C388" t="s">
        <v>18</v>
      </c>
      <c r="D388" t="s">
        <v>64</v>
      </c>
      <c r="E388" t="s">
        <v>20</v>
      </c>
      <c r="F388" t="s">
        <v>342</v>
      </c>
      <c r="G388" t="s">
        <v>30</v>
      </c>
      <c r="H388" t="s">
        <v>86</v>
      </c>
      <c r="I388" t="s">
        <v>24</v>
      </c>
      <c r="J388">
        <v>1</v>
      </c>
      <c r="K388">
        <v>35500</v>
      </c>
      <c r="L388">
        <v>35500</v>
      </c>
      <c r="N388">
        <v>6.5</v>
      </c>
      <c r="Q388" t="s">
        <v>24</v>
      </c>
    </row>
    <row r="389" spans="1:17" x14ac:dyDescent="0.3">
      <c r="A389" t="s">
        <v>729</v>
      </c>
      <c r="B389" s="2">
        <v>45949</v>
      </c>
      <c r="C389" t="s">
        <v>18</v>
      </c>
      <c r="D389" t="s">
        <v>19</v>
      </c>
      <c r="E389" t="s">
        <v>37</v>
      </c>
      <c r="F389" t="s">
        <v>730</v>
      </c>
      <c r="G389" t="s">
        <v>30</v>
      </c>
      <c r="H389" t="s">
        <v>23</v>
      </c>
      <c r="I389" t="s">
        <v>79</v>
      </c>
      <c r="J389">
        <v>1</v>
      </c>
      <c r="K389">
        <v>6500</v>
      </c>
      <c r="L389">
        <v>0</v>
      </c>
      <c r="N389">
        <v>10.4</v>
      </c>
      <c r="Q389" t="s">
        <v>79</v>
      </c>
    </row>
    <row r="390" spans="1:17" x14ac:dyDescent="0.3">
      <c r="A390" t="s">
        <v>731</v>
      </c>
      <c r="B390" s="2">
        <v>45998</v>
      </c>
      <c r="C390" t="s">
        <v>26</v>
      </c>
      <c r="D390" t="s">
        <v>27</v>
      </c>
      <c r="E390" t="s">
        <v>28</v>
      </c>
      <c r="F390" t="s">
        <v>732</v>
      </c>
      <c r="G390" t="s">
        <v>30</v>
      </c>
      <c r="J390">
        <v>0</v>
      </c>
      <c r="K390">
        <v>0</v>
      </c>
      <c r="L390">
        <v>0</v>
      </c>
      <c r="M390">
        <v>1</v>
      </c>
      <c r="N390">
        <v>6.5</v>
      </c>
      <c r="O390">
        <v>22.8</v>
      </c>
      <c r="P390">
        <v>3.8</v>
      </c>
      <c r="Q390" t="s">
        <v>31</v>
      </c>
    </row>
    <row r="391" spans="1:17" x14ac:dyDescent="0.3">
      <c r="A391" t="s">
        <v>733</v>
      </c>
      <c r="B391" s="2">
        <v>46095</v>
      </c>
      <c r="C391" t="s">
        <v>26</v>
      </c>
      <c r="D391" t="s">
        <v>114</v>
      </c>
      <c r="E391" t="s">
        <v>37</v>
      </c>
      <c r="F391" t="s">
        <v>734</v>
      </c>
      <c r="G391" t="s">
        <v>50</v>
      </c>
      <c r="J391">
        <v>0</v>
      </c>
      <c r="K391">
        <v>0</v>
      </c>
      <c r="L391">
        <v>0</v>
      </c>
      <c r="M391">
        <v>1</v>
      </c>
      <c r="N391">
        <v>5.2</v>
      </c>
      <c r="O391">
        <v>9.5</v>
      </c>
      <c r="P391">
        <v>4.5999999999999996</v>
      </c>
      <c r="Q391" t="s">
        <v>39</v>
      </c>
    </row>
    <row r="392" spans="1:17" x14ac:dyDescent="0.3">
      <c r="A392" t="s">
        <v>735</v>
      </c>
      <c r="B392" s="2">
        <v>46146</v>
      </c>
      <c r="C392" t="s">
        <v>26</v>
      </c>
      <c r="D392" t="s">
        <v>72</v>
      </c>
      <c r="E392" t="s">
        <v>48</v>
      </c>
      <c r="F392" t="s">
        <v>99</v>
      </c>
      <c r="G392" t="s">
        <v>50</v>
      </c>
      <c r="J392">
        <v>0</v>
      </c>
      <c r="K392">
        <v>0</v>
      </c>
      <c r="L392">
        <v>0</v>
      </c>
      <c r="M392">
        <v>1</v>
      </c>
      <c r="N392">
        <v>6.2</v>
      </c>
      <c r="O392">
        <v>2.2000000000000002</v>
      </c>
      <c r="P392">
        <v>3.9</v>
      </c>
      <c r="Q392" t="s">
        <v>31</v>
      </c>
    </row>
    <row r="393" spans="1:17" x14ac:dyDescent="0.3">
      <c r="A393" t="s">
        <v>736</v>
      </c>
      <c r="B393" s="2">
        <v>45945</v>
      </c>
      <c r="C393" t="s">
        <v>18</v>
      </c>
      <c r="D393" t="s">
        <v>95</v>
      </c>
      <c r="E393" t="s">
        <v>20</v>
      </c>
      <c r="F393" t="s">
        <v>112</v>
      </c>
      <c r="G393" t="s">
        <v>44</v>
      </c>
      <c r="H393" t="s">
        <v>23</v>
      </c>
      <c r="I393" t="s">
        <v>45</v>
      </c>
      <c r="J393">
        <v>1</v>
      </c>
      <c r="K393">
        <v>14100</v>
      </c>
      <c r="L393">
        <v>0</v>
      </c>
      <c r="N393">
        <v>8.3000000000000007</v>
      </c>
      <c r="Q393" t="s">
        <v>45</v>
      </c>
    </row>
    <row r="394" spans="1:17" x14ac:dyDescent="0.3">
      <c r="A394" t="s">
        <v>737</v>
      </c>
      <c r="B394" s="2">
        <v>45934</v>
      </c>
      <c r="C394" t="s">
        <v>18</v>
      </c>
      <c r="D394" t="s">
        <v>52</v>
      </c>
      <c r="E394" t="s">
        <v>28</v>
      </c>
      <c r="F394" t="s">
        <v>738</v>
      </c>
      <c r="G394" t="s">
        <v>22</v>
      </c>
      <c r="H394" t="s">
        <v>78</v>
      </c>
      <c r="I394" t="s">
        <v>55</v>
      </c>
      <c r="J394">
        <v>1</v>
      </c>
      <c r="K394">
        <v>15300</v>
      </c>
      <c r="L394">
        <v>0</v>
      </c>
      <c r="N394">
        <v>11.1</v>
      </c>
      <c r="Q394" t="s">
        <v>55</v>
      </c>
    </row>
    <row r="395" spans="1:17" x14ac:dyDescent="0.3">
      <c r="A395" t="s">
        <v>739</v>
      </c>
      <c r="B395" s="2">
        <v>45910</v>
      </c>
      <c r="C395" t="s">
        <v>26</v>
      </c>
      <c r="D395" t="s">
        <v>33</v>
      </c>
      <c r="E395" t="s">
        <v>37</v>
      </c>
      <c r="F395" t="s">
        <v>740</v>
      </c>
      <c r="G395" t="s">
        <v>22</v>
      </c>
      <c r="J395">
        <v>0</v>
      </c>
      <c r="K395">
        <v>0</v>
      </c>
      <c r="L395">
        <v>0</v>
      </c>
      <c r="M395">
        <v>1</v>
      </c>
      <c r="N395">
        <v>1.3</v>
      </c>
      <c r="O395">
        <v>14</v>
      </c>
      <c r="P395">
        <v>3.4</v>
      </c>
      <c r="Q395" t="s">
        <v>39</v>
      </c>
    </row>
    <row r="396" spans="1:17" x14ac:dyDescent="0.3">
      <c r="A396" t="s">
        <v>741</v>
      </c>
      <c r="B396" s="2">
        <v>46113</v>
      </c>
      <c r="C396" t="s">
        <v>18</v>
      </c>
      <c r="D396" t="s">
        <v>117</v>
      </c>
      <c r="E396" t="s">
        <v>20</v>
      </c>
      <c r="F396" t="s">
        <v>742</v>
      </c>
      <c r="G396" t="s">
        <v>22</v>
      </c>
      <c r="H396" t="s">
        <v>23</v>
      </c>
      <c r="I396" t="s">
        <v>45</v>
      </c>
      <c r="J396">
        <v>1</v>
      </c>
      <c r="K396">
        <v>20900</v>
      </c>
      <c r="L396">
        <v>0</v>
      </c>
      <c r="N396">
        <v>7.3</v>
      </c>
      <c r="Q396" t="s">
        <v>45</v>
      </c>
    </row>
    <row r="397" spans="1:17" x14ac:dyDescent="0.3">
      <c r="A397" t="s">
        <v>743</v>
      </c>
      <c r="B397" s="2">
        <v>46206</v>
      </c>
      <c r="C397" t="s">
        <v>26</v>
      </c>
      <c r="D397" t="s">
        <v>126</v>
      </c>
      <c r="E397" t="s">
        <v>20</v>
      </c>
      <c r="F397" t="s">
        <v>744</v>
      </c>
      <c r="G397" t="s">
        <v>30</v>
      </c>
      <c r="J397">
        <v>0</v>
      </c>
      <c r="K397">
        <v>0</v>
      </c>
      <c r="L397">
        <v>0</v>
      </c>
      <c r="M397">
        <v>1</v>
      </c>
      <c r="N397">
        <v>6.5</v>
      </c>
      <c r="O397">
        <v>1.6</v>
      </c>
      <c r="P397">
        <v>4.5999999999999996</v>
      </c>
      <c r="Q397" t="s">
        <v>31</v>
      </c>
    </row>
    <row r="398" spans="1:17" x14ac:dyDescent="0.3">
      <c r="A398" t="s">
        <v>745</v>
      </c>
      <c r="B398" s="2">
        <v>45971</v>
      </c>
      <c r="C398" t="s">
        <v>26</v>
      </c>
      <c r="D398" t="s">
        <v>27</v>
      </c>
      <c r="E398" t="s">
        <v>20</v>
      </c>
      <c r="F398" t="s">
        <v>81</v>
      </c>
      <c r="G398" t="s">
        <v>50</v>
      </c>
      <c r="J398">
        <v>0</v>
      </c>
      <c r="K398">
        <v>0</v>
      </c>
      <c r="L398">
        <v>0</v>
      </c>
      <c r="M398">
        <v>1</v>
      </c>
      <c r="N398">
        <v>11.5</v>
      </c>
      <c r="O398">
        <v>1</v>
      </c>
      <c r="P398">
        <v>3.7</v>
      </c>
      <c r="Q398" t="s">
        <v>39</v>
      </c>
    </row>
    <row r="399" spans="1:17" x14ac:dyDescent="0.3">
      <c r="A399" t="s">
        <v>746</v>
      </c>
      <c r="B399" s="2">
        <v>46056</v>
      </c>
      <c r="C399" t="s">
        <v>18</v>
      </c>
      <c r="D399" t="s">
        <v>105</v>
      </c>
      <c r="E399" t="s">
        <v>20</v>
      </c>
      <c r="F399" t="s">
        <v>320</v>
      </c>
      <c r="G399" t="s">
        <v>22</v>
      </c>
      <c r="H399" t="s">
        <v>23</v>
      </c>
      <c r="I399" t="s">
        <v>45</v>
      </c>
      <c r="J399">
        <v>1</v>
      </c>
      <c r="K399">
        <v>33800</v>
      </c>
      <c r="L399">
        <v>0</v>
      </c>
      <c r="N399">
        <v>24</v>
      </c>
      <c r="Q399" t="s">
        <v>45</v>
      </c>
    </row>
    <row r="400" spans="1:17" x14ac:dyDescent="0.3">
      <c r="A400" t="s">
        <v>747</v>
      </c>
      <c r="B400" s="2">
        <v>46177</v>
      </c>
      <c r="C400" t="s">
        <v>26</v>
      </c>
      <c r="D400" t="s">
        <v>69</v>
      </c>
      <c r="E400" t="s">
        <v>20</v>
      </c>
      <c r="F400" t="s">
        <v>748</v>
      </c>
      <c r="G400" t="s">
        <v>44</v>
      </c>
      <c r="J400">
        <v>0</v>
      </c>
      <c r="K400">
        <v>0</v>
      </c>
      <c r="L400">
        <v>0</v>
      </c>
      <c r="M400">
        <v>1</v>
      </c>
      <c r="N400">
        <v>4.4000000000000004</v>
      </c>
      <c r="O400">
        <v>6.3</v>
      </c>
      <c r="P400">
        <v>5</v>
      </c>
      <c r="Q400" t="s">
        <v>39</v>
      </c>
    </row>
    <row r="401" spans="1:17" x14ac:dyDescent="0.3">
      <c r="A401" t="s">
        <v>749</v>
      </c>
      <c r="B401" s="2">
        <v>45987</v>
      </c>
      <c r="C401" t="s">
        <v>26</v>
      </c>
      <c r="D401" t="s">
        <v>232</v>
      </c>
      <c r="E401" t="s">
        <v>28</v>
      </c>
      <c r="F401" t="s">
        <v>750</v>
      </c>
      <c r="G401" t="s">
        <v>50</v>
      </c>
      <c r="J401">
        <v>0</v>
      </c>
      <c r="K401">
        <v>0</v>
      </c>
      <c r="L401">
        <v>0</v>
      </c>
      <c r="M401">
        <v>1</v>
      </c>
      <c r="N401">
        <v>8.1999999999999993</v>
      </c>
      <c r="O401">
        <v>16.600000000000001</v>
      </c>
      <c r="P401">
        <v>5</v>
      </c>
      <c r="Q401" t="s">
        <v>31</v>
      </c>
    </row>
    <row r="402" spans="1:17" x14ac:dyDescent="0.3">
      <c r="A402" t="s">
        <v>751</v>
      </c>
      <c r="B402" s="2">
        <v>46229</v>
      </c>
      <c r="C402" t="s">
        <v>18</v>
      </c>
      <c r="D402" t="s">
        <v>105</v>
      </c>
      <c r="E402" t="s">
        <v>20</v>
      </c>
      <c r="F402" t="s">
        <v>752</v>
      </c>
      <c r="G402" t="s">
        <v>44</v>
      </c>
      <c r="H402" t="s">
        <v>54</v>
      </c>
      <c r="I402" t="s">
        <v>89</v>
      </c>
      <c r="J402">
        <v>1</v>
      </c>
      <c r="K402">
        <v>30800</v>
      </c>
      <c r="L402">
        <v>0</v>
      </c>
      <c r="N402">
        <v>2.8</v>
      </c>
      <c r="Q402" t="s">
        <v>89</v>
      </c>
    </row>
    <row r="403" spans="1:17" x14ac:dyDescent="0.3">
      <c r="A403" t="s">
        <v>753</v>
      </c>
      <c r="B403" s="2">
        <v>46097</v>
      </c>
      <c r="C403" t="s">
        <v>26</v>
      </c>
      <c r="D403" t="s">
        <v>33</v>
      </c>
      <c r="E403" t="s">
        <v>20</v>
      </c>
      <c r="F403" t="s">
        <v>754</v>
      </c>
      <c r="G403" t="s">
        <v>22</v>
      </c>
      <c r="J403">
        <v>0</v>
      </c>
      <c r="K403">
        <v>0</v>
      </c>
      <c r="L403">
        <v>0</v>
      </c>
      <c r="M403">
        <v>1</v>
      </c>
      <c r="N403">
        <v>3.3</v>
      </c>
      <c r="O403">
        <v>6</v>
      </c>
      <c r="P403">
        <v>3.9</v>
      </c>
      <c r="Q403" t="s">
        <v>39</v>
      </c>
    </row>
    <row r="404" spans="1:17" x14ac:dyDescent="0.3">
      <c r="A404" t="s">
        <v>755</v>
      </c>
      <c r="B404" s="2">
        <v>46111</v>
      </c>
      <c r="C404" t="s">
        <v>18</v>
      </c>
      <c r="D404" t="s">
        <v>19</v>
      </c>
      <c r="E404" t="s">
        <v>48</v>
      </c>
      <c r="F404" t="s">
        <v>756</v>
      </c>
      <c r="G404" t="s">
        <v>22</v>
      </c>
      <c r="H404" t="s">
        <v>86</v>
      </c>
      <c r="I404" t="s">
        <v>45</v>
      </c>
      <c r="J404">
        <v>1</v>
      </c>
      <c r="K404">
        <v>14000</v>
      </c>
      <c r="L404">
        <v>0</v>
      </c>
      <c r="N404">
        <v>8.6999999999999993</v>
      </c>
      <c r="Q404" t="s">
        <v>45</v>
      </c>
    </row>
    <row r="405" spans="1:17" x14ac:dyDescent="0.3">
      <c r="A405" t="s">
        <v>757</v>
      </c>
      <c r="B405" s="2">
        <v>46152</v>
      </c>
      <c r="C405" t="s">
        <v>26</v>
      </c>
      <c r="D405" t="s">
        <v>36</v>
      </c>
      <c r="E405" t="s">
        <v>20</v>
      </c>
      <c r="F405" t="s">
        <v>230</v>
      </c>
      <c r="G405" t="s">
        <v>30</v>
      </c>
      <c r="J405">
        <v>0</v>
      </c>
      <c r="K405">
        <v>0</v>
      </c>
      <c r="L405">
        <v>0</v>
      </c>
      <c r="M405">
        <v>1</v>
      </c>
      <c r="N405">
        <v>9.6</v>
      </c>
      <c r="O405">
        <v>3.9</v>
      </c>
      <c r="P405">
        <v>5</v>
      </c>
      <c r="Q405" t="s">
        <v>39</v>
      </c>
    </row>
    <row r="406" spans="1:17" x14ac:dyDescent="0.3">
      <c r="A406" t="s">
        <v>758</v>
      </c>
      <c r="B406" s="2">
        <v>46009</v>
      </c>
      <c r="C406" t="s">
        <v>18</v>
      </c>
      <c r="D406" t="s">
        <v>64</v>
      </c>
      <c r="E406" t="s">
        <v>48</v>
      </c>
      <c r="F406" t="s">
        <v>759</v>
      </c>
      <c r="G406" t="s">
        <v>30</v>
      </c>
      <c r="H406" t="s">
        <v>23</v>
      </c>
      <c r="I406" t="s">
        <v>67</v>
      </c>
      <c r="J406">
        <v>1</v>
      </c>
      <c r="K406">
        <v>31900</v>
      </c>
      <c r="L406">
        <v>0</v>
      </c>
      <c r="N406">
        <v>13.9</v>
      </c>
      <c r="Q406" t="s">
        <v>67</v>
      </c>
    </row>
    <row r="407" spans="1:17" x14ac:dyDescent="0.3">
      <c r="A407" t="s">
        <v>760</v>
      </c>
      <c r="B407" s="2">
        <v>45918</v>
      </c>
      <c r="C407" t="s">
        <v>26</v>
      </c>
      <c r="D407" t="s">
        <v>27</v>
      </c>
      <c r="E407" t="s">
        <v>37</v>
      </c>
      <c r="F407" t="s">
        <v>761</v>
      </c>
      <c r="G407" t="s">
        <v>30</v>
      </c>
      <c r="J407">
        <v>0</v>
      </c>
      <c r="K407">
        <v>0</v>
      </c>
      <c r="L407">
        <v>0</v>
      </c>
      <c r="M407">
        <v>1</v>
      </c>
      <c r="N407">
        <v>11.1</v>
      </c>
      <c r="O407">
        <v>3.6</v>
      </c>
      <c r="P407">
        <v>4.0999999999999996</v>
      </c>
      <c r="Q407" t="s">
        <v>39</v>
      </c>
    </row>
    <row r="408" spans="1:17" x14ac:dyDescent="0.3">
      <c r="A408" t="s">
        <v>762</v>
      </c>
      <c r="B408" s="2">
        <v>46101</v>
      </c>
      <c r="C408" t="s">
        <v>18</v>
      </c>
      <c r="D408" t="s">
        <v>64</v>
      </c>
      <c r="E408" t="s">
        <v>20</v>
      </c>
      <c r="F408" t="s">
        <v>763</v>
      </c>
      <c r="G408" t="s">
        <v>22</v>
      </c>
      <c r="H408" t="s">
        <v>66</v>
      </c>
      <c r="I408" t="s">
        <v>45</v>
      </c>
      <c r="J408">
        <v>1</v>
      </c>
      <c r="K408">
        <v>72800</v>
      </c>
      <c r="L408">
        <v>0</v>
      </c>
      <c r="N408">
        <v>21.5</v>
      </c>
      <c r="Q408" t="s">
        <v>45</v>
      </c>
    </row>
    <row r="409" spans="1:17" x14ac:dyDescent="0.3">
      <c r="A409" t="s">
        <v>764</v>
      </c>
      <c r="B409" s="2">
        <v>46104</v>
      </c>
      <c r="C409" t="s">
        <v>18</v>
      </c>
      <c r="D409" t="s">
        <v>105</v>
      </c>
      <c r="E409" t="s">
        <v>20</v>
      </c>
      <c r="F409" t="s">
        <v>481</v>
      </c>
      <c r="G409" t="s">
        <v>44</v>
      </c>
      <c r="H409" t="s">
        <v>23</v>
      </c>
      <c r="I409" t="s">
        <v>55</v>
      </c>
      <c r="J409">
        <v>1</v>
      </c>
      <c r="K409">
        <v>19900</v>
      </c>
      <c r="L409">
        <v>0</v>
      </c>
      <c r="N409">
        <v>8.8000000000000007</v>
      </c>
      <c r="Q409" t="s">
        <v>55</v>
      </c>
    </row>
    <row r="410" spans="1:17" x14ac:dyDescent="0.3">
      <c r="A410" t="s">
        <v>765</v>
      </c>
      <c r="B410" s="2">
        <v>46085</v>
      </c>
      <c r="C410" t="s">
        <v>26</v>
      </c>
      <c r="D410" t="s">
        <v>36</v>
      </c>
      <c r="E410" t="s">
        <v>20</v>
      </c>
      <c r="F410" t="s">
        <v>766</v>
      </c>
      <c r="G410" t="s">
        <v>44</v>
      </c>
      <c r="J410">
        <v>0</v>
      </c>
      <c r="K410">
        <v>0</v>
      </c>
      <c r="L410">
        <v>0</v>
      </c>
      <c r="M410">
        <v>1</v>
      </c>
      <c r="N410">
        <v>0.2</v>
      </c>
      <c r="O410">
        <v>7.8</v>
      </c>
      <c r="P410">
        <v>3.7</v>
      </c>
      <c r="Q410" t="s">
        <v>31</v>
      </c>
    </row>
    <row r="411" spans="1:17" x14ac:dyDescent="0.3">
      <c r="A411" t="s">
        <v>767</v>
      </c>
      <c r="B411" s="2">
        <v>46008</v>
      </c>
      <c r="C411" t="s">
        <v>18</v>
      </c>
      <c r="D411" t="s">
        <v>105</v>
      </c>
      <c r="E411" t="s">
        <v>42</v>
      </c>
      <c r="F411" t="s">
        <v>754</v>
      </c>
      <c r="G411" t="s">
        <v>44</v>
      </c>
      <c r="H411" t="s">
        <v>54</v>
      </c>
      <c r="I411" t="s">
        <v>67</v>
      </c>
      <c r="J411">
        <v>1</v>
      </c>
      <c r="K411">
        <v>72900</v>
      </c>
      <c r="L411">
        <v>0</v>
      </c>
      <c r="N411">
        <v>2.6</v>
      </c>
      <c r="Q411" t="s">
        <v>67</v>
      </c>
    </row>
    <row r="412" spans="1:17" x14ac:dyDescent="0.3">
      <c r="A412" t="s">
        <v>768</v>
      </c>
      <c r="B412" s="2">
        <v>46019</v>
      </c>
      <c r="C412" t="s">
        <v>18</v>
      </c>
      <c r="D412" t="s">
        <v>19</v>
      </c>
      <c r="E412" t="s">
        <v>20</v>
      </c>
      <c r="F412" t="s">
        <v>769</v>
      </c>
      <c r="G412" t="s">
        <v>22</v>
      </c>
      <c r="H412" t="s">
        <v>66</v>
      </c>
      <c r="I412" t="s">
        <v>45</v>
      </c>
      <c r="J412">
        <v>1</v>
      </c>
      <c r="K412">
        <v>45200</v>
      </c>
      <c r="L412">
        <v>0</v>
      </c>
      <c r="N412">
        <v>10.3</v>
      </c>
      <c r="Q412" t="s">
        <v>45</v>
      </c>
    </row>
    <row r="413" spans="1:17" x14ac:dyDescent="0.3">
      <c r="A413" t="s">
        <v>770</v>
      </c>
      <c r="B413" s="2">
        <v>45903</v>
      </c>
      <c r="C413" t="s">
        <v>26</v>
      </c>
      <c r="D413" t="s">
        <v>69</v>
      </c>
      <c r="E413" t="s">
        <v>20</v>
      </c>
      <c r="F413" t="s">
        <v>771</v>
      </c>
      <c r="G413" t="s">
        <v>22</v>
      </c>
      <c r="J413">
        <v>0</v>
      </c>
      <c r="K413">
        <v>0</v>
      </c>
      <c r="L413">
        <v>0</v>
      </c>
      <c r="M413">
        <v>1</v>
      </c>
      <c r="N413">
        <v>2.5</v>
      </c>
      <c r="O413">
        <v>16.2</v>
      </c>
      <c r="P413">
        <v>4.5</v>
      </c>
      <c r="Q413" t="s">
        <v>62</v>
      </c>
    </row>
    <row r="414" spans="1:17" x14ac:dyDescent="0.3">
      <c r="A414" t="s">
        <v>772</v>
      </c>
      <c r="B414" s="2">
        <v>45904</v>
      </c>
      <c r="C414" t="s">
        <v>26</v>
      </c>
      <c r="D414" t="s">
        <v>114</v>
      </c>
      <c r="E414" t="s">
        <v>20</v>
      </c>
      <c r="F414" t="s">
        <v>773</v>
      </c>
      <c r="G414" t="s">
        <v>22</v>
      </c>
      <c r="J414">
        <v>0</v>
      </c>
      <c r="K414">
        <v>0</v>
      </c>
      <c r="L414">
        <v>0</v>
      </c>
      <c r="M414">
        <v>1</v>
      </c>
      <c r="N414">
        <v>9.1</v>
      </c>
      <c r="O414">
        <v>3.5</v>
      </c>
      <c r="P414">
        <v>3</v>
      </c>
      <c r="Q414" t="s">
        <v>31</v>
      </c>
    </row>
    <row r="415" spans="1:17" x14ac:dyDescent="0.3">
      <c r="A415" t="s">
        <v>774</v>
      </c>
      <c r="B415" s="2">
        <v>46052</v>
      </c>
      <c r="C415" t="s">
        <v>26</v>
      </c>
      <c r="D415" t="s">
        <v>27</v>
      </c>
      <c r="E415" t="s">
        <v>42</v>
      </c>
      <c r="F415" t="s">
        <v>75</v>
      </c>
      <c r="G415" t="s">
        <v>22</v>
      </c>
      <c r="J415">
        <v>0</v>
      </c>
      <c r="K415">
        <v>0</v>
      </c>
      <c r="L415">
        <v>0</v>
      </c>
      <c r="M415">
        <v>1</v>
      </c>
      <c r="N415">
        <v>0.9</v>
      </c>
      <c r="O415">
        <v>3.5</v>
      </c>
      <c r="P415">
        <v>4.0999999999999996</v>
      </c>
      <c r="Q415" t="s">
        <v>62</v>
      </c>
    </row>
    <row r="416" spans="1:17" x14ac:dyDescent="0.3">
      <c r="A416" t="s">
        <v>775</v>
      </c>
      <c r="B416" s="2">
        <v>46196</v>
      </c>
      <c r="C416" t="s">
        <v>26</v>
      </c>
      <c r="D416" t="s">
        <v>69</v>
      </c>
      <c r="E416" t="s">
        <v>20</v>
      </c>
      <c r="F416" t="s">
        <v>203</v>
      </c>
      <c r="G416" t="s">
        <v>30</v>
      </c>
      <c r="J416">
        <v>0</v>
      </c>
      <c r="K416">
        <v>0</v>
      </c>
      <c r="L416">
        <v>0</v>
      </c>
      <c r="M416">
        <v>1</v>
      </c>
      <c r="N416">
        <v>2.2999999999999998</v>
      </c>
      <c r="O416">
        <v>11.2</v>
      </c>
      <c r="P416">
        <v>3.4</v>
      </c>
      <c r="Q416" t="s">
        <v>31</v>
      </c>
    </row>
    <row r="417" spans="1:17" x14ac:dyDescent="0.3">
      <c r="A417" t="s">
        <v>776</v>
      </c>
      <c r="B417" s="2">
        <v>45977</v>
      </c>
      <c r="C417" t="s">
        <v>18</v>
      </c>
      <c r="D417" t="s">
        <v>64</v>
      </c>
      <c r="E417" t="s">
        <v>20</v>
      </c>
      <c r="F417" t="s">
        <v>777</v>
      </c>
      <c r="G417" t="s">
        <v>30</v>
      </c>
      <c r="H417" t="s">
        <v>86</v>
      </c>
      <c r="I417" t="s">
        <v>55</v>
      </c>
      <c r="J417">
        <v>1</v>
      </c>
      <c r="K417">
        <v>8500</v>
      </c>
      <c r="L417">
        <v>0</v>
      </c>
      <c r="N417">
        <v>20.8</v>
      </c>
      <c r="Q417" t="s">
        <v>55</v>
      </c>
    </row>
    <row r="418" spans="1:17" x14ac:dyDescent="0.3">
      <c r="A418" t="s">
        <v>778</v>
      </c>
      <c r="B418" s="2">
        <v>46116</v>
      </c>
      <c r="C418" t="s">
        <v>18</v>
      </c>
      <c r="D418" t="s">
        <v>105</v>
      </c>
      <c r="E418" t="s">
        <v>42</v>
      </c>
      <c r="F418" t="s">
        <v>264</v>
      </c>
      <c r="G418" t="s">
        <v>22</v>
      </c>
      <c r="H418" t="s">
        <v>23</v>
      </c>
      <c r="I418" t="s">
        <v>67</v>
      </c>
      <c r="J418">
        <v>1</v>
      </c>
      <c r="K418">
        <v>5000</v>
      </c>
      <c r="L418">
        <v>0</v>
      </c>
      <c r="N418">
        <v>9.8000000000000007</v>
      </c>
      <c r="Q418" t="s">
        <v>67</v>
      </c>
    </row>
    <row r="419" spans="1:17" x14ac:dyDescent="0.3">
      <c r="A419" t="s">
        <v>779</v>
      </c>
      <c r="B419" s="2">
        <v>46236</v>
      </c>
      <c r="C419" t="s">
        <v>18</v>
      </c>
      <c r="D419" t="s">
        <v>64</v>
      </c>
      <c r="E419" t="s">
        <v>48</v>
      </c>
      <c r="F419" t="s">
        <v>101</v>
      </c>
      <c r="G419" t="s">
        <v>30</v>
      </c>
      <c r="H419" t="s">
        <v>23</v>
      </c>
      <c r="I419" t="s">
        <v>24</v>
      </c>
      <c r="J419">
        <v>1</v>
      </c>
      <c r="K419">
        <v>84900</v>
      </c>
      <c r="L419">
        <v>84900</v>
      </c>
      <c r="N419">
        <v>4.5999999999999996</v>
      </c>
      <c r="Q419" t="s">
        <v>24</v>
      </c>
    </row>
    <row r="420" spans="1:17" x14ac:dyDescent="0.3">
      <c r="A420" t="s">
        <v>780</v>
      </c>
      <c r="B420" s="2">
        <v>46262</v>
      </c>
      <c r="C420" t="s">
        <v>26</v>
      </c>
      <c r="D420" t="s">
        <v>33</v>
      </c>
      <c r="E420" t="s">
        <v>37</v>
      </c>
      <c r="F420" t="s">
        <v>781</v>
      </c>
      <c r="G420" t="s">
        <v>22</v>
      </c>
      <c r="J420">
        <v>0</v>
      </c>
      <c r="K420">
        <v>0</v>
      </c>
      <c r="L420">
        <v>0</v>
      </c>
      <c r="M420">
        <v>1</v>
      </c>
      <c r="N420">
        <v>5.4</v>
      </c>
      <c r="O420">
        <v>6.5</v>
      </c>
      <c r="P420">
        <v>4.4000000000000004</v>
      </c>
      <c r="Q420" t="s">
        <v>39</v>
      </c>
    </row>
    <row r="421" spans="1:17" x14ac:dyDescent="0.3">
      <c r="A421" t="s">
        <v>782</v>
      </c>
      <c r="B421" s="2">
        <v>45920</v>
      </c>
      <c r="C421" t="s">
        <v>26</v>
      </c>
      <c r="D421" t="s">
        <v>114</v>
      </c>
      <c r="E421" t="s">
        <v>20</v>
      </c>
      <c r="F421" t="s">
        <v>783</v>
      </c>
      <c r="G421" t="s">
        <v>30</v>
      </c>
      <c r="J421">
        <v>0</v>
      </c>
      <c r="K421">
        <v>0</v>
      </c>
      <c r="L421">
        <v>0</v>
      </c>
      <c r="M421">
        <v>1</v>
      </c>
      <c r="N421">
        <v>3.6</v>
      </c>
      <c r="O421">
        <v>6.6</v>
      </c>
      <c r="P421">
        <v>3.2</v>
      </c>
      <c r="Q421" t="s">
        <v>39</v>
      </c>
    </row>
    <row r="422" spans="1:17" x14ac:dyDescent="0.3">
      <c r="A422" t="s">
        <v>784</v>
      </c>
      <c r="B422" s="2">
        <v>46138</v>
      </c>
      <c r="C422" t="s">
        <v>26</v>
      </c>
      <c r="D422" t="s">
        <v>33</v>
      </c>
      <c r="E422" t="s">
        <v>28</v>
      </c>
      <c r="F422" t="s">
        <v>785</v>
      </c>
      <c r="G422" t="s">
        <v>44</v>
      </c>
      <c r="J422">
        <v>0</v>
      </c>
      <c r="K422">
        <v>0</v>
      </c>
      <c r="L422">
        <v>0</v>
      </c>
      <c r="M422">
        <v>1</v>
      </c>
      <c r="N422">
        <v>1.5</v>
      </c>
      <c r="O422">
        <v>9.9</v>
      </c>
      <c r="P422">
        <v>4.9000000000000004</v>
      </c>
      <c r="Q422" t="s">
        <v>62</v>
      </c>
    </row>
    <row r="423" spans="1:17" x14ac:dyDescent="0.3">
      <c r="A423" t="s">
        <v>786</v>
      </c>
      <c r="B423" s="2">
        <v>45952</v>
      </c>
      <c r="C423" t="s">
        <v>26</v>
      </c>
      <c r="D423" t="s">
        <v>72</v>
      </c>
      <c r="E423" t="s">
        <v>20</v>
      </c>
      <c r="F423" t="s">
        <v>419</v>
      </c>
      <c r="G423" t="s">
        <v>22</v>
      </c>
      <c r="J423">
        <v>0</v>
      </c>
      <c r="K423">
        <v>0</v>
      </c>
      <c r="L423">
        <v>0</v>
      </c>
      <c r="M423">
        <v>1</v>
      </c>
      <c r="N423">
        <v>9.9</v>
      </c>
      <c r="O423">
        <v>7.4</v>
      </c>
      <c r="P423">
        <v>2.7</v>
      </c>
      <c r="Q423" t="s">
        <v>39</v>
      </c>
    </row>
    <row r="424" spans="1:17" x14ac:dyDescent="0.3">
      <c r="A424" t="s">
        <v>787</v>
      </c>
      <c r="B424" s="2">
        <v>46023</v>
      </c>
      <c r="C424" t="s">
        <v>18</v>
      </c>
      <c r="D424" t="s">
        <v>105</v>
      </c>
      <c r="E424" t="s">
        <v>37</v>
      </c>
      <c r="F424" t="s">
        <v>761</v>
      </c>
      <c r="G424" t="s">
        <v>22</v>
      </c>
      <c r="H424" t="s">
        <v>23</v>
      </c>
      <c r="I424" t="s">
        <v>55</v>
      </c>
      <c r="J424">
        <v>1</v>
      </c>
      <c r="K424">
        <v>23400</v>
      </c>
      <c r="L424">
        <v>0</v>
      </c>
      <c r="N424">
        <v>11.5</v>
      </c>
      <c r="Q424" t="s">
        <v>55</v>
      </c>
    </row>
    <row r="425" spans="1:17" x14ac:dyDescent="0.3">
      <c r="A425" t="s">
        <v>788</v>
      </c>
      <c r="B425" s="2">
        <v>46215</v>
      </c>
      <c r="C425" t="s">
        <v>18</v>
      </c>
      <c r="D425" t="s">
        <v>117</v>
      </c>
      <c r="E425" t="s">
        <v>42</v>
      </c>
      <c r="F425" t="s">
        <v>789</v>
      </c>
      <c r="G425" t="s">
        <v>44</v>
      </c>
      <c r="H425" t="s">
        <v>23</v>
      </c>
      <c r="I425" t="s">
        <v>24</v>
      </c>
      <c r="J425">
        <v>1</v>
      </c>
      <c r="K425">
        <v>48600</v>
      </c>
      <c r="L425">
        <v>48600</v>
      </c>
      <c r="N425">
        <v>7.9</v>
      </c>
      <c r="Q425" t="s">
        <v>24</v>
      </c>
    </row>
    <row r="426" spans="1:17" x14ac:dyDescent="0.3">
      <c r="A426" t="s">
        <v>790</v>
      </c>
      <c r="B426" s="2">
        <v>46028</v>
      </c>
      <c r="C426" t="s">
        <v>18</v>
      </c>
      <c r="D426" t="s">
        <v>117</v>
      </c>
      <c r="E426" t="s">
        <v>20</v>
      </c>
      <c r="F426" t="s">
        <v>73</v>
      </c>
      <c r="G426" t="s">
        <v>30</v>
      </c>
      <c r="H426" t="s">
        <v>23</v>
      </c>
      <c r="I426" t="s">
        <v>24</v>
      </c>
      <c r="J426">
        <v>1</v>
      </c>
      <c r="K426">
        <v>21300</v>
      </c>
      <c r="L426">
        <v>21300</v>
      </c>
      <c r="N426">
        <v>12.4</v>
      </c>
      <c r="Q426" t="s">
        <v>24</v>
      </c>
    </row>
    <row r="427" spans="1:17" x14ac:dyDescent="0.3">
      <c r="A427" t="s">
        <v>791</v>
      </c>
      <c r="B427" s="2">
        <v>46047</v>
      </c>
      <c r="C427" t="s">
        <v>18</v>
      </c>
      <c r="D427" t="s">
        <v>19</v>
      </c>
      <c r="E427" t="s">
        <v>37</v>
      </c>
      <c r="F427" t="s">
        <v>572</v>
      </c>
      <c r="G427" t="s">
        <v>22</v>
      </c>
      <c r="H427" t="s">
        <v>54</v>
      </c>
      <c r="I427" t="s">
        <v>79</v>
      </c>
      <c r="J427">
        <v>1</v>
      </c>
      <c r="K427">
        <v>31600</v>
      </c>
      <c r="L427">
        <v>0</v>
      </c>
      <c r="N427">
        <v>6.7</v>
      </c>
      <c r="Q427" t="s">
        <v>79</v>
      </c>
    </row>
    <row r="428" spans="1:17" x14ac:dyDescent="0.3">
      <c r="A428" t="s">
        <v>792</v>
      </c>
      <c r="B428" s="2">
        <v>45964</v>
      </c>
      <c r="C428" t="s">
        <v>18</v>
      </c>
      <c r="D428" t="s">
        <v>41</v>
      </c>
      <c r="E428" t="s">
        <v>48</v>
      </c>
      <c r="F428" t="s">
        <v>793</v>
      </c>
      <c r="G428" t="s">
        <v>22</v>
      </c>
      <c r="H428" t="s">
        <v>66</v>
      </c>
      <c r="I428" t="s">
        <v>89</v>
      </c>
      <c r="J428">
        <v>1</v>
      </c>
      <c r="K428">
        <v>6000</v>
      </c>
      <c r="L428">
        <v>0</v>
      </c>
      <c r="N428">
        <v>1</v>
      </c>
      <c r="Q428" t="s">
        <v>89</v>
      </c>
    </row>
    <row r="429" spans="1:17" x14ac:dyDescent="0.3">
      <c r="A429" t="s">
        <v>794</v>
      </c>
      <c r="B429" s="2">
        <v>46064</v>
      </c>
      <c r="C429" t="s">
        <v>26</v>
      </c>
      <c r="D429" t="s">
        <v>69</v>
      </c>
      <c r="E429" t="s">
        <v>28</v>
      </c>
      <c r="F429" t="s">
        <v>402</v>
      </c>
      <c r="G429" t="s">
        <v>30</v>
      </c>
      <c r="J429">
        <v>0</v>
      </c>
      <c r="K429">
        <v>0</v>
      </c>
      <c r="L429">
        <v>0</v>
      </c>
      <c r="M429">
        <v>1</v>
      </c>
      <c r="N429">
        <v>1.6</v>
      </c>
      <c r="O429">
        <v>6.8</v>
      </c>
      <c r="P429">
        <v>3.3</v>
      </c>
      <c r="Q429" t="s">
        <v>39</v>
      </c>
    </row>
    <row r="430" spans="1:17" x14ac:dyDescent="0.3">
      <c r="A430" t="s">
        <v>795</v>
      </c>
      <c r="B430" s="2">
        <v>45951</v>
      </c>
      <c r="C430" t="s">
        <v>18</v>
      </c>
      <c r="D430" t="s">
        <v>95</v>
      </c>
      <c r="E430" t="s">
        <v>20</v>
      </c>
      <c r="F430" t="s">
        <v>796</v>
      </c>
      <c r="G430" t="s">
        <v>44</v>
      </c>
      <c r="H430" t="s">
        <v>54</v>
      </c>
      <c r="I430" t="s">
        <v>24</v>
      </c>
      <c r="J430">
        <v>1</v>
      </c>
      <c r="K430">
        <v>41600</v>
      </c>
      <c r="L430">
        <v>41600</v>
      </c>
      <c r="N430">
        <v>11.4</v>
      </c>
      <c r="Q430" t="s">
        <v>24</v>
      </c>
    </row>
    <row r="431" spans="1:17" x14ac:dyDescent="0.3">
      <c r="A431" t="s">
        <v>797</v>
      </c>
      <c r="B431" s="2">
        <v>46130</v>
      </c>
      <c r="C431" t="s">
        <v>18</v>
      </c>
      <c r="D431" t="s">
        <v>52</v>
      </c>
      <c r="E431" t="s">
        <v>42</v>
      </c>
      <c r="F431" t="s">
        <v>246</v>
      </c>
      <c r="G431" t="s">
        <v>30</v>
      </c>
      <c r="H431" t="s">
        <v>78</v>
      </c>
      <c r="I431" t="s">
        <v>55</v>
      </c>
      <c r="J431">
        <v>1</v>
      </c>
      <c r="K431">
        <v>20900</v>
      </c>
      <c r="L431">
        <v>0</v>
      </c>
      <c r="N431">
        <v>11.7</v>
      </c>
      <c r="Q431" t="s">
        <v>55</v>
      </c>
    </row>
    <row r="432" spans="1:17" x14ac:dyDescent="0.3">
      <c r="A432" t="s">
        <v>798</v>
      </c>
      <c r="B432" s="2">
        <v>46118</v>
      </c>
      <c r="C432" t="s">
        <v>18</v>
      </c>
      <c r="D432" t="s">
        <v>19</v>
      </c>
      <c r="E432" t="s">
        <v>37</v>
      </c>
      <c r="F432" t="s">
        <v>799</v>
      </c>
      <c r="G432" t="s">
        <v>22</v>
      </c>
      <c r="H432" t="s">
        <v>78</v>
      </c>
      <c r="I432" t="s">
        <v>45</v>
      </c>
      <c r="J432">
        <v>1</v>
      </c>
      <c r="K432">
        <v>26200</v>
      </c>
      <c r="L432">
        <v>0</v>
      </c>
      <c r="N432">
        <v>16.2</v>
      </c>
      <c r="Q432" t="s">
        <v>45</v>
      </c>
    </row>
    <row r="433" spans="1:17" x14ac:dyDescent="0.3">
      <c r="A433" t="s">
        <v>800</v>
      </c>
      <c r="B433" s="2">
        <v>46044</v>
      </c>
      <c r="C433" t="s">
        <v>26</v>
      </c>
      <c r="D433" t="s">
        <v>69</v>
      </c>
      <c r="E433" t="s">
        <v>20</v>
      </c>
      <c r="F433" t="s">
        <v>801</v>
      </c>
      <c r="G433" t="s">
        <v>50</v>
      </c>
      <c r="J433">
        <v>0</v>
      </c>
      <c r="K433">
        <v>0</v>
      </c>
      <c r="L433">
        <v>0</v>
      </c>
      <c r="M433">
        <v>1</v>
      </c>
      <c r="N433">
        <v>10.7</v>
      </c>
      <c r="O433">
        <v>1.7</v>
      </c>
      <c r="P433">
        <v>2.8</v>
      </c>
      <c r="Q433" t="s">
        <v>39</v>
      </c>
    </row>
    <row r="434" spans="1:17" x14ac:dyDescent="0.3">
      <c r="A434" t="s">
        <v>802</v>
      </c>
      <c r="B434" s="2">
        <v>46055</v>
      </c>
      <c r="C434" t="s">
        <v>26</v>
      </c>
      <c r="D434" t="s">
        <v>126</v>
      </c>
      <c r="E434" t="s">
        <v>28</v>
      </c>
      <c r="F434" t="s">
        <v>713</v>
      </c>
      <c r="G434" t="s">
        <v>30</v>
      </c>
      <c r="J434">
        <v>0</v>
      </c>
      <c r="K434">
        <v>0</v>
      </c>
      <c r="L434">
        <v>0</v>
      </c>
      <c r="M434">
        <v>1</v>
      </c>
      <c r="N434">
        <v>10.1</v>
      </c>
      <c r="O434">
        <v>10.199999999999999</v>
      </c>
      <c r="P434">
        <v>3.8</v>
      </c>
      <c r="Q434" t="s">
        <v>62</v>
      </c>
    </row>
    <row r="435" spans="1:17" x14ac:dyDescent="0.3">
      <c r="A435" t="s">
        <v>803</v>
      </c>
      <c r="B435" s="2">
        <v>46220</v>
      </c>
      <c r="C435" t="s">
        <v>18</v>
      </c>
      <c r="D435" t="s">
        <v>64</v>
      </c>
      <c r="E435" t="s">
        <v>20</v>
      </c>
      <c r="F435" t="s">
        <v>536</v>
      </c>
      <c r="G435" t="s">
        <v>22</v>
      </c>
      <c r="H435" t="s">
        <v>54</v>
      </c>
      <c r="I435" t="s">
        <v>24</v>
      </c>
      <c r="J435">
        <v>1</v>
      </c>
      <c r="K435">
        <v>139800</v>
      </c>
      <c r="L435">
        <v>139800</v>
      </c>
      <c r="N435">
        <v>15.3</v>
      </c>
      <c r="Q435" t="s">
        <v>24</v>
      </c>
    </row>
    <row r="436" spans="1:17" x14ac:dyDescent="0.3">
      <c r="A436" t="s">
        <v>804</v>
      </c>
      <c r="B436" s="2">
        <v>45993</v>
      </c>
      <c r="C436" t="s">
        <v>18</v>
      </c>
      <c r="D436" t="s">
        <v>19</v>
      </c>
      <c r="E436" t="s">
        <v>48</v>
      </c>
      <c r="F436" t="s">
        <v>805</v>
      </c>
      <c r="G436" t="s">
        <v>30</v>
      </c>
      <c r="H436" t="s">
        <v>86</v>
      </c>
      <c r="I436" t="s">
        <v>89</v>
      </c>
      <c r="J436">
        <v>1</v>
      </c>
      <c r="K436">
        <v>28100</v>
      </c>
      <c r="L436">
        <v>0</v>
      </c>
      <c r="N436">
        <v>4.9000000000000004</v>
      </c>
      <c r="Q436" t="s">
        <v>89</v>
      </c>
    </row>
    <row r="437" spans="1:17" x14ac:dyDescent="0.3">
      <c r="A437" t="s">
        <v>806</v>
      </c>
      <c r="B437" s="2">
        <v>45937</v>
      </c>
      <c r="C437" t="s">
        <v>26</v>
      </c>
      <c r="D437" t="s">
        <v>114</v>
      </c>
      <c r="E437" t="s">
        <v>20</v>
      </c>
      <c r="F437" t="s">
        <v>807</v>
      </c>
      <c r="G437" t="s">
        <v>44</v>
      </c>
      <c r="J437">
        <v>0</v>
      </c>
      <c r="K437">
        <v>0</v>
      </c>
      <c r="L437">
        <v>0</v>
      </c>
      <c r="M437">
        <v>1</v>
      </c>
      <c r="N437">
        <v>0.3</v>
      </c>
      <c r="O437">
        <v>5</v>
      </c>
      <c r="P437">
        <v>4.2</v>
      </c>
      <c r="Q437" t="s">
        <v>31</v>
      </c>
    </row>
    <row r="438" spans="1:17" x14ac:dyDescent="0.3">
      <c r="A438" t="s">
        <v>808</v>
      </c>
      <c r="B438" s="2">
        <v>46125</v>
      </c>
      <c r="C438" t="s">
        <v>18</v>
      </c>
      <c r="D438" t="s">
        <v>105</v>
      </c>
      <c r="E438" t="s">
        <v>48</v>
      </c>
      <c r="F438" t="s">
        <v>809</v>
      </c>
      <c r="G438" t="s">
        <v>50</v>
      </c>
      <c r="H438" t="s">
        <v>66</v>
      </c>
      <c r="I438" t="s">
        <v>45</v>
      </c>
      <c r="J438">
        <v>1</v>
      </c>
      <c r="K438">
        <v>37400</v>
      </c>
      <c r="L438">
        <v>0</v>
      </c>
      <c r="N438">
        <v>17.3</v>
      </c>
      <c r="Q438" t="s">
        <v>45</v>
      </c>
    </row>
    <row r="439" spans="1:17" x14ac:dyDescent="0.3">
      <c r="A439" t="s">
        <v>810</v>
      </c>
      <c r="B439" s="2">
        <v>46121</v>
      </c>
      <c r="C439" t="s">
        <v>26</v>
      </c>
      <c r="D439" t="s">
        <v>232</v>
      </c>
      <c r="E439" t="s">
        <v>37</v>
      </c>
      <c r="F439" t="s">
        <v>222</v>
      </c>
      <c r="G439" t="s">
        <v>30</v>
      </c>
      <c r="J439">
        <v>0</v>
      </c>
      <c r="K439">
        <v>0</v>
      </c>
      <c r="L439">
        <v>0</v>
      </c>
      <c r="M439">
        <v>1</v>
      </c>
      <c r="N439">
        <v>1.6</v>
      </c>
      <c r="O439">
        <v>9.5</v>
      </c>
      <c r="P439">
        <v>3.7</v>
      </c>
      <c r="Q439" t="s">
        <v>31</v>
      </c>
    </row>
    <row r="440" spans="1:17" x14ac:dyDescent="0.3">
      <c r="A440" t="s">
        <v>811</v>
      </c>
      <c r="B440" s="2">
        <v>46029</v>
      </c>
      <c r="C440" t="s">
        <v>26</v>
      </c>
      <c r="D440" t="s">
        <v>27</v>
      </c>
      <c r="E440" t="s">
        <v>20</v>
      </c>
      <c r="F440" t="s">
        <v>566</v>
      </c>
      <c r="G440" t="s">
        <v>22</v>
      </c>
      <c r="J440">
        <v>0</v>
      </c>
      <c r="K440">
        <v>0</v>
      </c>
      <c r="L440">
        <v>0</v>
      </c>
      <c r="M440">
        <v>1</v>
      </c>
      <c r="N440">
        <v>4</v>
      </c>
      <c r="O440">
        <v>2.6</v>
      </c>
      <c r="P440">
        <v>3.5</v>
      </c>
      <c r="Q440" t="s">
        <v>31</v>
      </c>
    </row>
    <row r="441" spans="1:17" x14ac:dyDescent="0.3">
      <c r="A441" t="s">
        <v>812</v>
      </c>
      <c r="B441" s="2">
        <v>46214</v>
      </c>
      <c r="C441" t="s">
        <v>18</v>
      </c>
      <c r="D441" t="s">
        <v>52</v>
      </c>
      <c r="E441" t="s">
        <v>37</v>
      </c>
      <c r="F441" t="s">
        <v>638</v>
      </c>
      <c r="G441" t="s">
        <v>44</v>
      </c>
      <c r="H441" t="s">
        <v>23</v>
      </c>
      <c r="I441" t="s">
        <v>24</v>
      </c>
      <c r="J441">
        <v>1</v>
      </c>
      <c r="K441">
        <v>44600</v>
      </c>
      <c r="L441">
        <v>44600</v>
      </c>
      <c r="N441">
        <v>7.2</v>
      </c>
      <c r="Q441" t="s">
        <v>24</v>
      </c>
    </row>
    <row r="442" spans="1:17" x14ac:dyDescent="0.3">
      <c r="A442" t="s">
        <v>813</v>
      </c>
      <c r="B442" s="2">
        <v>45965</v>
      </c>
      <c r="C442" t="s">
        <v>18</v>
      </c>
      <c r="D442" t="s">
        <v>95</v>
      </c>
      <c r="E442" t="s">
        <v>20</v>
      </c>
      <c r="F442" t="s">
        <v>814</v>
      </c>
      <c r="G442" t="s">
        <v>22</v>
      </c>
      <c r="H442" t="s">
        <v>66</v>
      </c>
      <c r="I442" t="s">
        <v>24</v>
      </c>
      <c r="J442">
        <v>1</v>
      </c>
      <c r="K442">
        <v>13000</v>
      </c>
      <c r="L442">
        <v>13000</v>
      </c>
      <c r="N442">
        <v>15.1</v>
      </c>
      <c r="Q442" t="s">
        <v>24</v>
      </c>
    </row>
    <row r="443" spans="1:17" x14ac:dyDescent="0.3">
      <c r="A443" t="s">
        <v>815</v>
      </c>
      <c r="B443" s="2">
        <v>46201</v>
      </c>
      <c r="C443" t="s">
        <v>26</v>
      </c>
      <c r="D443" t="s">
        <v>33</v>
      </c>
      <c r="E443" t="s">
        <v>42</v>
      </c>
      <c r="F443" t="s">
        <v>304</v>
      </c>
      <c r="G443" t="s">
        <v>22</v>
      </c>
      <c r="J443">
        <v>0</v>
      </c>
      <c r="K443">
        <v>0</v>
      </c>
      <c r="L443">
        <v>0</v>
      </c>
      <c r="M443">
        <v>1</v>
      </c>
      <c r="N443">
        <v>9.1</v>
      </c>
      <c r="O443">
        <v>13.1</v>
      </c>
      <c r="P443">
        <v>4.5999999999999996</v>
      </c>
      <c r="Q443" t="s">
        <v>39</v>
      </c>
    </row>
    <row r="444" spans="1:17" x14ac:dyDescent="0.3">
      <c r="A444" t="s">
        <v>816</v>
      </c>
      <c r="B444" s="2">
        <v>46143</v>
      </c>
      <c r="C444" t="s">
        <v>18</v>
      </c>
      <c r="D444" t="s">
        <v>41</v>
      </c>
      <c r="E444" t="s">
        <v>20</v>
      </c>
      <c r="F444" t="s">
        <v>805</v>
      </c>
      <c r="G444" t="s">
        <v>44</v>
      </c>
      <c r="H444" t="s">
        <v>78</v>
      </c>
      <c r="I444" t="s">
        <v>67</v>
      </c>
      <c r="J444">
        <v>1</v>
      </c>
      <c r="K444">
        <v>22000</v>
      </c>
      <c r="L444">
        <v>0</v>
      </c>
      <c r="N444">
        <v>21.9</v>
      </c>
      <c r="Q444" t="s">
        <v>67</v>
      </c>
    </row>
    <row r="445" spans="1:17" x14ac:dyDescent="0.3">
      <c r="A445" t="s">
        <v>817</v>
      </c>
      <c r="B445" s="2">
        <v>46225</v>
      </c>
      <c r="C445" t="s">
        <v>18</v>
      </c>
      <c r="D445" t="s">
        <v>64</v>
      </c>
      <c r="E445" t="s">
        <v>20</v>
      </c>
      <c r="F445" t="s">
        <v>818</v>
      </c>
      <c r="G445" t="s">
        <v>22</v>
      </c>
      <c r="H445" t="s">
        <v>23</v>
      </c>
      <c r="I445" t="s">
        <v>45</v>
      </c>
      <c r="J445">
        <v>1</v>
      </c>
      <c r="K445">
        <v>6700</v>
      </c>
      <c r="L445">
        <v>0</v>
      </c>
      <c r="N445">
        <v>22</v>
      </c>
      <c r="Q445" t="s">
        <v>45</v>
      </c>
    </row>
    <row r="446" spans="1:17" x14ac:dyDescent="0.3">
      <c r="A446" t="s">
        <v>819</v>
      </c>
      <c r="B446" s="2">
        <v>45907</v>
      </c>
      <c r="C446" t="s">
        <v>26</v>
      </c>
      <c r="D446" t="s">
        <v>36</v>
      </c>
      <c r="E446" t="s">
        <v>28</v>
      </c>
      <c r="F446" t="s">
        <v>820</v>
      </c>
      <c r="G446" t="s">
        <v>50</v>
      </c>
      <c r="J446">
        <v>0</v>
      </c>
      <c r="K446">
        <v>0</v>
      </c>
      <c r="L446">
        <v>0</v>
      </c>
      <c r="M446">
        <v>1</v>
      </c>
      <c r="N446">
        <v>2.5</v>
      </c>
      <c r="O446">
        <v>3.1</v>
      </c>
      <c r="P446">
        <v>4.4000000000000004</v>
      </c>
      <c r="Q446" t="s">
        <v>62</v>
      </c>
    </row>
    <row r="447" spans="1:17" x14ac:dyDescent="0.3">
      <c r="A447" t="s">
        <v>821</v>
      </c>
      <c r="B447" s="2">
        <v>46017</v>
      </c>
      <c r="C447" t="s">
        <v>26</v>
      </c>
      <c r="D447" t="s">
        <v>36</v>
      </c>
      <c r="E447" t="s">
        <v>42</v>
      </c>
      <c r="F447" t="s">
        <v>435</v>
      </c>
      <c r="G447" t="s">
        <v>22</v>
      </c>
      <c r="J447">
        <v>0</v>
      </c>
      <c r="K447">
        <v>0</v>
      </c>
      <c r="L447">
        <v>0</v>
      </c>
      <c r="M447">
        <v>1</v>
      </c>
      <c r="N447">
        <v>2.2999999999999998</v>
      </c>
      <c r="O447">
        <v>5.0999999999999996</v>
      </c>
      <c r="P447">
        <v>4.5</v>
      </c>
      <c r="Q447" t="s">
        <v>39</v>
      </c>
    </row>
    <row r="448" spans="1:17" x14ac:dyDescent="0.3">
      <c r="A448" t="s">
        <v>822</v>
      </c>
      <c r="B448" s="2">
        <v>46117</v>
      </c>
      <c r="C448" t="s">
        <v>26</v>
      </c>
      <c r="D448" t="s">
        <v>114</v>
      </c>
      <c r="E448" t="s">
        <v>48</v>
      </c>
      <c r="F448" t="s">
        <v>286</v>
      </c>
      <c r="G448" t="s">
        <v>22</v>
      </c>
      <c r="J448">
        <v>0</v>
      </c>
      <c r="K448">
        <v>0</v>
      </c>
      <c r="L448">
        <v>0</v>
      </c>
      <c r="M448">
        <v>1</v>
      </c>
      <c r="N448">
        <v>5.0999999999999996</v>
      </c>
      <c r="O448">
        <v>22.1</v>
      </c>
      <c r="P448">
        <v>3.9</v>
      </c>
      <c r="Q448" t="s">
        <v>31</v>
      </c>
    </row>
    <row r="449" spans="1:17" x14ac:dyDescent="0.3">
      <c r="A449" t="s">
        <v>823</v>
      </c>
      <c r="B449" s="2">
        <v>46256</v>
      </c>
      <c r="C449" t="s">
        <v>26</v>
      </c>
      <c r="D449" t="s">
        <v>27</v>
      </c>
      <c r="E449" t="s">
        <v>20</v>
      </c>
      <c r="F449" t="s">
        <v>184</v>
      </c>
      <c r="G449" t="s">
        <v>44</v>
      </c>
      <c r="J449">
        <v>0</v>
      </c>
      <c r="K449">
        <v>0</v>
      </c>
      <c r="L449">
        <v>0</v>
      </c>
      <c r="M449">
        <v>1</v>
      </c>
      <c r="N449">
        <v>4.3</v>
      </c>
      <c r="O449">
        <v>10.199999999999999</v>
      </c>
      <c r="P449">
        <v>3.8</v>
      </c>
      <c r="Q449" t="s">
        <v>225</v>
      </c>
    </row>
    <row r="450" spans="1:17" x14ac:dyDescent="0.3">
      <c r="A450" t="s">
        <v>824</v>
      </c>
      <c r="B450" s="2">
        <v>46200</v>
      </c>
      <c r="C450" t="s">
        <v>18</v>
      </c>
      <c r="D450" t="s">
        <v>117</v>
      </c>
      <c r="E450" t="s">
        <v>48</v>
      </c>
      <c r="F450" t="s">
        <v>825</v>
      </c>
      <c r="G450" t="s">
        <v>30</v>
      </c>
      <c r="H450" t="s">
        <v>23</v>
      </c>
      <c r="I450" t="s">
        <v>79</v>
      </c>
      <c r="J450">
        <v>1</v>
      </c>
      <c r="K450">
        <v>104400</v>
      </c>
      <c r="L450">
        <v>0</v>
      </c>
      <c r="N450">
        <v>13.9</v>
      </c>
      <c r="Q450" t="s">
        <v>79</v>
      </c>
    </row>
    <row r="451" spans="1:17" x14ac:dyDescent="0.3">
      <c r="A451" t="s">
        <v>826</v>
      </c>
      <c r="B451" s="2">
        <v>45973</v>
      </c>
      <c r="C451" t="s">
        <v>18</v>
      </c>
      <c r="D451" t="s">
        <v>117</v>
      </c>
      <c r="E451" t="s">
        <v>20</v>
      </c>
      <c r="F451" t="s">
        <v>827</v>
      </c>
      <c r="G451" t="s">
        <v>22</v>
      </c>
      <c r="H451" t="s">
        <v>23</v>
      </c>
      <c r="I451" t="s">
        <v>45</v>
      </c>
      <c r="J451">
        <v>1</v>
      </c>
      <c r="K451">
        <v>9900</v>
      </c>
      <c r="L451">
        <v>0</v>
      </c>
      <c r="N451">
        <v>3.6</v>
      </c>
      <c r="Q451" t="s">
        <v>45</v>
      </c>
    </row>
    <row r="452" spans="1:17" x14ac:dyDescent="0.3">
      <c r="A452" t="s">
        <v>828</v>
      </c>
      <c r="B452" s="2">
        <v>45902</v>
      </c>
      <c r="C452" t="s">
        <v>26</v>
      </c>
      <c r="D452" t="s">
        <v>69</v>
      </c>
      <c r="E452" t="s">
        <v>20</v>
      </c>
      <c r="F452" t="s">
        <v>538</v>
      </c>
      <c r="G452" t="s">
        <v>50</v>
      </c>
      <c r="J452">
        <v>0</v>
      </c>
      <c r="K452">
        <v>0</v>
      </c>
      <c r="L452">
        <v>0</v>
      </c>
      <c r="M452">
        <v>1</v>
      </c>
      <c r="N452">
        <v>4.7</v>
      </c>
      <c r="O452">
        <v>3.8</v>
      </c>
      <c r="P452">
        <v>4.5999999999999996</v>
      </c>
      <c r="Q452" t="s">
        <v>39</v>
      </c>
    </row>
    <row r="453" spans="1:17" x14ac:dyDescent="0.3">
      <c r="A453" t="s">
        <v>829</v>
      </c>
      <c r="B453" s="2">
        <v>46255</v>
      </c>
      <c r="C453" t="s">
        <v>26</v>
      </c>
      <c r="D453" t="s">
        <v>232</v>
      </c>
      <c r="E453" t="s">
        <v>48</v>
      </c>
      <c r="F453" t="s">
        <v>551</v>
      </c>
      <c r="G453" t="s">
        <v>30</v>
      </c>
      <c r="J453">
        <v>0</v>
      </c>
      <c r="K453">
        <v>0</v>
      </c>
      <c r="L453">
        <v>0</v>
      </c>
      <c r="M453">
        <v>1</v>
      </c>
      <c r="N453">
        <v>11.3</v>
      </c>
      <c r="O453">
        <v>5.4</v>
      </c>
      <c r="P453">
        <v>5</v>
      </c>
      <c r="Q453" t="s">
        <v>31</v>
      </c>
    </row>
    <row r="454" spans="1:17" x14ac:dyDescent="0.3">
      <c r="A454" t="s">
        <v>830</v>
      </c>
      <c r="B454" s="2">
        <v>45962</v>
      </c>
      <c r="C454" t="s">
        <v>18</v>
      </c>
      <c r="D454" t="s">
        <v>19</v>
      </c>
      <c r="E454" t="s">
        <v>42</v>
      </c>
      <c r="F454" t="s">
        <v>734</v>
      </c>
      <c r="G454" t="s">
        <v>22</v>
      </c>
      <c r="H454" t="s">
        <v>78</v>
      </c>
      <c r="I454" t="s">
        <v>24</v>
      </c>
      <c r="J454">
        <v>1</v>
      </c>
      <c r="K454">
        <v>123000</v>
      </c>
      <c r="L454">
        <v>123000</v>
      </c>
      <c r="N454">
        <v>16.5</v>
      </c>
      <c r="Q454" t="s">
        <v>24</v>
      </c>
    </row>
    <row r="455" spans="1:17" x14ac:dyDescent="0.3">
      <c r="A455" t="s">
        <v>831</v>
      </c>
      <c r="B455" s="2">
        <v>46160</v>
      </c>
      <c r="C455" t="s">
        <v>26</v>
      </c>
      <c r="D455" t="s">
        <v>114</v>
      </c>
      <c r="E455" t="s">
        <v>48</v>
      </c>
      <c r="F455" t="s">
        <v>832</v>
      </c>
      <c r="G455" t="s">
        <v>44</v>
      </c>
      <c r="J455">
        <v>0</v>
      </c>
      <c r="K455">
        <v>0</v>
      </c>
      <c r="L455">
        <v>0</v>
      </c>
      <c r="M455">
        <v>1</v>
      </c>
      <c r="N455">
        <v>2.9</v>
      </c>
      <c r="O455">
        <v>22.6</v>
      </c>
      <c r="P455">
        <v>3.3</v>
      </c>
      <c r="Q455" t="s">
        <v>62</v>
      </c>
    </row>
    <row r="456" spans="1:17" x14ac:dyDescent="0.3">
      <c r="A456" t="s">
        <v>833</v>
      </c>
      <c r="B456" s="2">
        <v>46220</v>
      </c>
      <c r="C456" t="s">
        <v>18</v>
      </c>
      <c r="D456" t="s">
        <v>95</v>
      </c>
      <c r="E456" t="s">
        <v>20</v>
      </c>
      <c r="F456" t="s">
        <v>763</v>
      </c>
      <c r="G456" t="s">
        <v>50</v>
      </c>
      <c r="H456" t="s">
        <v>86</v>
      </c>
      <c r="I456" t="s">
        <v>89</v>
      </c>
      <c r="J456">
        <v>1</v>
      </c>
      <c r="K456">
        <v>41700</v>
      </c>
      <c r="L456">
        <v>0</v>
      </c>
      <c r="N456">
        <v>23.2</v>
      </c>
      <c r="Q456" t="s">
        <v>89</v>
      </c>
    </row>
    <row r="457" spans="1:17" x14ac:dyDescent="0.3">
      <c r="A457" t="s">
        <v>834</v>
      </c>
      <c r="B457" s="2">
        <v>46193</v>
      </c>
      <c r="C457" t="s">
        <v>18</v>
      </c>
      <c r="D457" t="s">
        <v>95</v>
      </c>
      <c r="E457" t="s">
        <v>20</v>
      </c>
      <c r="F457" t="s">
        <v>428</v>
      </c>
      <c r="G457" t="s">
        <v>50</v>
      </c>
      <c r="H457" t="s">
        <v>54</v>
      </c>
      <c r="I457" t="s">
        <v>45</v>
      </c>
      <c r="J457">
        <v>1</v>
      </c>
      <c r="K457">
        <v>8800</v>
      </c>
      <c r="L457">
        <v>0</v>
      </c>
      <c r="N457">
        <v>2</v>
      </c>
      <c r="Q457" t="s">
        <v>45</v>
      </c>
    </row>
    <row r="458" spans="1:17" x14ac:dyDescent="0.3">
      <c r="A458" t="s">
        <v>835</v>
      </c>
      <c r="B458" s="2">
        <v>46189</v>
      </c>
      <c r="C458" t="s">
        <v>18</v>
      </c>
      <c r="D458" t="s">
        <v>52</v>
      </c>
      <c r="E458" t="s">
        <v>20</v>
      </c>
      <c r="F458" t="s">
        <v>558</v>
      </c>
      <c r="G458" t="s">
        <v>44</v>
      </c>
      <c r="H458" t="s">
        <v>23</v>
      </c>
      <c r="I458" t="s">
        <v>45</v>
      </c>
      <c r="J458">
        <v>1</v>
      </c>
      <c r="K458">
        <v>18200</v>
      </c>
      <c r="L458">
        <v>0</v>
      </c>
      <c r="N458">
        <v>23.6</v>
      </c>
      <c r="Q458" t="s">
        <v>45</v>
      </c>
    </row>
    <row r="459" spans="1:17" x14ac:dyDescent="0.3">
      <c r="A459" t="s">
        <v>836</v>
      </c>
      <c r="B459" s="2">
        <v>45968</v>
      </c>
      <c r="C459" t="s">
        <v>18</v>
      </c>
      <c r="D459" t="s">
        <v>105</v>
      </c>
      <c r="E459" t="s">
        <v>20</v>
      </c>
      <c r="F459" t="s">
        <v>203</v>
      </c>
      <c r="G459" t="s">
        <v>44</v>
      </c>
      <c r="H459" t="s">
        <v>66</v>
      </c>
      <c r="I459" t="s">
        <v>89</v>
      </c>
      <c r="J459">
        <v>1</v>
      </c>
      <c r="K459">
        <v>13400</v>
      </c>
      <c r="L459">
        <v>0</v>
      </c>
      <c r="N459">
        <v>2.1</v>
      </c>
      <c r="Q459" t="s">
        <v>89</v>
      </c>
    </row>
    <row r="460" spans="1:17" x14ac:dyDescent="0.3">
      <c r="A460" t="s">
        <v>837</v>
      </c>
      <c r="B460" s="2">
        <v>46197</v>
      </c>
      <c r="C460" t="s">
        <v>18</v>
      </c>
      <c r="D460" t="s">
        <v>95</v>
      </c>
      <c r="E460" t="s">
        <v>37</v>
      </c>
      <c r="F460" t="s">
        <v>838</v>
      </c>
      <c r="G460" t="s">
        <v>22</v>
      </c>
      <c r="H460" t="s">
        <v>86</v>
      </c>
      <c r="I460" t="s">
        <v>89</v>
      </c>
      <c r="J460">
        <v>1</v>
      </c>
      <c r="K460">
        <v>12700</v>
      </c>
      <c r="L460">
        <v>0</v>
      </c>
      <c r="N460">
        <v>14.9</v>
      </c>
      <c r="Q460" t="s">
        <v>89</v>
      </c>
    </row>
    <row r="461" spans="1:17" x14ac:dyDescent="0.3">
      <c r="A461" t="s">
        <v>839</v>
      </c>
      <c r="B461" s="2">
        <v>46212</v>
      </c>
      <c r="C461" t="s">
        <v>18</v>
      </c>
      <c r="D461" t="s">
        <v>117</v>
      </c>
      <c r="E461" t="s">
        <v>20</v>
      </c>
      <c r="F461" t="s">
        <v>840</v>
      </c>
      <c r="G461" t="s">
        <v>22</v>
      </c>
      <c r="H461" t="s">
        <v>78</v>
      </c>
      <c r="I461" t="s">
        <v>67</v>
      </c>
      <c r="J461">
        <v>1</v>
      </c>
      <c r="K461">
        <v>21600</v>
      </c>
      <c r="L461">
        <v>0</v>
      </c>
      <c r="N461">
        <v>7.5</v>
      </c>
      <c r="Q461" t="s">
        <v>67</v>
      </c>
    </row>
    <row r="462" spans="1:17" x14ac:dyDescent="0.3">
      <c r="A462" t="s">
        <v>841</v>
      </c>
      <c r="B462" s="2">
        <v>45903</v>
      </c>
      <c r="C462" t="s">
        <v>18</v>
      </c>
      <c r="D462" t="s">
        <v>47</v>
      </c>
      <c r="E462" t="s">
        <v>20</v>
      </c>
      <c r="F462" t="s">
        <v>796</v>
      </c>
      <c r="G462" t="s">
        <v>44</v>
      </c>
      <c r="H462" t="s">
        <v>78</v>
      </c>
      <c r="I462" t="s">
        <v>67</v>
      </c>
      <c r="J462">
        <v>1</v>
      </c>
      <c r="K462">
        <v>18700</v>
      </c>
      <c r="L462">
        <v>0</v>
      </c>
      <c r="N462">
        <v>14.7</v>
      </c>
      <c r="Q462" t="s">
        <v>67</v>
      </c>
    </row>
    <row r="463" spans="1:17" x14ac:dyDescent="0.3">
      <c r="A463" t="s">
        <v>842</v>
      </c>
      <c r="B463" s="2">
        <v>46259</v>
      </c>
      <c r="C463" t="s">
        <v>26</v>
      </c>
      <c r="D463" t="s">
        <v>36</v>
      </c>
      <c r="E463" t="s">
        <v>42</v>
      </c>
      <c r="F463" t="s">
        <v>136</v>
      </c>
      <c r="G463" t="s">
        <v>30</v>
      </c>
      <c r="J463">
        <v>0</v>
      </c>
      <c r="K463">
        <v>0</v>
      </c>
      <c r="L463">
        <v>0</v>
      </c>
      <c r="M463">
        <v>1</v>
      </c>
      <c r="N463">
        <v>0.4</v>
      </c>
      <c r="O463">
        <v>3.1</v>
      </c>
      <c r="P463">
        <v>4.8</v>
      </c>
      <c r="Q463" t="s">
        <v>39</v>
      </c>
    </row>
    <row r="464" spans="1:17" x14ac:dyDescent="0.3">
      <c r="A464" t="s">
        <v>843</v>
      </c>
      <c r="B464" s="2">
        <v>46155</v>
      </c>
      <c r="C464" t="s">
        <v>26</v>
      </c>
      <c r="D464" t="s">
        <v>33</v>
      </c>
      <c r="E464" t="s">
        <v>20</v>
      </c>
      <c r="F464" t="s">
        <v>558</v>
      </c>
      <c r="G464" t="s">
        <v>50</v>
      </c>
      <c r="J464">
        <v>0</v>
      </c>
      <c r="K464">
        <v>0</v>
      </c>
      <c r="L464">
        <v>0</v>
      </c>
      <c r="M464">
        <v>1</v>
      </c>
      <c r="N464">
        <v>11.5</v>
      </c>
      <c r="O464">
        <v>11</v>
      </c>
      <c r="P464">
        <v>4.7</v>
      </c>
      <c r="Q464" t="s">
        <v>225</v>
      </c>
    </row>
    <row r="465" spans="1:17" x14ac:dyDescent="0.3">
      <c r="A465" t="s">
        <v>844</v>
      </c>
      <c r="B465" s="2">
        <v>46231</v>
      </c>
      <c r="C465" t="s">
        <v>26</v>
      </c>
      <c r="D465" t="s">
        <v>69</v>
      </c>
      <c r="E465" t="s">
        <v>28</v>
      </c>
      <c r="F465" t="s">
        <v>845</v>
      </c>
      <c r="G465" t="s">
        <v>22</v>
      </c>
      <c r="J465">
        <v>0</v>
      </c>
      <c r="K465">
        <v>0</v>
      </c>
      <c r="L465">
        <v>0</v>
      </c>
      <c r="M465">
        <v>1</v>
      </c>
      <c r="N465">
        <v>0.3</v>
      </c>
      <c r="O465">
        <v>3.5</v>
      </c>
      <c r="P465">
        <v>3.4</v>
      </c>
      <c r="Q465" t="s">
        <v>62</v>
      </c>
    </row>
    <row r="466" spans="1:17" x14ac:dyDescent="0.3">
      <c r="A466" t="s">
        <v>846</v>
      </c>
      <c r="B466" s="2">
        <v>46070</v>
      </c>
      <c r="C466" t="s">
        <v>26</v>
      </c>
      <c r="D466" t="s">
        <v>114</v>
      </c>
      <c r="E466" t="s">
        <v>28</v>
      </c>
      <c r="F466" t="s">
        <v>230</v>
      </c>
      <c r="G466" t="s">
        <v>22</v>
      </c>
      <c r="J466">
        <v>0</v>
      </c>
      <c r="K466">
        <v>0</v>
      </c>
      <c r="L466">
        <v>0</v>
      </c>
      <c r="M466">
        <v>1</v>
      </c>
      <c r="N466">
        <v>10.5</v>
      </c>
      <c r="O466">
        <v>3.5</v>
      </c>
      <c r="P466">
        <v>5</v>
      </c>
      <c r="Q466" t="s">
        <v>39</v>
      </c>
    </row>
    <row r="467" spans="1:17" x14ac:dyDescent="0.3">
      <c r="A467" t="s">
        <v>847</v>
      </c>
      <c r="B467" s="2">
        <v>46006</v>
      </c>
      <c r="C467" t="s">
        <v>18</v>
      </c>
      <c r="D467" t="s">
        <v>52</v>
      </c>
      <c r="E467" t="s">
        <v>48</v>
      </c>
      <c r="F467" t="s">
        <v>732</v>
      </c>
      <c r="G467" t="s">
        <v>44</v>
      </c>
      <c r="H467" t="s">
        <v>54</v>
      </c>
      <c r="I467" t="s">
        <v>55</v>
      </c>
      <c r="J467">
        <v>1</v>
      </c>
      <c r="K467">
        <v>16100</v>
      </c>
      <c r="L467">
        <v>0</v>
      </c>
      <c r="N467">
        <v>13.2</v>
      </c>
      <c r="Q467" t="s">
        <v>55</v>
      </c>
    </row>
    <row r="468" spans="1:17" x14ac:dyDescent="0.3">
      <c r="A468" t="s">
        <v>848</v>
      </c>
      <c r="B468" s="2">
        <v>46253</v>
      </c>
      <c r="C468" t="s">
        <v>18</v>
      </c>
      <c r="D468" t="s">
        <v>19</v>
      </c>
      <c r="E468" t="s">
        <v>48</v>
      </c>
      <c r="F468" t="s">
        <v>814</v>
      </c>
      <c r="G468" t="s">
        <v>44</v>
      </c>
      <c r="H468" t="s">
        <v>66</v>
      </c>
      <c r="I468" t="s">
        <v>67</v>
      </c>
      <c r="J468">
        <v>1</v>
      </c>
      <c r="K468">
        <v>9900</v>
      </c>
      <c r="L468">
        <v>0</v>
      </c>
      <c r="N468">
        <v>7.3</v>
      </c>
      <c r="Q468" t="s">
        <v>67</v>
      </c>
    </row>
    <row r="469" spans="1:17" x14ac:dyDescent="0.3">
      <c r="A469" t="s">
        <v>849</v>
      </c>
      <c r="B469" s="2">
        <v>46034</v>
      </c>
      <c r="C469" t="s">
        <v>26</v>
      </c>
      <c r="D469" t="s">
        <v>232</v>
      </c>
      <c r="E469" t="s">
        <v>28</v>
      </c>
      <c r="F469" t="s">
        <v>850</v>
      </c>
      <c r="G469" t="s">
        <v>44</v>
      </c>
      <c r="J469">
        <v>0</v>
      </c>
      <c r="K469">
        <v>0</v>
      </c>
      <c r="L469">
        <v>0</v>
      </c>
      <c r="M469">
        <v>1</v>
      </c>
      <c r="N469">
        <v>7.1</v>
      </c>
      <c r="O469">
        <v>3</v>
      </c>
      <c r="P469">
        <v>4</v>
      </c>
      <c r="Q469" t="s">
        <v>39</v>
      </c>
    </row>
    <row r="470" spans="1:17" x14ac:dyDescent="0.3">
      <c r="A470" t="s">
        <v>851</v>
      </c>
      <c r="B470" s="2">
        <v>46086</v>
      </c>
      <c r="C470" t="s">
        <v>18</v>
      </c>
      <c r="D470" t="s">
        <v>19</v>
      </c>
      <c r="E470" t="s">
        <v>42</v>
      </c>
      <c r="F470" t="s">
        <v>481</v>
      </c>
      <c r="G470" t="s">
        <v>30</v>
      </c>
      <c r="H470" t="s">
        <v>66</v>
      </c>
      <c r="I470" t="s">
        <v>24</v>
      </c>
      <c r="J470">
        <v>1</v>
      </c>
      <c r="K470">
        <v>21500</v>
      </c>
      <c r="L470">
        <v>21500</v>
      </c>
      <c r="N470">
        <v>13.3</v>
      </c>
      <c r="Q470" t="s">
        <v>24</v>
      </c>
    </row>
    <row r="471" spans="1:17" x14ac:dyDescent="0.3">
      <c r="A471" t="s">
        <v>852</v>
      </c>
      <c r="B471" s="2">
        <v>46051</v>
      </c>
      <c r="C471" t="s">
        <v>26</v>
      </c>
      <c r="D471" t="s">
        <v>232</v>
      </c>
      <c r="E471" t="s">
        <v>20</v>
      </c>
      <c r="F471" t="s">
        <v>166</v>
      </c>
      <c r="G471" t="s">
        <v>50</v>
      </c>
      <c r="J471">
        <v>0</v>
      </c>
      <c r="K471">
        <v>0</v>
      </c>
      <c r="L471">
        <v>0</v>
      </c>
      <c r="M471">
        <v>1</v>
      </c>
      <c r="N471">
        <v>5.6</v>
      </c>
      <c r="O471">
        <v>4.0999999999999996</v>
      </c>
      <c r="P471">
        <v>3.7</v>
      </c>
      <c r="Q471" t="s">
        <v>39</v>
      </c>
    </row>
    <row r="472" spans="1:17" x14ac:dyDescent="0.3">
      <c r="A472" t="s">
        <v>853</v>
      </c>
      <c r="B472" s="2">
        <v>45952</v>
      </c>
      <c r="C472" t="s">
        <v>18</v>
      </c>
      <c r="D472" t="s">
        <v>64</v>
      </c>
      <c r="E472" t="s">
        <v>20</v>
      </c>
      <c r="F472" t="s">
        <v>88</v>
      </c>
      <c r="G472" t="s">
        <v>22</v>
      </c>
      <c r="H472" t="s">
        <v>66</v>
      </c>
      <c r="I472" t="s">
        <v>45</v>
      </c>
      <c r="J472">
        <v>1</v>
      </c>
      <c r="K472">
        <v>59700</v>
      </c>
      <c r="L472">
        <v>0</v>
      </c>
      <c r="N472">
        <v>17.3</v>
      </c>
      <c r="Q472" t="s">
        <v>45</v>
      </c>
    </row>
    <row r="473" spans="1:17" x14ac:dyDescent="0.3">
      <c r="A473" t="s">
        <v>854</v>
      </c>
      <c r="B473" s="2">
        <v>46110</v>
      </c>
      <c r="C473" t="s">
        <v>26</v>
      </c>
      <c r="D473" t="s">
        <v>27</v>
      </c>
      <c r="E473" t="s">
        <v>42</v>
      </c>
      <c r="F473" t="s">
        <v>855</v>
      </c>
      <c r="G473" t="s">
        <v>30</v>
      </c>
      <c r="J473">
        <v>0</v>
      </c>
      <c r="K473">
        <v>0</v>
      </c>
      <c r="L473">
        <v>0</v>
      </c>
      <c r="M473">
        <v>1</v>
      </c>
      <c r="N473">
        <v>3</v>
      </c>
      <c r="O473">
        <v>13.5</v>
      </c>
      <c r="P473">
        <v>3</v>
      </c>
      <c r="Q473" t="s">
        <v>225</v>
      </c>
    </row>
    <row r="474" spans="1:17" x14ac:dyDescent="0.3">
      <c r="A474" t="s">
        <v>856</v>
      </c>
      <c r="B474" s="2">
        <v>45963</v>
      </c>
      <c r="C474" t="s">
        <v>18</v>
      </c>
      <c r="D474" t="s">
        <v>117</v>
      </c>
      <c r="E474" t="s">
        <v>20</v>
      </c>
      <c r="F474" t="s">
        <v>857</v>
      </c>
      <c r="G474" t="s">
        <v>22</v>
      </c>
      <c r="H474" t="s">
        <v>78</v>
      </c>
      <c r="I474" t="s">
        <v>45</v>
      </c>
      <c r="J474">
        <v>1</v>
      </c>
      <c r="K474">
        <v>38100</v>
      </c>
      <c r="L474">
        <v>0</v>
      </c>
      <c r="N474">
        <v>5.7</v>
      </c>
      <c r="Q474" t="s">
        <v>45</v>
      </c>
    </row>
    <row r="475" spans="1:17" x14ac:dyDescent="0.3">
      <c r="A475" t="s">
        <v>858</v>
      </c>
      <c r="B475" s="2">
        <v>46256</v>
      </c>
      <c r="C475" t="s">
        <v>26</v>
      </c>
      <c r="D475" t="s">
        <v>36</v>
      </c>
      <c r="E475" t="s">
        <v>42</v>
      </c>
      <c r="F475" t="s">
        <v>859</v>
      </c>
      <c r="G475" t="s">
        <v>22</v>
      </c>
      <c r="J475">
        <v>0</v>
      </c>
      <c r="K475">
        <v>0</v>
      </c>
      <c r="L475">
        <v>0</v>
      </c>
      <c r="M475">
        <v>1</v>
      </c>
      <c r="N475">
        <v>3.4</v>
      </c>
      <c r="O475">
        <v>5.4</v>
      </c>
      <c r="P475">
        <v>3</v>
      </c>
      <c r="Q475" t="s">
        <v>39</v>
      </c>
    </row>
    <row r="476" spans="1:17" x14ac:dyDescent="0.3">
      <c r="A476" t="s">
        <v>860</v>
      </c>
      <c r="B476" s="2">
        <v>46230</v>
      </c>
      <c r="C476" t="s">
        <v>18</v>
      </c>
      <c r="D476" t="s">
        <v>47</v>
      </c>
      <c r="E476" t="s">
        <v>20</v>
      </c>
      <c r="F476" t="s">
        <v>34</v>
      </c>
      <c r="G476" t="s">
        <v>22</v>
      </c>
      <c r="H476" t="s">
        <v>23</v>
      </c>
      <c r="I476" t="s">
        <v>79</v>
      </c>
      <c r="J476">
        <v>1</v>
      </c>
      <c r="K476">
        <v>17900</v>
      </c>
      <c r="L476">
        <v>0</v>
      </c>
      <c r="N476">
        <v>23.5</v>
      </c>
      <c r="Q476" t="s">
        <v>79</v>
      </c>
    </row>
    <row r="477" spans="1:17" x14ac:dyDescent="0.3">
      <c r="A477" t="s">
        <v>861</v>
      </c>
      <c r="B477" s="2">
        <v>46234</v>
      </c>
      <c r="C477" t="s">
        <v>26</v>
      </c>
      <c r="D477" t="s">
        <v>114</v>
      </c>
      <c r="E477" t="s">
        <v>37</v>
      </c>
      <c r="F477" t="s">
        <v>862</v>
      </c>
      <c r="G477" t="s">
        <v>22</v>
      </c>
      <c r="J477">
        <v>0</v>
      </c>
      <c r="K477">
        <v>0</v>
      </c>
      <c r="L477">
        <v>0</v>
      </c>
      <c r="M477">
        <v>1</v>
      </c>
      <c r="N477">
        <v>7.6</v>
      </c>
      <c r="O477">
        <v>8.6999999999999993</v>
      </c>
      <c r="P477">
        <v>4.9000000000000004</v>
      </c>
      <c r="Q477" t="s">
        <v>39</v>
      </c>
    </row>
    <row r="478" spans="1:17" x14ac:dyDescent="0.3">
      <c r="A478" t="s">
        <v>863</v>
      </c>
      <c r="B478" s="2">
        <v>46221</v>
      </c>
      <c r="C478" t="s">
        <v>18</v>
      </c>
      <c r="D478" t="s">
        <v>64</v>
      </c>
      <c r="E478" t="s">
        <v>20</v>
      </c>
      <c r="F478" t="s">
        <v>864</v>
      </c>
      <c r="G478" t="s">
        <v>44</v>
      </c>
      <c r="H478" t="s">
        <v>78</v>
      </c>
      <c r="I478" t="s">
        <v>45</v>
      </c>
      <c r="J478">
        <v>1</v>
      </c>
      <c r="K478">
        <v>40400</v>
      </c>
      <c r="L478">
        <v>0</v>
      </c>
      <c r="N478">
        <v>21.6</v>
      </c>
      <c r="Q478" t="s">
        <v>45</v>
      </c>
    </row>
    <row r="479" spans="1:17" x14ac:dyDescent="0.3">
      <c r="A479" t="s">
        <v>865</v>
      </c>
      <c r="B479" s="2">
        <v>46027</v>
      </c>
      <c r="C479" t="s">
        <v>26</v>
      </c>
      <c r="D479" t="s">
        <v>27</v>
      </c>
      <c r="E479" t="s">
        <v>37</v>
      </c>
      <c r="F479" t="s">
        <v>551</v>
      </c>
      <c r="G479" t="s">
        <v>22</v>
      </c>
      <c r="J479">
        <v>0</v>
      </c>
      <c r="K479">
        <v>0</v>
      </c>
      <c r="L479">
        <v>0</v>
      </c>
      <c r="M479">
        <v>1</v>
      </c>
      <c r="N479">
        <v>9.8000000000000007</v>
      </c>
      <c r="O479">
        <v>2.8</v>
      </c>
      <c r="P479">
        <v>4.3</v>
      </c>
      <c r="Q479" t="s">
        <v>31</v>
      </c>
    </row>
    <row r="480" spans="1:17" x14ac:dyDescent="0.3">
      <c r="A480" t="s">
        <v>866</v>
      </c>
      <c r="B480" s="2">
        <v>45969</v>
      </c>
      <c r="C480" t="s">
        <v>26</v>
      </c>
      <c r="D480" t="s">
        <v>36</v>
      </c>
      <c r="E480" t="s">
        <v>20</v>
      </c>
      <c r="F480" t="s">
        <v>867</v>
      </c>
      <c r="G480" t="s">
        <v>22</v>
      </c>
      <c r="J480">
        <v>0</v>
      </c>
      <c r="K480">
        <v>0</v>
      </c>
      <c r="L480">
        <v>0</v>
      </c>
      <c r="M480">
        <v>1</v>
      </c>
      <c r="N480">
        <v>1.9</v>
      </c>
      <c r="O480">
        <v>16</v>
      </c>
      <c r="P480">
        <v>5</v>
      </c>
      <c r="Q480" t="s">
        <v>62</v>
      </c>
    </row>
    <row r="481" spans="1:17" x14ac:dyDescent="0.3">
      <c r="A481" t="s">
        <v>868</v>
      </c>
      <c r="B481" s="2">
        <v>46065</v>
      </c>
      <c r="C481" t="s">
        <v>18</v>
      </c>
      <c r="D481" t="s">
        <v>64</v>
      </c>
      <c r="E481" t="s">
        <v>42</v>
      </c>
      <c r="F481" t="s">
        <v>838</v>
      </c>
      <c r="G481" t="s">
        <v>22</v>
      </c>
      <c r="H481" t="s">
        <v>23</v>
      </c>
      <c r="I481" t="s">
        <v>67</v>
      </c>
      <c r="J481">
        <v>1</v>
      </c>
      <c r="K481">
        <v>25600</v>
      </c>
      <c r="L481">
        <v>0</v>
      </c>
      <c r="N481">
        <v>19.8</v>
      </c>
      <c r="Q481" t="s">
        <v>67</v>
      </c>
    </row>
    <row r="482" spans="1:17" x14ac:dyDescent="0.3">
      <c r="A482" t="s">
        <v>869</v>
      </c>
      <c r="B482" s="2">
        <v>46080</v>
      </c>
      <c r="C482" t="s">
        <v>26</v>
      </c>
      <c r="D482" t="s">
        <v>72</v>
      </c>
      <c r="E482" t="s">
        <v>48</v>
      </c>
      <c r="F482" t="s">
        <v>870</v>
      </c>
      <c r="G482" t="s">
        <v>44</v>
      </c>
      <c r="J482">
        <v>0</v>
      </c>
      <c r="K482">
        <v>0</v>
      </c>
      <c r="L482">
        <v>0</v>
      </c>
      <c r="M482">
        <v>1</v>
      </c>
      <c r="N482">
        <v>8</v>
      </c>
      <c r="O482">
        <v>9.1999999999999993</v>
      </c>
      <c r="P482">
        <v>4.5</v>
      </c>
      <c r="Q482" t="s">
        <v>39</v>
      </c>
    </row>
    <row r="483" spans="1:17" x14ac:dyDescent="0.3">
      <c r="A483" t="s">
        <v>871</v>
      </c>
      <c r="B483" s="2">
        <v>46069</v>
      </c>
      <c r="C483" t="s">
        <v>26</v>
      </c>
      <c r="D483" t="s">
        <v>69</v>
      </c>
      <c r="E483" t="s">
        <v>20</v>
      </c>
      <c r="F483" t="s">
        <v>872</v>
      </c>
      <c r="G483" t="s">
        <v>50</v>
      </c>
      <c r="J483">
        <v>0</v>
      </c>
      <c r="K483">
        <v>0</v>
      </c>
      <c r="L483">
        <v>0</v>
      </c>
      <c r="M483">
        <v>1</v>
      </c>
      <c r="N483">
        <v>2.6</v>
      </c>
      <c r="O483">
        <v>4.5</v>
      </c>
      <c r="P483">
        <v>3.7</v>
      </c>
      <c r="Q483" t="s">
        <v>62</v>
      </c>
    </row>
    <row r="484" spans="1:17" x14ac:dyDescent="0.3">
      <c r="A484" t="s">
        <v>873</v>
      </c>
      <c r="B484" s="2">
        <v>45994</v>
      </c>
      <c r="C484" t="s">
        <v>18</v>
      </c>
      <c r="D484" t="s">
        <v>41</v>
      </c>
      <c r="E484" t="s">
        <v>20</v>
      </c>
      <c r="F484" t="s">
        <v>874</v>
      </c>
      <c r="G484" t="s">
        <v>44</v>
      </c>
      <c r="H484" t="s">
        <v>86</v>
      </c>
      <c r="I484" t="s">
        <v>79</v>
      </c>
      <c r="J484">
        <v>1</v>
      </c>
      <c r="K484">
        <v>25500</v>
      </c>
      <c r="L484">
        <v>0</v>
      </c>
      <c r="N484">
        <v>12.3</v>
      </c>
      <c r="Q484" t="s">
        <v>79</v>
      </c>
    </row>
    <row r="485" spans="1:17" x14ac:dyDescent="0.3">
      <c r="A485" t="s">
        <v>875</v>
      </c>
      <c r="B485" s="2">
        <v>46004</v>
      </c>
      <c r="C485" t="s">
        <v>26</v>
      </c>
      <c r="D485" t="s">
        <v>33</v>
      </c>
      <c r="E485" t="s">
        <v>28</v>
      </c>
      <c r="F485" t="s">
        <v>536</v>
      </c>
      <c r="G485" t="s">
        <v>30</v>
      </c>
      <c r="J485">
        <v>0</v>
      </c>
      <c r="K485">
        <v>0</v>
      </c>
      <c r="L485">
        <v>0</v>
      </c>
      <c r="M485">
        <v>1</v>
      </c>
      <c r="N485">
        <v>6.6</v>
      </c>
      <c r="O485">
        <v>4.3</v>
      </c>
      <c r="P485">
        <v>4</v>
      </c>
      <c r="Q485" t="s">
        <v>31</v>
      </c>
    </row>
    <row r="486" spans="1:17" x14ac:dyDescent="0.3">
      <c r="A486" t="s">
        <v>876</v>
      </c>
      <c r="B486" s="2">
        <v>45939</v>
      </c>
      <c r="C486" t="s">
        <v>26</v>
      </c>
      <c r="D486" t="s">
        <v>33</v>
      </c>
      <c r="E486" t="s">
        <v>42</v>
      </c>
      <c r="F486" t="s">
        <v>353</v>
      </c>
      <c r="G486" t="s">
        <v>44</v>
      </c>
      <c r="J486">
        <v>0</v>
      </c>
      <c r="K486">
        <v>0</v>
      </c>
      <c r="L486">
        <v>0</v>
      </c>
      <c r="M486">
        <v>1</v>
      </c>
      <c r="N486">
        <v>1</v>
      </c>
      <c r="O486">
        <v>6.8</v>
      </c>
      <c r="P486">
        <v>3.4</v>
      </c>
      <c r="Q486" t="s">
        <v>39</v>
      </c>
    </row>
    <row r="487" spans="1:17" x14ac:dyDescent="0.3">
      <c r="A487" t="s">
        <v>877</v>
      </c>
      <c r="B487" s="2">
        <v>46078</v>
      </c>
      <c r="C487" t="s">
        <v>26</v>
      </c>
      <c r="D487" t="s">
        <v>33</v>
      </c>
      <c r="E487" t="s">
        <v>48</v>
      </c>
      <c r="F487" t="s">
        <v>878</v>
      </c>
      <c r="G487" t="s">
        <v>44</v>
      </c>
      <c r="J487">
        <v>0</v>
      </c>
      <c r="K487">
        <v>0</v>
      </c>
      <c r="L487">
        <v>0</v>
      </c>
      <c r="M487">
        <v>1</v>
      </c>
      <c r="N487">
        <v>2.9</v>
      </c>
      <c r="O487">
        <v>11.4</v>
      </c>
      <c r="P487">
        <v>3.1</v>
      </c>
      <c r="Q487" t="s">
        <v>225</v>
      </c>
    </row>
    <row r="488" spans="1:17" x14ac:dyDescent="0.3">
      <c r="A488" t="s">
        <v>879</v>
      </c>
      <c r="B488" s="2">
        <v>46180</v>
      </c>
      <c r="C488" t="s">
        <v>18</v>
      </c>
      <c r="D488" t="s">
        <v>105</v>
      </c>
      <c r="E488" t="s">
        <v>28</v>
      </c>
      <c r="F488" t="s">
        <v>465</v>
      </c>
      <c r="G488" t="s">
        <v>22</v>
      </c>
      <c r="H488" t="s">
        <v>78</v>
      </c>
      <c r="I488" t="s">
        <v>89</v>
      </c>
      <c r="J488">
        <v>1</v>
      </c>
      <c r="K488">
        <v>10300</v>
      </c>
      <c r="L488">
        <v>0</v>
      </c>
      <c r="N488">
        <v>11.2</v>
      </c>
      <c r="Q488" t="s">
        <v>89</v>
      </c>
    </row>
    <row r="489" spans="1:17" x14ac:dyDescent="0.3">
      <c r="A489" t="s">
        <v>880</v>
      </c>
      <c r="B489" s="2">
        <v>46145</v>
      </c>
      <c r="C489" t="s">
        <v>18</v>
      </c>
      <c r="D489" t="s">
        <v>41</v>
      </c>
      <c r="E489" t="s">
        <v>20</v>
      </c>
      <c r="F489" t="s">
        <v>447</v>
      </c>
      <c r="G489" t="s">
        <v>50</v>
      </c>
      <c r="H489" t="s">
        <v>86</v>
      </c>
      <c r="I489" t="s">
        <v>67</v>
      </c>
      <c r="J489">
        <v>1</v>
      </c>
      <c r="K489">
        <v>20000</v>
      </c>
      <c r="L489">
        <v>0</v>
      </c>
      <c r="N489">
        <v>22.8</v>
      </c>
      <c r="Q489" t="s">
        <v>67</v>
      </c>
    </row>
    <row r="490" spans="1:17" x14ac:dyDescent="0.3">
      <c r="A490" t="s">
        <v>881</v>
      </c>
      <c r="B490" s="2">
        <v>45993</v>
      </c>
      <c r="C490" t="s">
        <v>26</v>
      </c>
      <c r="D490" t="s">
        <v>72</v>
      </c>
      <c r="E490" t="s">
        <v>20</v>
      </c>
      <c r="F490" t="s">
        <v>882</v>
      </c>
      <c r="G490" t="s">
        <v>22</v>
      </c>
      <c r="J490">
        <v>0</v>
      </c>
      <c r="K490">
        <v>0</v>
      </c>
      <c r="L490">
        <v>0</v>
      </c>
      <c r="M490">
        <v>1</v>
      </c>
      <c r="N490">
        <v>9.6999999999999993</v>
      </c>
      <c r="O490">
        <v>6.7</v>
      </c>
      <c r="P490">
        <v>3.8</v>
      </c>
      <c r="Q490" t="s">
        <v>62</v>
      </c>
    </row>
    <row r="491" spans="1:17" x14ac:dyDescent="0.3">
      <c r="A491" t="s">
        <v>883</v>
      </c>
      <c r="B491" s="2">
        <v>45973</v>
      </c>
      <c r="C491" t="s">
        <v>26</v>
      </c>
      <c r="D491" t="s">
        <v>69</v>
      </c>
      <c r="E491" t="s">
        <v>20</v>
      </c>
      <c r="F491" t="s">
        <v>495</v>
      </c>
      <c r="G491" t="s">
        <v>22</v>
      </c>
      <c r="J491">
        <v>0</v>
      </c>
      <c r="K491">
        <v>0</v>
      </c>
      <c r="L491">
        <v>0</v>
      </c>
      <c r="M491">
        <v>1</v>
      </c>
      <c r="N491">
        <v>9.5</v>
      </c>
      <c r="O491">
        <v>6.6</v>
      </c>
      <c r="P491">
        <v>2.5</v>
      </c>
      <c r="Q491" t="s">
        <v>39</v>
      </c>
    </row>
    <row r="492" spans="1:17" x14ac:dyDescent="0.3">
      <c r="A492" t="s">
        <v>884</v>
      </c>
      <c r="B492" s="2">
        <v>46102</v>
      </c>
      <c r="C492" t="s">
        <v>18</v>
      </c>
      <c r="D492" t="s">
        <v>64</v>
      </c>
      <c r="E492" t="s">
        <v>28</v>
      </c>
      <c r="F492" t="s">
        <v>793</v>
      </c>
      <c r="G492" t="s">
        <v>22</v>
      </c>
      <c r="H492" t="s">
        <v>86</v>
      </c>
      <c r="I492" t="s">
        <v>45</v>
      </c>
      <c r="J492">
        <v>1</v>
      </c>
      <c r="K492">
        <v>36300</v>
      </c>
      <c r="L492">
        <v>0</v>
      </c>
      <c r="N492">
        <v>21.1</v>
      </c>
      <c r="Q492" t="s">
        <v>45</v>
      </c>
    </row>
    <row r="493" spans="1:17" x14ac:dyDescent="0.3">
      <c r="A493" t="s">
        <v>885</v>
      </c>
      <c r="B493" s="2">
        <v>45916</v>
      </c>
      <c r="C493" t="s">
        <v>26</v>
      </c>
      <c r="D493" t="s">
        <v>69</v>
      </c>
      <c r="E493" t="s">
        <v>48</v>
      </c>
      <c r="F493" t="s">
        <v>857</v>
      </c>
      <c r="G493" t="s">
        <v>30</v>
      </c>
      <c r="J493">
        <v>0</v>
      </c>
      <c r="K493">
        <v>0</v>
      </c>
      <c r="L493">
        <v>0</v>
      </c>
      <c r="M493">
        <v>1</v>
      </c>
      <c r="N493">
        <v>11.6</v>
      </c>
      <c r="O493">
        <v>3</v>
      </c>
      <c r="P493">
        <v>3.3</v>
      </c>
      <c r="Q493" t="s">
        <v>39</v>
      </c>
    </row>
    <row r="494" spans="1:17" x14ac:dyDescent="0.3">
      <c r="A494" t="s">
        <v>886</v>
      </c>
      <c r="B494" s="2">
        <v>46183</v>
      </c>
      <c r="C494" t="s">
        <v>18</v>
      </c>
      <c r="D494" t="s">
        <v>41</v>
      </c>
      <c r="E494" t="s">
        <v>28</v>
      </c>
      <c r="F494" t="s">
        <v>887</v>
      </c>
      <c r="G494" t="s">
        <v>22</v>
      </c>
      <c r="H494" t="s">
        <v>86</v>
      </c>
      <c r="I494" t="s">
        <v>45</v>
      </c>
      <c r="J494">
        <v>1</v>
      </c>
      <c r="K494">
        <v>13000</v>
      </c>
      <c r="L494">
        <v>0</v>
      </c>
      <c r="N494">
        <v>18.7</v>
      </c>
      <c r="Q494" t="s">
        <v>45</v>
      </c>
    </row>
    <row r="495" spans="1:17" x14ac:dyDescent="0.3">
      <c r="A495" t="s">
        <v>888</v>
      </c>
      <c r="B495" s="2">
        <v>45955</v>
      </c>
      <c r="C495" t="s">
        <v>18</v>
      </c>
      <c r="D495" t="s">
        <v>117</v>
      </c>
      <c r="E495" t="s">
        <v>48</v>
      </c>
      <c r="F495" t="s">
        <v>889</v>
      </c>
      <c r="G495" t="s">
        <v>22</v>
      </c>
      <c r="H495" t="s">
        <v>86</v>
      </c>
      <c r="I495" t="s">
        <v>24</v>
      </c>
      <c r="J495">
        <v>1</v>
      </c>
      <c r="K495">
        <v>27700</v>
      </c>
      <c r="L495">
        <v>27700</v>
      </c>
      <c r="N495">
        <v>8.8000000000000007</v>
      </c>
      <c r="Q495" t="s">
        <v>24</v>
      </c>
    </row>
    <row r="496" spans="1:17" x14ac:dyDescent="0.3">
      <c r="A496" t="s">
        <v>890</v>
      </c>
      <c r="B496" s="2">
        <v>46022</v>
      </c>
      <c r="C496" t="s">
        <v>18</v>
      </c>
      <c r="D496" t="s">
        <v>105</v>
      </c>
      <c r="E496" t="s">
        <v>20</v>
      </c>
      <c r="F496" t="s">
        <v>891</v>
      </c>
      <c r="G496" t="s">
        <v>22</v>
      </c>
      <c r="H496" t="s">
        <v>23</v>
      </c>
      <c r="I496" t="s">
        <v>67</v>
      </c>
      <c r="J496">
        <v>1</v>
      </c>
      <c r="K496">
        <v>18300</v>
      </c>
      <c r="L496">
        <v>0</v>
      </c>
      <c r="N496">
        <v>6</v>
      </c>
      <c r="Q496" t="s">
        <v>67</v>
      </c>
    </row>
    <row r="497" spans="1:17" x14ac:dyDescent="0.3">
      <c r="A497" t="s">
        <v>892</v>
      </c>
      <c r="B497" s="2">
        <v>45924</v>
      </c>
      <c r="C497" t="s">
        <v>18</v>
      </c>
      <c r="D497" t="s">
        <v>64</v>
      </c>
      <c r="E497" t="s">
        <v>42</v>
      </c>
      <c r="F497" t="s">
        <v>893</v>
      </c>
      <c r="G497" t="s">
        <v>50</v>
      </c>
      <c r="H497" t="s">
        <v>78</v>
      </c>
      <c r="I497" t="s">
        <v>67</v>
      </c>
      <c r="J497">
        <v>1</v>
      </c>
      <c r="K497">
        <v>44000</v>
      </c>
      <c r="L497">
        <v>0</v>
      </c>
      <c r="N497">
        <v>16</v>
      </c>
      <c r="Q497" t="s">
        <v>67</v>
      </c>
    </row>
    <row r="498" spans="1:17" x14ac:dyDescent="0.3">
      <c r="A498" t="s">
        <v>894</v>
      </c>
      <c r="B498" s="2">
        <v>46220</v>
      </c>
      <c r="C498" t="s">
        <v>26</v>
      </c>
      <c r="D498" t="s">
        <v>232</v>
      </c>
      <c r="E498" t="s">
        <v>20</v>
      </c>
      <c r="F498" t="s">
        <v>596</v>
      </c>
      <c r="G498" t="s">
        <v>30</v>
      </c>
      <c r="J498">
        <v>0</v>
      </c>
      <c r="K498">
        <v>0</v>
      </c>
      <c r="L498">
        <v>0</v>
      </c>
      <c r="M498">
        <v>1</v>
      </c>
      <c r="N498">
        <v>2.5</v>
      </c>
      <c r="O498">
        <v>6.2</v>
      </c>
      <c r="P498">
        <v>3.3</v>
      </c>
      <c r="Q498" t="s">
        <v>31</v>
      </c>
    </row>
    <row r="499" spans="1:17" x14ac:dyDescent="0.3">
      <c r="A499" t="s">
        <v>895</v>
      </c>
      <c r="B499" s="2">
        <v>46000</v>
      </c>
      <c r="C499" t="s">
        <v>18</v>
      </c>
      <c r="D499" t="s">
        <v>95</v>
      </c>
      <c r="E499" t="s">
        <v>37</v>
      </c>
      <c r="F499" t="s">
        <v>896</v>
      </c>
      <c r="G499" t="s">
        <v>44</v>
      </c>
      <c r="H499" t="s">
        <v>54</v>
      </c>
      <c r="I499" t="s">
        <v>89</v>
      </c>
      <c r="J499">
        <v>1</v>
      </c>
      <c r="K499">
        <v>11500</v>
      </c>
      <c r="L499">
        <v>0</v>
      </c>
      <c r="N499">
        <v>21.2</v>
      </c>
      <c r="Q499" t="s">
        <v>89</v>
      </c>
    </row>
    <row r="500" spans="1:17" x14ac:dyDescent="0.3">
      <c r="A500" t="s">
        <v>897</v>
      </c>
      <c r="B500" s="2">
        <v>46007</v>
      </c>
      <c r="C500" t="s">
        <v>26</v>
      </c>
      <c r="D500" t="s">
        <v>27</v>
      </c>
      <c r="E500" t="s">
        <v>20</v>
      </c>
      <c r="F500" t="s">
        <v>607</v>
      </c>
      <c r="G500" t="s">
        <v>22</v>
      </c>
      <c r="J500">
        <v>0</v>
      </c>
      <c r="K500">
        <v>0</v>
      </c>
      <c r="L500">
        <v>0</v>
      </c>
      <c r="M500">
        <v>1</v>
      </c>
      <c r="N500">
        <v>5</v>
      </c>
      <c r="O500">
        <v>10.8</v>
      </c>
      <c r="P500">
        <v>4.2</v>
      </c>
      <c r="Q500" t="s">
        <v>31</v>
      </c>
    </row>
    <row r="501" spans="1:17" x14ac:dyDescent="0.3">
      <c r="A501" t="s">
        <v>898</v>
      </c>
      <c r="B501" s="2">
        <v>46231</v>
      </c>
      <c r="C501" t="s">
        <v>26</v>
      </c>
      <c r="D501" t="s">
        <v>33</v>
      </c>
      <c r="E501" t="s">
        <v>20</v>
      </c>
      <c r="F501" t="s">
        <v>899</v>
      </c>
      <c r="G501" t="s">
        <v>50</v>
      </c>
      <c r="J501">
        <v>0</v>
      </c>
      <c r="K501">
        <v>0</v>
      </c>
      <c r="L501">
        <v>0</v>
      </c>
      <c r="M501">
        <v>1</v>
      </c>
      <c r="N501">
        <v>9.4</v>
      </c>
      <c r="O501">
        <v>3.2</v>
      </c>
      <c r="P501">
        <v>4.0999999999999996</v>
      </c>
      <c r="Q501" t="s">
        <v>39</v>
      </c>
    </row>
    <row r="502" spans="1:17" x14ac:dyDescent="0.3">
      <c r="A502" t="s">
        <v>900</v>
      </c>
      <c r="B502" s="2">
        <v>46091</v>
      </c>
      <c r="C502" t="s">
        <v>26</v>
      </c>
      <c r="D502" t="s">
        <v>72</v>
      </c>
      <c r="E502" t="s">
        <v>37</v>
      </c>
      <c r="F502" t="s">
        <v>882</v>
      </c>
      <c r="G502" t="s">
        <v>22</v>
      </c>
      <c r="J502">
        <v>0</v>
      </c>
      <c r="K502">
        <v>0</v>
      </c>
      <c r="L502">
        <v>0</v>
      </c>
      <c r="M502">
        <v>1</v>
      </c>
      <c r="N502">
        <v>2.2999999999999998</v>
      </c>
      <c r="O502">
        <v>9.6999999999999993</v>
      </c>
      <c r="P502">
        <v>3.6</v>
      </c>
      <c r="Q502" t="s">
        <v>31</v>
      </c>
    </row>
    <row r="503" spans="1:17" x14ac:dyDescent="0.3">
      <c r="A503" t="s">
        <v>901</v>
      </c>
      <c r="B503" s="2">
        <v>46088</v>
      </c>
      <c r="C503" t="s">
        <v>18</v>
      </c>
      <c r="D503" t="s">
        <v>52</v>
      </c>
      <c r="E503" t="s">
        <v>42</v>
      </c>
      <c r="F503" t="s">
        <v>546</v>
      </c>
      <c r="G503" t="s">
        <v>50</v>
      </c>
      <c r="H503" t="s">
        <v>86</v>
      </c>
      <c r="I503" t="s">
        <v>55</v>
      </c>
      <c r="J503">
        <v>1</v>
      </c>
      <c r="K503">
        <v>7600</v>
      </c>
      <c r="L503">
        <v>0</v>
      </c>
      <c r="N503">
        <v>13.8</v>
      </c>
      <c r="Q503" t="s">
        <v>55</v>
      </c>
    </row>
    <row r="504" spans="1:17" x14ac:dyDescent="0.3">
      <c r="A504" t="s">
        <v>902</v>
      </c>
      <c r="B504" s="2">
        <v>46049</v>
      </c>
      <c r="C504" t="s">
        <v>18</v>
      </c>
      <c r="D504" t="s">
        <v>41</v>
      </c>
      <c r="E504" t="s">
        <v>20</v>
      </c>
      <c r="F504" t="s">
        <v>903</v>
      </c>
      <c r="G504" t="s">
        <v>44</v>
      </c>
      <c r="H504" t="s">
        <v>23</v>
      </c>
      <c r="I504" t="s">
        <v>67</v>
      </c>
      <c r="J504">
        <v>1</v>
      </c>
      <c r="K504">
        <v>18400</v>
      </c>
      <c r="L504">
        <v>0</v>
      </c>
      <c r="N504">
        <v>12.9</v>
      </c>
      <c r="Q504" t="s">
        <v>67</v>
      </c>
    </row>
    <row r="505" spans="1:17" x14ac:dyDescent="0.3">
      <c r="A505" t="s">
        <v>904</v>
      </c>
      <c r="B505" s="2">
        <v>45967</v>
      </c>
      <c r="C505" t="s">
        <v>26</v>
      </c>
      <c r="D505" t="s">
        <v>36</v>
      </c>
      <c r="E505" t="s">
        <v>28</v>
      </c>
      <c r="F505" t="s">
        <v>905</v>
      </c>
      <c r="G505" t="s">
        <v>22</v>
      </c>
      <c r="J505">
        <v>0</v>
      </c>
      <c r="K505">
        <v>0</v>
      </c>
      <c r="L505">
        <v>0</v>
      </c>
      <c r="M505">
        <v>1</v>
      </c>
      <c r="N505">
        <v>8.6999999999999993</v>
      </c>
      <c r="O505">
        <v>72</v>
      </c>
      <c r="P505">
        <v>3.8</v>
      </c>
      <c r="Q505" t="s">
        <v>39</v>
      </c>
    </row>
    <row r="506" spans="1:17" x14ac:dyDescent="0.3">
      <c r="A506" t="s">
        <v>906</v>
      </c>
      <c r="B506" s="2">
        <v>46042</v>
      </c>
      <c r="C506" t="s">
        <v>26</v>
      </c>
      <c r="D506" t="s">
        <v>126</v>
      </c>
      <c r="E506" t="s">
        <v>20</v>
      </c>
      <c r="F506" t="s">
        <v>907</v>
      </c>
      <c r="G506" t="s">
        <v>30</v>
      </c>
      <c r="J506">
        <v>0</v>
      </c>
      <c r="K506">
        <v>0</v>
      </c>
      <c r="L506">
        <v>0</v>
      </c>
      <c r="M506">
        <v>1</v>
      </c>
      <c r="N506">
        <v>1.2</v>
      </c>
      <c r="O506">
        <v>6.3</v>
      </c>
      <c r="P506">
        <v>3.8</v>
      </c>
      <c r="Q506" t="s">
        <v>39</v>
      </c>
    </row>
    <row r="507" spans="1:17" x14ac:dyDescent="0.3">
      <c r="A507" t="s">
        <v>908</v>
      </c>
      <c r="B507" s="2">
        <v>46258</v>
      </c>
      <c r="C507" t="s">
        <v>18</v>
      </c>
      <c r="D507" t="s">
        <v>105</v>
      </c>
      <c r="E507" t="s">
        <v>28</v>
      </c>
      <c r="F507" t="s">
        <v>759</v>
      </c>
      <c r="G507" t="s">
        <v>22</v>
      </c>
      <c r="H507" t="s">
        <v>54</v>
      </c>
      <c r="I507" t="s">
        <v>89</v>
      </c>
      <c r="J507">
        <v>1</v>
      </c>
      <c r="K507">
        <v>16000</v>
      </c>
      <c r="L507">
        <v>0</v>
      </c>
      <c r="N507">
        <v>2.2000000000000002</v>
      </c>
      <c r="Q507" t="s">
        <v>89</v>
      </c>
    </row>
    <row r="508" spans="1:17" x14ac:dyDescent="0.3">
      <c r="A508" t="s">
        <v>909</v>
      </c>
      <c r="B508" s="2">
        <v>46099</v>
      </c>
      <c r="C508" t="s">
        <v>26</v>
      </c>
      <c r="D508" t="s">
        <v>69</v>
      </c>
      <c r="E508" t="s">
        <v>20</v>
      </c>
      <c r="F508" t="s">
        <v>910</v>
      </c>
      <c r="G508" t="s">
        <v>44</v>
      </c>
      <c r="J508">
        <v>0</v>
      </c>
      <c r="K508">
        <v>0</v>
      </c>
      <c r="L508">
        <v>0</v>
      </c>
      <c r="M508">
        <v>1</v>
      </c>
      <c r="N508">
        <v>1.2</v>
      </c>
      <c r="O508">
        <v>3.8</v>
      </c>
      <c r="P508">
        <v>4.5</v>
      </c>
      <c r="Q508" t="s">
        <v>39</v>
      </c>
    </row>
    <row r="509" spans="1:17" x14ac:dyDescent="0.3">
      <c r="A509" t="s">
        <v>911</v>
      </c>
      <c r="B509" s="2">
        <v>46006</v>
      </c>
      <c r="C509" t="s">
        <v>26</v>
      </c>
      <c r="D509" t="s">
        <v>33</v>
      </c>
      <c r="E509" t="s">
        <v>28</v>
      </c>
      <c r="F509" t="s">
        <v>912</v>
      </c>
      <c r="G509" t="s">
        <v>22</v>
      </c>
      <c r="J509">
        <v>0</v>
      </c>
      <c r="K509">
        <v>0</v>
      </c>
      <c r="L509">
        <v>0</v>
      </c>
      <c r="M509">
        <v>1</v>
      </c>
      <c r="N509">
        <v>11.2</v>
      </c>
      <c r="O509">
        <v>6.1</v>
      </c>
      <c r="P509">
        <v>2.8</v>
      </c>
      <c r="Q509" t="s">
        <v>62</v>
      </c>
    </row>
    <row r="510" spans="1:17" x14ac:dyDescent="0.3">
      <c r="A510" t="s">
        <v>913</v>
      </c>
      <c r="B510" s="2">
        <v>45963</v>
      </c>
      <c r="C510" t="s">
        <v>26</v>
      </c>
      <c r="D510" t="s">
        <v>36</v>
      </c>
      <c r="E510" t="s">
        <v>20</v>
      </c>
      <c r="F510" t="s">
        <v>832</v>
      </c>
      <c r="G510" t="s">
        <v>44</v>
      </c>
      <c r="J510">
        <v>0</v>
      </c>
      <c r="K510">
        <v>0</v>
      </c>
      <c r="L510">
        <v>0</v>
      </c>
      <c r="M510">
        <v>1</v>
      </c>
      <c r="N510">
        <v>8.5</v>
      </c>
      <c r="O510">
        <v>5.4</v>
      </c>
      <c r="P510">
        <v>3.7</v>
      </c>
      <c r="Q510" t="s">
        <v>39</v>
      </c>
    </row>
    <row r="511" spans="1:17" x14ac:dyDescent="0.3">
      <c r="A511" t="s">
        <v>914</v>
      </c>
      <c r="B511" s="2">
        <v>45953</v>
      </c>
      <c r="C511" t="s">
        <v>26</v>
      </c>
      <c r="D511" t="s">
        <v>232</v>
      </c>
      <c r="E511" t="s">
        <v>20</v>
      </c>
      <c r="F511" t="s">
        <v>224</v>
      </c>
      <c r="G511" t="s">
        <v>44</v>
      </c>
      <c r="J511">
        <v>0</v>
      </c>
      <c r="K511">
        <v>0</v>
      </c>
      <c r="L511">
        <v>0</v>
      </c>
      <c r="M511">
        <v>1</v>
      </c>
      <c r="N511">
        <v>4.7</v>
      </c>
      <c r="O511">
        <v>12.6</v>
      </c>
      <c r="P511">
        <v>3.2</v>
      </c>
      <c r="Q511" t="s">
        <v>62</v>
      </c>
    </row>
    <row r="512" spans="1:17" x14ac:dyDescent="0.3">
      <c r="A512" t="s">
        <v>915</v>
      </c>
      <c r="B512" s="2">
        <v>46123</v>
      </c>
      <c r="C512" t="s">
        <v>26</v>
      </c>
      <c r="D512" t="s">
        <v>27</v>
      </c>
      <c r="E512" t="s">
        <v>20</v>
      </c>
      <c r="F512" t="s">
        <v>134</v>
      </c>
      <c r="G512" t="s">
        <v>22</v>
      </c>
      <c r="J512">
        <v>0</v>
      </c>
      <c r="K512">
        <v>0</v>
      </c>
      <c r="L512">
        <v>0</v>
      </c>
      <c r="M512">
        <v>1</v>
      </c>
      <c r="N512">
        <v>4.3</v>
      </c>
      <c r="O512">
        <v>2.2000000000000002</v>
      </c>
      <c r="P512">
        <v>4.2</v>
      </c>
      <c r="Q512" t="s">
        <v>225</v>
      </c>
    </row>
    <row r="513" spans="1:17" x14ac:dyDescent="0.3">
      <c r="A513" t="s">
        <v>916</v>
      </c>
      <c r="B513" s="2">
        <v>46190</v>
      </c>
      <c r="C513" t="s">
        <v>18</v>
      </c>
      <c r="D513" t="s">
        <v>41</v>
      </c>
      <c r="E513" t="s">
        <v>48</v>
      </c>
      <c r="F513" t="s">
        <v>917</v>
      </c>
      <c r="G513" t="s">
        <v>30</v>
      </c>
      <c r="H513" t="s">
        <v>86</v>
      </c>
      <c r="I513" t="s">
        <v>89</v>
      </c>
      <c r="J513">
        <v>1</v>
      </c>
      <c r="K513">
        <v>8000</v>
      </c>
      <c r="L513">
        <v>0</v>
      </c>
      <c r="N513">
        <v>19.2</v>
      </c>
      <c r="Q513" t="s">
        <v>89</v>
      </c>
    </row>
    <row r="514" spans="1:17" x14ac:dyDescent="0.3">
      <c r="A514" t="s">
        <v>918</v>
      </c>
      <c r="B514" s="2">
        <v>45978</v>
      </c>
      <c r="C514" t="s">
        <v>26</v>
      </c>
      <c r="D514" t="s">
        <v>72</v>
      </c>
      <c r="E514" t="s">
        <v>20</v>
      </c>
      <c r="F514" t="s">
        <v>896</v>
      </c>
      <c r="G514" t="s">
        <v>22</v>
      </c>
      <c r="J514">
        <v>0</v>
      </c>
      <c r="K514">
        <v>0</v>
      </c>
      <c r="L514">
        <v>0</v>
      </c>
      <c r="M514">
        <v>1</v>
      </c>
      <c r="N514">
        <v>4.0999999999999996</v>
      </c>
      <c r="O514">
        <v>6.3</v>
      </c>
      <c r="P514">
        <v>4.0999999999999996</v>
      </c>
      <c r="Q514" t="s">
        <v>62</v>
      </c>
    </row>
    <row r="515" spans="1:17" x14ac:dyDescent="0.3">
      <c r="A515" t="s">
        <v>919</v>
      </c>
      <c r="B515" s="2">
        <v>46155</v>
      </c>
      <c r="C515" t="s">
        <v>26</v>
      </c>
      <c r="D515" t="s">
        <v>72</v>
      </c>
      <c r="E515" t="s">
        <v>42</v>
      </c>
      <c r="F515" t="s">
        <v>920</v>
      </c>
      <c r="G515" t="s">
        <v>50</v>
      </c>
      <c r="J515">
        <v>0</v>
      </c>
      <c r="K515">
        <v>0</v>
      </c>
      <c r="L515">
        <v>0</v>
      </c>
      <c r="M515">
        <v>1</v>
      </c>
      <c r="N515">
        <v>10.6</v>
      </c>
      <c r="O515">
        <v>1.3</v>
      </c>
      <c r="P515">
        <v>5</v>
      </c>
      <c r="Q515" t="s">
        <v>39</v>
      </c>
    </row>
    <row r="516" spans="1:17" x14ac:dyDescent="0.3">
      <c r="A516" t="s">
        <v>921</v>
      </c>
      <c r="B516" s="2">
        <v>46158</v>
      </c>
      <c r="C516" t="s">
        <v>18</v>
      </c>
      <c r="D516" t="s">
        <v>64</v>
      </c>
      <c r="E516" t="s">
        <v>20</v>
      </c>
      <c r="F516" t="s">
        <v>29</v>
      </c>
      <c r="G516" t="s">
        <v>30</v>
      </c>
      <c r="H516" t="s">
        <v>78</v>
      </c>
      <c r="I516" t="s">
        <v>45</v>
      </c>
      <c r="J516">
        <v>1</v>
      </c>
      <c r="K516">
        <v>115200</v>
      </c>
      <c r="L516">
        <v>0</v>
      </c>
      <c r="N516">
        <v>15.8</v>
      </c>
      <c r="Q516" t="s">
        <v>45</v>
      </c>
    </row>
    <row r="517" spans="1:17" x14ac:dyDescent="0.3">
      <c r="A517" t="s">
        <v>922</v>
      </c>
      <c r="B517" s="2">
        <v>46257</v>
      </c>
      <c r="C517" t="s">
        <v>18</v>
      </c>
      <c r="D517" t="s">
        <v>19</v>
      </c>
      <c r="E517" t="s">
        <v>48</v>
      </c>
      <c r="F517" t="s">
        <v>923</v>
      </c>
      <c r="G517" t="s">
        <v>44</v>
      </c>
      <c r="H517" t="s">
        <v>23</v>
      </c>
      <c r="I517" t="s">
        <v>67</v>
      </c>
      <c r="J517">
        <v>1</v>
      </c>
      <c r="K517">
        <v>54100</v>
      </c>
      <c r="L517">
        <v>0</v>
      </c>
      <c r="N517">
        <v>18.399999999999999</v>
      </c>
      <c r="Q517" t="s">
        <v>67</v>
      </c>
    </row>
    <row r="518" spans="1:17" x14ac:dyDescent="0.3">
      <c r="A518" t="s">
        <v>924</v>
      </c>
      <c r="B518" s="2">
        <v>46135</v>
      </c>
      <c r="C518" t="s">
        <v>18</v>
      </c>
      <c r="D518" t="s">
        <v>47</v>
      </c>
      <c r="E518" t="s">
        <v>20</v>
      </c>
      <c r="F518" t="s">
        <v>442</v>
      </c>
      <c r="G518" t="s">
        <v>22</v>
      </c>
      <c r="H518" t="s">
        <v>23</v>
      </c>
      <c r="I518" t="s">
        <v>67</v>
      </c>
      <c r="J518">
        <v>1</v>
      </c>
      <c r="K518">
        <v>18300</v>
      </c>
      <c r="L518">
        <v>0</v>
      </c>
      <c r="N518">
        <v>18</v>
      </c>
      <c r="Q518" t="s">
        <v>67</v>
      </c>
    </row>
    <row r="519" spans="1:17" x14ac:dyDescent="0.3">
      <c r="A519" t="s">
        <v>925</v>
      </c>
      <c r="B519" s="2">
        <v>46142</v>
      </c>
      <c r="C519" t="s">
        <v>26</v>
      </c>
      <c r="D519" t="s">
        <v>126</v>
      </c>
      <c r="E519" t="s">
        <v>42</v>
      </c>
      <c r="F519" t="s">
        <v>926</v>
      </c>
      <c r="G519" t="s">
        <v>50</v>
      </c>
      <c r="J519">
        <v>0</v>
      </c>
      <c r="K519">
        <v>0</v>
      </c>
      <c r="L519">
        <v>0</v>
      </c>
      <c r="M519">
        <v>1</v>
      </c>
      <c r="N519">
        <v>10.6</v>
      </c>
      <c r="O519">
        <v>4.8</v>
      </c>
      <c r="P519">
        <v>3.7</v>
      </c>
      <c r="Q519" t="s">
        <v>225</v>
      </c>
    </row>
    <row r="520" spans="1:17" x14ac:dyDescent="0.3">
      <c r="A520" t="s">
        <v>927</v>
      </c>
      <c r="B520" s="2">
        <v>46202</v>
      </c>
      <c r="C520" t="s">
        <v>26</v>
      </c>
      <c r="D520" t="s">
        <v>33</v>
      </c>
      <c r="E520" t="s">
        <v>20</v>
      </c>
      <c r="F520" t="s">
        <v>77</v>
      </c>
      <c r="G520" t="s">
        <v>22</v>
      </c>
      <c r="J520">
        <v>0</v>
      </c>
      <c r="K520">
        <v>0</v>
      </c>
      <c r="L520">
        <v>0</v>
      </c>
      <c r="M520">
        <v>1</v>
      </c>
      <c r="N520">
        <v>7.6</v>
      </c>
      <c r="O520">
        <v>8.6</v>
      </c>
      <c r="P520">
        <v>3.9</v>
      </c>
      <c r="Q520" t="s">
        <v>62</v>
      </c>
    </row>
    <row r="521" spans="1:17" x14ac:dyDescent="0.3">
      <c r="A521" t="s">
        <v>928</v>
      </c>
      <c r="B521" s="2">
        <v>46248</v>
      </c>
      <c r="C521" t="s">
        <v>18</v>
      </c>
      <c r="D521" t="s">
        <v>95</v>
      </c>
      <c r="E521" t="s">
        <v>20</v>
      </c>
      <c r="F521" t="s">
        <v>683</v>
      </c>
      <c r="G521" t="s">
        <v>50</v>
      </c>
      <c r="H521" t="s">
        <v>86</v>
      </c>
      <c r="I521" t="s">
        <v>45</v>
      </c>
      <c r="J521">
        <v>1</v>
      </c>
      <c r="K521">
        <v>8900</v>
      </c>
      <c r="L521">
        <v>0</v>
      </c>
      <c r="N521">
        <v>17.600000000000001</v>
      </c>
      <c r="Q521" t="s">
        <v>45</v>
      </c>
    </row>
    <row r="522" spans="1:17" x14ac:dyDescent="0.3">
      <c r="A522" t="s">
        <v>929</v>
      </c>
      <c r="B522" s="2">
        <v>46121</v>
      </c>
      <c r="C522" t="s">
        <v>26</v>
      </c>
      <c r="D522" t="s">
        <v>114</v>
      </c>
      <c r="E522" t="s">
        <v>20</v>
      </c>
      <c r="F522" t="s">
        <v>740</v>
      </c>
      <c r="G522" t="s">
        <v>44</v>
      </c>
      <c r="J522">
        <v>0</v>
      </c>
      <c r="K522">
        <v>0</v>
      </c>
      <c r="L522">
        <v>0</v>
      </c>
      <c r="M522">
        <v>1</v>
      </c>
      <c r="N522">
        <v>7</v>
      </c>
      <c r="O522">
        <v>7.7</v>
      </c>
      <c r="P522">
        <v>3.9</v>
      </c>
      <c r="Q522" t="s">
        <v>62</v>
      </c>
    </row>
    <row r="523" spans="1:17" x14ac:dyDescent="0.3">
      <c r="A523" t="s">
        <v>930</v>
      </c>
      <c r="B523" s="2">
        <v>46021</v>
      </c>
      <c r="C523" t="s">
        <v>18</v>
      </c>
      <c r="D523" t="s">
        <v>41</v>
      </c>
      <c r="E523" t="s">
        <v>20</v>
      </c>
      <c r="F523" t="s">
        <v>380</v>
      </c>
      <c r="G523" t="s">
        <v>30</v>
      </c>
      <c r="H523" t="s">
        <v>78</v>
      </c>
      <c r="I523" t="s">
        <v>24</v>
      </c>
      <c r="J523">
        <v>1</v>
      </c>
      <c r="K523">
        <v>51700</v>
      </c>
      <c r="L523">
        <v>51700</v>
      </c>
      <c r="N523">
        <v>21</v>
      </c>
      <c r="Q523" t="s">
        <v>24</v>
      </c>
    </row>
    <row r="524" spans="1:17" x14ac:dyDescent="0.3">
      <c r="A524" t="s">
        <v>931</v>
      </c>
      <c r="B524" s="2">
        <v>46077</v>
      </c>
      <c r="C524" t="s">
        <v>26</v>
      </c>
      <c r="D524" t="s">
        <v>126</v>
      </c>
      <c r="E524" t="s">
        <v>20</v>
      </c>
      <c r="F524" t="s">
        <v>932</v>
      </c>
      <c r="G524" t="s">
        <v>30</v>
      </c>
      <c r="J524">
        <v>0</v>
      </c>
      <c r="K524">
        <v>0</v>
      </c>
      <c r="L524">
        <v>0</v>
      </c>
      <c r="M524">
        <v>1</v>
      </c>
      <c r="N524">
        <v>6.2</v>
      </c>
      <c r="O524">
        <v>12.5</v>
      </c>
      <c r="P524">
        <v>3.2</v>
      </c>
      <c r="Q524" t="s">
        <v>39</v>
      </c>
    </row>
    <row r="525" spans="1:17" x14ac:dyDescent="0.3">
      <c r="A525" t="s">
        <v>933</v>
      </c>
      <c r="B525" s="2">
        <v>45956</v>
      </c>
      <c r="C525" t="s">
        <v>26</v>
      </c>
      <c r="D525" t="s">
        <v>126</v>
      </c>
      <c r="E525" t="s">
        <v>28</v>
      </c>
      <c r="F525" t="s">
        <v>934</v>
      </c>
      <c r="G525" t="s">
        <v>44</v>
      </c>
      <c r="J525">
        <v>0</v>
      </c>
      <c r="K525">
        <v>0</v>
      </c>
      <c r="L525">
        <v>0</v>
      </c>
      <c r="M525">
        <v>1</v>
      </c>
      <c r="N525">
        <v>1.4</v>
      </c>
      <c r="O525">
        <v>15.3</v>
      </c>
      <c r="P525">
        <v>3.5</v>
      </c>
      <c r="Q525" t="s">
        <v>31</v>
      </c>
    </row>
    <row r="526" spans="1:17" x14ac:dyDescent="0.3">
      <c r="A526" t="s">
        <v>935</v>
      </c>
      <c r="B526" s="2">
        <v>46208</v>
      </c>
      <c r="C526" t="s">
        <v>26</v>
      </c>
      <c r="D526" t="s">
        <v>36</v>
      </c>
      <c r="E526" t="s">
        <v>20</v>
      </c>
      <c r="F526" t="s">
        <v>197</v>
      </c>
      <c r="G526" t="s">
        <v>50</v>
      </c>
      <c r="J526">
        <v>0</v>
      </c>
      <c r="K526">
        <v>0</v>
      </c>
      <c r="L526">
        <v>0</v>
      </c>
      <c r="M526">
        <v>1</v>
      </c>
      <c r="N526">
        <v>7.2</v>
      </c>
      <c r="O526">
        <v>5.0999999999999996</v>
      </c>
      <c r="P526">
        <v>5</v>
      </c>
      <c r="Q526" t="s">
        <v>62</v>
      </c>
    </row>
    <row r="527" spans="1:17" x14ac:dyDescent="0.3">
      <c r="A527" t="s">
        <v>936</v>
      </c>
      <c r="B527" s="2">
        <v>46262</v>
      </c>
      <c r="C527" t="s">
        <v>18</v>
      </c>
      <c r="D527" t="s">
        <v>47</v>
      </c>
      <c r="E527" t="s">
        <v>20</v>
      </c>
      <c r="F527" t="s">
        <v>937</v>
      </c>
      <c r="G527" t="s">
        <v>50</v>
      </c>
      <c r="H527" t="s">
        <v>66</v>
      </c>
      <c r="I527" t="s">
        <v>45</v>
      </c>
      <c r="J527">
        <v>1</v>
      </c>
      <c r="K527">
        <v>22400</v>
      </c>
      <c r="L527">
        <v>0</v>
      </c>
      <c r="N527">
        <v>5.4</v>
      </c>
      <c r="Q527" t="s">
        <v>45</v>
      </c>
    </row>
    <row r="528" spans="1:17" x14ac:dyDescent="0.3">
      <c r="A528" t="s">
        <v>938</v>
      </c>
      <c r="B528" s="2">
        <v>46245</v>
      </c>
      <c r="C528" t="s">
        <v>18</v>
      </c>
      <c r="D528" t="s">
        <v>52</v>
      </c>
      <c r="E528" t="s">
        <v>20</v>
      </c>
      <c r="F528" t="s">
        <v>939</v>
      </c>
      <c r="G528" t="s">
        <v>30</v>
      </c>
      <c r="H528" t="s">
        <v>78</v>
      </c>
      <c r="I528" t="s">
        <v>67</v>
      </c>
      <c r="J528">
        <v>1</v>
      </c>
      <c r="K528">
        <v>10200</v>
      </c>
      <c r="L528">
        <v>0</v>
      </c>
      <c r="N528">
        <v>12.3</v>
      </c>
      <c r="Q528" t="s">
        <v>67</v>
      </c>
    </row>
    <row r="529" spans="1:17" x14ac:dyDescent="0.3">
      <c r="A529" t="s">
        <v>940</v>
      </c>
      <c r="B529" s="2">
        <v>46176</v>
      </c>
      <c r="C529" t="s">
        <v>18</v>
      </c>
      <c r="D529" t="s">
        <v>41</v>
      </c>
      <c r="E529" t="s">
        <v>42</v>
      </c>
      <c r="F529" t="s">
        <v>144</v>
      </c>
      <c r="G529" t="s">
        <v>30</v>
      </c>
      <c r="H529" t="s">
        <v>23</v>
      </c>
      <c r="I529" t="s">
        <v>24</v>
      </c>
      <c r="J529">
        <v>1</v>
      </c>
      <c r="K529">
        <v>15800</v>
      </c>
      <c r="L529">
        <v>15800</v>
      </c>
      <c r="N529">
        <v>12.9</v>
      </c>
      <c r="Q529" t="s">
        <v>24</v>
      </c>
    </row>
    <row r="530" spans="1:17" x14ac:dyDescent="0.3">
      <c r="A530" t="s">
        <v>941</v>
      </c>
      <c r="B530" s="2">
        <v>45985</v>
      </c>
      <c r="C530" t="s">
        <v>18</v>
      </c>
      <c r="D530" t="s">
        <v>52</v>
      </c>
      <c r="E530" t="s">
        <v>48</v>
      </c>
      <c r="F530" t="s">
        <v>942</v>
      </c>
      <c r="G530" t="s">
        <v>30</v>
      </c>
      <c r="H530" t="s">
        <v>86</v>
      </c>
      <c r="I530" t="s">
        <v>67</v>
      </c>
      <c r="J530">
        <v>1</v>
      </c>
      <c r="K530">
        <v>113400</v>
      </c>
      <c r="L530">
        <v>0</v>
      </c>
      <c r="N530">
        <v>13.6</v>
      </c>
      <c r="Q530" t="s">
        <v>67</v>
      </c>
    </row>
    <row r="531" spans="1:17" x14ac:dyDescent="0.3">
      <c r="A531" t="s">
        <v>943</v>
      </c>
      <c r="B531" s="2">
        <v>46009</v>
      </c>
      <c r="C531" t="s">
        <v>26</v>
      </c>
      <c r="D531" t="s">
        <v>232</v>
      </c>
      <c r="E531" t="s">
        <v>20</v>
      </c>
      <c r="F531" t="s">
        <v>944</v>
      </c>
      <c r="G531" t="s">
        <v>30</v>
      </c>
      <c r="J531">
        <v>0</v>
      </c>
      <c r="K531">
        <v>0</v>
      </c>
      <c r="L531">
        <v>0</v>
      </c>
      <c r="M531">
        <v>1</v>
      </c>
      <c r="N531">
        <v>7.8</v>
      </c>
      <c r="O531">
        <v>12.5</v>
      </c>
      <c r="P531">
        <v>3.6</v>
      </c>
      <c r="Q531" t="s">
        <v>39</v>
      </c>
    </row>
    <row r="532" spans="1:17" x14ac:dyDescent="0.3">
      <c r="A532" t="s">
        <v>945</v>
      </c>
      <c r="B532" s="2">
        <v>46104</v>
      </c>
      <c r="C532" t="s">
        <v>26</v>
      </c>
      <c r="D532" t="s">
        <v>69</v>
      </c>
      <c r="E532" t="s">
        <v>20</v>
      </c>
      <c r="F532" t="s">
        <v>946</v>
      </c>
      <c r="G532" t="s">
        <v>22</v>
      </c>
      <c r="J532">
        <v>0</v>
      </c>
      <c r="K532">
        <v>0</v>
      </c>
      <c r="L532">
        <v>0</v>
      </c>
      <c r="M532">
        <v>1</v>
      </c>
      <c r="N532">
        <v>5.3</v>
      </c>
      <c r="O532">
        <v>9.8000000000000007</v>
      </c>
      <c r="P532">
        <v>5</v>
      </c>
      <c r="Q532" t="s">
        <v>31</v>
      </c>
    </row>
    <row r="533" spans="1:17" x14ac:dyDescent="0.3">
      <c r="A533" t="s">
        <v>947</v>
      </c>
      <c r="B533" s="2">
        <v>46014</v>
      </c>
      <c r="C533" t="s">
        <v>26</v>
      </c>
      <c r="D533" t="s">
        <v>33</v>
      </c>
      <c r="E533" t="s">
        <v>28</v>
      </c>
      <c r="F533" t="s">
        <v>742</v>
      </c>
      <c r="G533" t="s">
        <v>50</v>
      </c>
      <c r="J533">
        <v>0</v>
      </c>
      <c r="K533">
        <v>0</v>
      </c>
      <c r="L533">
        <v>0</v>
      </c>
      <c r="M533">
        <v>1</v>
      </c>
      <c r="N533">
        <v>4</v>
      </c>
      <c r="O533">
        <v>8</v>
      </c>
      <c r="P533">
        <v>4.7</v>
      </c>
      <c r="Q533" t="s">
        <v>31</v>
      </c>
    </row>
    <row r="534" spans="1:17" x14ac:dyDescent="0.3">
      <c r="A534" t="s">
        <v>948</v>
      </c>
      <c r="B534" s="2">
        <v>45990</v>
      </c>
      <c r="C534" t="s">
        <v>26</v>
      </c>
      <c r="D534" t="s">
        <v>27</v>
      </c>
      <c r="E534" t="s">
        <v>20</v>
      </c>
      <c r="F534" t="s">
        <v>740</v>
      </c>
      <c r="G534" t="s">
        <v>22</v>
      </c>
      <c r="J534">
        <v>0</v>
      </c>
      <c r="K534">
        <v>0</v>
      </c>
      <c r="L534">
        <v>0</v>
      </c>
      <c r="M534">
        <v>1</v>
      </c>
      <c r="N534">
        <v>1.6</v>
      </c>
      <c r="O534">
        <v>11.6</v>
      </c>
      <c r="P534">
        <v>2.6</v>
      </c>
      <c r="Q534" t="s">
        <v>31</v>
      </c>
    </row>
    <row r="535" spans="1:17" x14ac:dyDescent="0.3">
      <c r="A535" t="s">
        <v>949</v>
      </c>
      <c r="B535" s="2">
        <v>46003</v>
      </c>
      <c r="C535" t="s">
        <v>26</v>
      </c>
      <c r="D535" t="s">
        <v>126</v>
      </c>
      <c r="E535" t="s">
        <v>28</v>
      </c>
      <c r="F535" t="s">
        <v>950</v>
      </c>
      <c r="G535" t="s">
        <v>50</v>
      </c>
      <c r="J535">
        <v>0</v>
      </c>
      <c r="K535">
        <v>0</v>
      </c>
      <c r="L535">
        <v>0</v>
      </c>
      <c r="M535">
        <v>1</v>
      </c>
      <c r="N535">
        <v>5.6</v>
      </c>
      <c r="O535">
        <v>3.4</v>
      </c>
      <c r="P535">
        <v>3.8</v>
      </c>
      <c r="Q535" t="s">
        <v>31</v>
      </c>
    </row>
    <row r="536" spans="1:17" x14ac:dyDescent="0.3">
      <c r="A536" t="s">
        <v>951</v>
      </c>
      <c r="B536" s="2">
        <v>46245</v>
      </c>
      <c r="C536" t="s">
        <v>26</v>
      </c>
      <c r="D536" t="s">
        <v>72</v>
      </c>
      <c r="E536" t="s">
        <v>20</v>
      </c>
      <c r="F536" t="s">
        <v>952</v>
      </c>
      <c r="G536" t="s">
        <v>50</v>
      </c>
      <c r="J536">
        <v>0</v>
      </c>
      <c r="K536">
        <v>0</v>
      </c>
      <c r="L536">
        <v>0</v>
      </c>
      <c r="M536">
        <v>1</v>
      </c>
      <c r="N536">
        <v>10.6</v>
      </c>
      <c r="O536">
        <v>20.2</v>
      </c>
      <c r="P536">
        <v>3.9</v>
      </c>
      <c r="Q536" t="s">
        <v>62</v>
      </c>
    </row>
    <row r="537" spans="1:17" x14ac:dyDescent="0.3">
      <c r="A537" t="s">
        <v>953</v>
      </c>
      <c r="B537" s="2">
        <v>46033</v>
      </c>
      <c r="C537" t="s">
        <v>26</v>
      </c>
      <c r="D537" t="s">
        <v>69</v>
      </c>
      <c r="E537" t="s">
        <v>20</v>
      </c>
      <c r="F537" t="s">
        <v>38</v>
      </c>
      <c r="G537" t="s">
        <v>50</v>
      </c>
      <c r="J537">
        <v>0</v>
      </c>
      <c r="K537">
        <v>0</v>
      </c>
      <c r="L537">
        <v>0</v>
      </c>
      <c r="M537">
        <v>1</v>
      </c>
      <c r="N537">
        <v>8.5</v>
      </c>
      <c r="O537">
        <v>3.9</v>
      </c>
      <c r="P537">
        <v>4.2</v>
      </c>
      <c r="Q537" t="s">
        <v>225</v>
      </c>
    </row>
    <row r="538" spans="1:17" x14ac:dyDescent="0.3">
      <c r="A538" t="s">
        <v>954</v>
      </c>
      <c r="B538" s="2">
        <v>46234</v>
      </c>
      <c r="C538" t="s">
        <v>26</v>
      </c>
      <c r="D538" t="s">
        <v>232</v>
      </c>
      <c r="E538" t="s">
        <v>48</v>
      </c>
      <c r="F538" t="s">
        <v>955</v>
      </c>
      <c r="G538" t="s">
        <v>50</v>
      </c>
      <c r="J538">
        <v>0</v>
      </c>
      <c r="K538">
        <v>0</v>
      </c>
      <c r="L538">
        <v>0</v>
      </c>
      <c r="M538">
        <v>1</v>
      </c>
      <c r="N538">
        <v>5.9</v>
      </c>
      <c r="O538">
        <v>7.8</v>
      </c>
      <c r="P538">
        <v>4.7</v>
      </c>
      <c r="Q538" t="s">
        <v>31</v>
      </c>
    </row>
    <row r="539" spans="1:17" x14ac:dyDescent="0.3">
      <c r="A539" t="s">
        <v>956</v>
      </c>
      <c r="B539" s="2">
        <v>46013</v>
      </c>
      <c r="C539" t="s">
        <v>18</v>
      </c>
      <c r="D539" t="s">
        <v>19</v>
      </c>
      <c r="E539" t="s">
        <v>20</v>
      </c>
      <c r="F539" t="s">
        <v>957</v>
      </c>
      <c r="G539" t="s">
        <v>22</v>
      </c>
      <c r="H539" t="s">
        <v>54</v>
      </c>
      <c r="I539" t="s">
        <v>24</v>
      </c>
      <c r="J539">
        <v>1</v>
      </c>
      <c r="K539">
        <v>12900</v>
      </c>
      <c r="L539">
        <v>12900</v>
      </c>
      <c r="N539">
        <v>5.9</v>
      </c>
      <c r="Q539" t="s">
        <v>24</v>
      </c>
    </row>
    <row r="540" spans="1:17" x14ac:dyDescent="0.3">
      <c r="A540" t="s">
        <v>958</v>
      </c>
      <c r="B540" s="2">
        <v>46112</v>
      </c>
      <c r="C540" t="s">
        <v>18</v>
      </c>
      <c r="D540" t="s">
        <v>47</v>
      </c>
      <c r="E540" t="s">
        <v>20</v>
      </c>
      <c r="F540" t="s">
        <v>959</v>
      </c>
      <c r="G540" t="s">
        <v>50</v>
      </c>
      <c r="H540" t="s">
        <v>54</v>
      </c>
      <c r="I540" t="s">
        <v>89</v>
      </c>
      <c r="J540">
        <v>1</v>
      </c>
      <c r="K540">
        <v>12400</v>
      </c>
      <c r="L540">
        <v>0</v>
      </c>
      <c r="N540">
        <v>22.4</v>
      </c>
      <c r="Q540" t="s">
        <v>89</v>
      </c>
    </row>
    <row r="541" spans="1:17" x14ac:dyDescent="0.3">
      <c r="A541" t="s">
        <v>960</v>
      </c>
      <c r="B541" s="2">
        <v>46128</v>
      </c>
      <c r="C541" t="s">
        <v>18</v>
      </c>
      <c r="D541" t="s">
        <v>52</v>
      </c>
      <c r="E541" t="s">
        <v>37</v>
      </c>
      <c r="F541" t="s">
        <v>34</v>
      </c>
      <c r="G541" t="s">
        <v>44</v>
      </c>
      <c r="H541" t="s">
        <v>78</v>
      </c>
      <c r="I541" t="s">
        <v>67</v>
      </c>
      <c r="J541">
        <v>1</v>
      </c>
      <c r="K541">
        <v>23200</v>
      </c>
      <c r="L541">
        <v>0</v>
      </c>
      <c r="N541">
        <v>15.8</v>
      </c>
      <c r="Q541" t="s">
        <v>67</v>
      </c>
    </row>
    <row r="542" spans="1:17" x14ac:dyDescent="0.3">
      <c r="A542" t="s">
        <v>961</v>
      </c>
      <c r="B542" s="2">
        <v>46257</v>
      </c>
      <c r="C542" t="s">
        <v>26</v>
      </c>
      <c r="D542" t="s">
        <v>36</v>
      </c>
      <c r="E542" t="s">
        <v>48</v>
      </c>
      <c r="F542" t="s">
        <v>962</v>
      </c>
      <c r="G542" t="s">
        <v>44</v>
      </c>
      <c r="J542">
        <v>0</v>
      </c>
      <c r="K542">
        <v>0</v>
      </c>
      <c r="L542">
        <v>0</v>
      </c>
      <c r="M542">
        <v>1</v>
      </c>
      <c r="N542">
        <v>7.6</v>
      </c>
      <c r="O542">
        <v>2.4</v>
      </c>
      <c r="P542">
        <v>3.2</v>
      </c>
      <c r="Q542" t="s">
        <v>31</v>
      </c>
    </row>
    <row r="543" spans="1:17" x14ac:dyDescent="0.3">
      <c r="A543" t="s">
        <v>963</v>
      </c>
      <c r="B543" s="2">
        <v>46172</v>
      </c>
      <c r="C543" t="s">
        <v>26</v>
      </c>
      <c r="D543" t="s">
        <v>33</v>
      </c>
      <c r="E543" t="s">
        <v>48</v>
      </c>
      <c r="F543" t="s">
        <v>964</v>
      </c>
      <c r="G543" t="s">
        <v>44</v>
      </c>
      <c r="J543">
        <v>0</v>
      </c>
      <c r="K543">
        <v>0</v>
      </c>
      <c r="L543">
        <v>0</v>
      </c>
      <c r="M543">
        <v>1</v>
      </c>
      <c r="N543">
        <v>2</v>
      </c>
      <c r="O543">
        <v>6.7</v>
      </c>
      <c r="P543">
        <v>3.9</v>
      </c>
      <c r="Q543" t="s">
        <v>225</v>
      </c>
    </row>
    <row r="544" spans="1:17" x14ac:dyDescent="0.3">
      <c r="A544" t="s">
        <v>965</v>
      </c>
      <c r="B544" s="2">
        <v>46211</v>
      </c>
      <c r="C544" t="s">
        <v>18</v>
      </c>
      <c r="D544" t="s">
        <v>117</v>
      </c>
      <c r="E544" t="s">
        <v>20</v>
      </c>
      <c r="F544" t="s">
        <v>966</v>
      </c>
      <c r="G544" t="s">
        <v>30</v>
      </c>
      <c r="H544" t="s">
        <v>23</v>
      </c>
      <c r="I544" t="s">
        <v>55</v>
      </c>
      <c r="J544">
        <v>1</v>
      </c>
      <c r="K544">
        <v>36900</v>
      </c>
      <c r="L544">
        <v>0</v>
      </c>
      <c r="N544">
        <v>5.2</v>
      </c>
      <c r="Q544" t="s">
        <v>55</v>
      </c>
    </row>
    <row r="545" spans="1:17" x14ac:dyDescent="0.3">
      <c r="A545" t="s">
        <v>967</v>
      </c>
      <c r="B545" s="2">
        <v>46125</v>
      </c>
      <c r="C545" t="s">
        <v>26</v>
      </c>
      <c r="D545" t="s">
        <v>114</v>
      </c>
      <c r="E545" t="s">
        <v>42</v>
      </c>
      <c r="F545" t="s">
        <v>932</v>
      </c>
      <c r="G545" t="s">
        <v>22</v>
      </c>
      <c r="J545">
        <v>0</v>
      </c>
      <c r="K545">
        <v>0</v>
      </c>
      <c r="L545">
        <v>0</v>
      </c>
      <c r="M545">
        <v>1</v>
      </c>
      <c r="N545">
        <v>9.6999999999999993</v>
      </c>
      <c r="O545">
        <v>8.1</v>
      </c>
      <c r="P545">
        <v>3.6</v>
      </c>
      <c r="Q545" t="s">
        <v>31</v>
      </c>
    </row>
    <row r="546" spans="1:17" x14ac:dyDescent="0.3">
      <c r="A546" t="s">
        <v>968</v>
      </c>
      <c r="B546" s="2">
        <v>46129</v>
      </c>
      <c r="C546" t="s">
        <v>26</v>
      </c>
      <c r="D546" t="s">
        <v>114</v>
      </c>
      <c r="E546" t="s">
        <v>20</v>
      </c>
      <c r="F546" t="s">
        <v>969</v>
      </c>
      <c r="G546" t="s">
        <v>44</v>
      </c>
      <c r="J546">
        <v>0</v>
      </c>
      <c r="K546">
        <v>0</v>
      </c>
      <c r="L546">
        <v>0</v>
      </c>
      <c r="M546">
        <v>1</v>
      </c>
      <c r="N546">
        <v>9.6</v>
      </c>
      <c r="O546">
        <v>2.6</v>
      </c>
      <c r="P546">
        <v>4.2</v>
      </c>
      <c r="Q546" t="s">
        <v>31</v>
      </c>
    </row>
    <row r="547" spans="1:17" x14ac:dyDescent="0.3">
      <c r="A547" t="s">
        <v>970</v>
      </c>
      <c r="B547" s="2">
        <v>46259</v>
      </c>
      <c r="C547" t="s">
        <v>18</v>
      </c>
      <c r="D547" t="s">
        <v>52</v>
      </c>
      <c r="E547" t="s">
        <v>42</v>
      </c>
      <c r="F547" t="s">
        <v>971</v>
      </c>
      <c r="G547" t="s">
        <v>22</v>
      </c>
      <c r="H547" t="s">
        <v>23</v>
      </c>
      <c r="I547" t="s">
        <v>24</v>
      </c>
      <c r="J547">
        <v>1</v>
      </c>
      <c r="K547">
        <v>22900</v>
      </c>
      <c r="L547">
        <v>22900</v>
      </c>
      <c r="N547">
        <v>4.9000000000000004</v>
      </c>
      <c r="Q547" t="s">
        <v>24</v>
      </c>
    </row>
    <row r="548" spans="1:17" x14ac:dyDescent="0.3">
      <c r="A548" t="s">
        <v>972</v>
      </c>
      <c r="B548" s="2">
        <v>45977</v>
      </c>
      <c r="C548" t="s">
        <v>18</v>
      </c>
      <c r="D548" t="s">
        <v>95</v>
      </c>
      <c r="E548" t="s">
        <v>42</v>
      </c>
      <c r="F548" t="s">
        <v>973</v>
      </c>
      <c r="G548" t="s">
        <v>22</v>
      </c>
      <c r="H548" t="s">
        <v>86</v>
      </c>
      <c r="I548" t="s">
        <v>45</v>
      </c>
      <c r="J548">
        <v>1</v>
      </c>
      <c r="K548">
        <v>16300</v>
      </c>
      <c r="L548">
        <v>0</v>
      </c>
      <c r="N548">
        <v>3.2</v>
      </c>
      <c r="Q548" t="s">
        <v>45</v>
      </c>
    </row>
    <row r="549" spans="1:17" x14ac:dyDescent="0.3">
      <c r="A549" t="s">
        <v>974</v>
      </c>
      <c r="B549" s="2">
        <v>45961</v>
      </c>
      <c r="C549" t="s">
        <v>26</v>
      </c>
      <c r="D549" t="s">
        <v>69</v>
      </c>
      <c r="E549" t="s">
        <v>20</v>
      </c>
      <c r="F549" t="s">
        <v>264</v>
      </c>
      <c r="G549" t="s">
        <v>44</v>
      </c>
      <c r="J549">
        <v>0</v>
      </c>
      <c r="K549">
        <v>0</v>
      </c>
      <c r="L549">
        <v>0</v>
      </c>
      <c r="M549">
        <v>1</v>
      </c>
      <c r="N549">
        <v>10.7</v>
      </c>
      <c r="O549">
        <v>32.4</v>
      </c>
      <c r="P549">
        <v>4.5</v>
      </c>
      <c r="Q549" t="s">
        <v>39</v>
      </c>
    </row>
    <row r="550" spans="1:17" x14ac:dyDescent="0.3">
      <c r="A550" t="s">
        <v>975</v>
      </c>
      <c r="B550" s="2">
        <v>46013</v>
      </c>
      <c r="C550" t="s">
        <v>18</v>
      </c>
      <c r="D550" t="s">
        <v>95</v>
      </c>
      <c r="E550" t="s">
        <v>48</v>
      </c>
      <c r="F550" t="s">
        <v>233</v>
      </c>
      <c r="G550" t="s">
        <v>50</v>
      </c>
      <c r="H550" t="s">
        <v>78</v>
      </c>
      <c r="I550" t="s">
        <v>24</v>
      </c>
      <c r="J550">
        <v>1</v>
      </c>
      <c r="K550">
        <v>11600</v>
      </c>
      <c r="L550">
        <v>11600</v>
      </c>
      <c r="N550">
        <v>16.3</v>
      </c>
      <c r="Q550" t="s">
        <v>24</v>
      </c>
    </row>
    <row r="551" spans="1:17" x14ac:dyDescent="0.3">
      <c r="A551" t="s">
        <v>976</v>
      </c>
      <c r="B551" s="2">
        <v>46162</v>
      </c>
      <c r="C551" t="s">
        <v>26</v>
      </c>
      <c r="D551" t="s">
        <v>69</v>
      </c>
      <c r="E551" t="s">
        <v>20</v>
      </c>
      <c r="F551" t="s">
        <v>789</v>
      </c>
      <c r="G551" t="s">
        <v>22</v>
      </c>
      <c r="J551">
        <v>0</v>
      </c>
      <c r="K551">
        <v>0</v>
      </c>
      <c r="L551">
        <v>0</v>
      </c>
      <c r="M551">
        <v>1</v>
      </c>
      <c r="N551">
        <v>6.3</v>
      </c>
      <c r="O551">
        <v>7.5</v>
      </c>
      <c r="P551">
        <v>4</v>
      </c>
      <c r="Q551" t="s">
        <v>31</v>
      </c>
    </row>
    <row r="552" spans="1:17" x14ac:dyDescent="0.3">
      <c r="A552" t="s">
        <v>977</v>
      </c>
      <c r="B552" s="2">
        <v>46106</v>
      </c>
      <c r="C552" t="s">
        <v>18</v>
      </c>
      <c r="D552" t="s">
        <v>105</v>
      </c>
      <c r="E552" t="s">
        <v>20</v>
      </c>
      <c r="F552" t="s">
        <v>978</v>
      </c>
      <c r="G552" t="s">
        <v>22</v>
      </c>
      <c r="H552" t="s">
        <v>23</v>
      </c>
      <c r="I552" t="s">
        <v>79</v>
      </c>
      <c r="J552">
        <v>1</v>
      </c>
      <c r="K552">
        <v>78300</v>
      </c>
      <c r="L552">
        <v>0</v>
      </c>
      <c r="N552">
        <v>10</v>
      </c>
      <c r="Q552" t="s">
        <v>79</v>
      </c>
    </row>
    <row r="553" spans="1:17" x14ac:dyDescent="0.3">
      <c r="A553" t="s">
        <v>979</v>
      </c>
      <c r="B553" s="2">
        <v>46242</v>
      </c>
      <c r="C553" t="s">
        <v>26</v>
      </c>
      <c r="D553" t="s">
        <v>126</v>
      </c>
      <c r="E553" t="s">
        <v>20</v>
      </c>
      <c r="F553" t="s">
        <v>966</v>
      </c>
      <c r="G553" t="s">
        <v>44</v>
      </c>
      <c r="J553">
        <v>0</v>
      </c>
      <c r="K553">
        <v>0</v>
      </c>
      <c r="L553">
        <v>0</v>
      </c>
      <c r="M553">
        <v>1</v>
      </c>
      <c r="N553">
        <v>6.8</v>
      </c>
      <c r="O553">
        <v>3.2</v>
      </c>
      <c r="P553">
        <v>5</v>
      </c>
      <c r="Q553" t="s">
        <v>62</v>
      </c>
    </row>
    <row r="554" spans="1:17" x14ac:dyDescent="0.3">
      <c r="A554" t="s">
        <v>980</v>
      </c>
      <c r="B554" s="2">
        <v>46061</v>
      </c>
      <c r="C554" t="s">
        <v>26</v>
      </c>
      <c r="D554" t="s">
        <v>114</v>
      </c>
      <c r="E554" t="s">
        <v>20</v>
      </c>
      <c r="F554" t="s">
        <v>981</v>
      </c>
      <c r="G554" t="s">
        <v>22</v>
      </c>
      <c r="J554">
        <v>0</v>
      </c>
      <c r="K554">
        <v>0</v>
      </c>
      <c r="L554">
        <v>0</v>
      </c>
      <c r="M554">
        <v>1</v>
      </c>
      <c r="N554">
        <v>8.5</v>
      </c>
      <c r="O554">
        <v>6.5</v>
      </c>
      <c r="P554">
        <v>2.7</v>
      </c>
      <c r="Q554" t="s">
        <v>39</v>
      </c>
    </row>
    <row r="555" spans="1:17" x14ac:dyDescent="0.3">
      <c r="A555" t="s">
        <v>982</v>
      </c>
      <c r="B555" s="2">
        <v>46244</v>
      </c>
      <c r="C555" t="s">
        <v>26</v>
      </c>
      <c r="D555" t="s">
        <v>114</v>
      </c>
      <c r="E555" t="s">
        <v>48</v>
      </c>
      <c r="F555" t="s">
        <v>540</v>
      </c>
      <c r="G555" t="s">
        <v>50</v>
      </c>
      <c r="J555">
        <v>0</v>
      </c>
      <c r="K555">
        <v>0</v>
      </c>
      <c r="L555">
        <v>0</v>
      </c>
      <c r="M555">
        <v>1</v>
      </c>
      <c r="N555">
        <v>10.5</v>
      </c>
      <c r="O555">
        <v>1.1000000000000001</v>
      </c>
      <c r="P555">
        <v>4.4000000000000004</v>
      </c>
      <c r="Q555" t="s">
        <v>39</v>
      </c>
    </row>
    <row r="556" spans="1:17" x14ac:dyDescent="0.3">
      <c r="A556" t="s">
        <v>983</v>
      </c>
      <c r="B556" s="2">
        <v>46041</v>
      </c>
      <c r="C556" t="s">
        <v>26</v>
      </c>
      <c r="D556" t="s">
        <v>69</v>
      </c>
      <c r="E556" t="s">
        <v>20</v>
      </c>
      <c r="F556" t="s">
        <v>984</v>
      </c>
      <c r="G556" t="s">
        <v>30</v>
      </c>
      <c r="J556">
        <v>0</v>
      </c>
      <c r="K556">
        <v>0</v>
      </c>
      <c r="L556">
        <v>0</v>
      </c>
      <c r="M556">
        <v>1</v>
      </c>
      <c r="N556">
        <v>2.2000000000000002</v>
      </c>
      <c r="O556">
        <v>13.3</v>
      </c>
      <c r="P556">
        <v>4.2</v>
      </c>
      <c r="Q556" t="s">
        <v>39</v>
      </c>
    </row>
    <row r="557" spans="1:17" x14ac:dyDescent="0.3">
      <c r="A557" t="s">
        <v>985</v>
      </c>
      <c r="B557" s="2">
        <v>45948</v>
      </c>
      <c r="C557" t="s">
        <v>18</v>
      </c>
      <c r="D557" t="s">
        <v>95</v>
      </c>
      <c r="E557" t="s">
        <v>42</v>
      </c>
      <c r="F557" t="s">
        <v>905</v>
      </c>
      <c r="G557" t="s">
        <v>50</v>
      </c>
      <c r="H557" t="s">
        <v>86</v>
      </c>
      <c r="I557" t="s">
        <v>45</v>
      </c>
      <c r="J557">
        <v>1</v>
      </c>
      <c r="K557">
        <v>69200</v>
      </c>
      <c r="L557">
        <v>0</v>
      </c>
      <c r="N557">
        <v>13.4</v>
      </c>
      <c r="Q557" t="s">
        <v>45</v>
      </c>
    </row>
    <row r="558" spans="1:17" x14ac:dyDescent="0.3">
      <c r="A558" t="s">
        <v>986</v>
      </c>
      <c r="B558" s="2">
        <v>46243</v>
      </c>
      <c r="C558" t="s">
        <v>18</v>
      </c>
      <c r="D558" t="s">
        <v>41</v>
      </c>
      <c r="E558" t="s">
        <v>20</v>
      </c>
      <c r="F558" t="s">
        <v>987</v>
      </c>
      <c r="G558" t="s">
        <v>22</v>
      </c>
      <c r="H558" t="s">
        <v>78</v>
      </c>
      <c r="I558" t="s">
        <v>55</v>
      </c>
      <c r="J558">
        <v>1</v>
      </c>
      <c r="K558">
        <v>37900</v>
      </c>
      <c r="L558">
        <v>0</v>
      </c>
      <c r="N558">
        <v>7.7</v>
      </c>
      <c r="Q558" t="s">
        <v>55</v>
      </c>
    </row>
    <row r="559" spans="1:17" x14ac:dyDescent="0.3">
      <c r="A559" t="s">
        <v>988</v>
      </c>
      <c r="B559" s="2">
        <v>45923</v>
      </c>
      <c r="C559" t="s">
        <v>18</v>
      </c>
      <c r="D559" t="s">
        <v>117</v>
      </c>
      <c r="E559" t="s">
        <v>20</v>
      </c>
      <c r="F559" t="s">
        <v>809</v>
      </c>
      <c r="G559" t="s">
        <v>44</v>
      </c>
      <c r="H559" t="s">
        <v>23</v>
      </c>
      <c r="I559" t="s">
        <v>67</v>
      </c>
      <c r="J559">
        <v>1</v>
      </c>
      <c r="K559">
        <v>23100</v>
      </c>
      <c r="L559">
        <v>0</v>
      </c>
      <c r="N559">
        <v>16.100000000000001</v>
      </c>
      <c r="Q559" t="s">
        <v>67</v>
      </c>
    </row>
    <row r="560" spans="1:17" x14ac:dyDescent="0.3">
      <c r="A560" t="s">
        <v>989</v>
      </c>
      <c r="B560" s="2">
        <v>46053</v>
      </c>
      <c r="C560" t="s">
        <v>26</v>
      </c>
      <c r="D560" t="s">
        <v>33</v>
      </c>
      <c r="E560" t="s">
        <v>20</v>
      </c>
      <c r="F560" t="s">
        <v>990</v>
      </c>
      <c r="G560" t="s">
        <v>22</v>
      </c>
      <c r="J560">
        <v>0</v>
      </c>
      <c r="K560">
        <v>0</v>
      </c>
      <c r="L560">
        <v>0</v>
      </c>
      <c r="M560">
        <v>1</v>
      </c>
      <c r="N560">
        <v>4.9000000000000004</v>
      </c>
      <c r="O560">
        <v>3.7</v>
      </c>
      <c r="P560">
        <v>5</v>
      </c>
      <c r="Q560" t="s">
        <v>31</v>
      </c>
    </row>
    <row r="561" spans="1:17" x14ac:dyDescent="0.3">
      <c r="A561" t="s">
        <v>991</v>
      </c>
      <c r="B561" s="2">
        <v>45936</v>
      </c>
      <c r="C561" t="s">
        <v>26</v>
      </c>
      <c r="D561" t="s">
        <v>232</v>
      </c>
      <c r="E561" t="s">
        <v>20</v>
      </c>
      <c r="F561" t="s">
        <v>430</v>
      </c>
      <c r="G561" t="s">
        <v>44</v>
      </c>
      <c r="J561">
        <v>0</v>
      </c>
      <c r="K561">
        <v>0</v>
      </c>
      <c r="L561">
        <v>0</v>
      </c>
      <c r="M561">
        <v>1</v>
      </c>
      <c r="N561">
        <v>5.3</v>
      </c>
      <c r="O561">
        <v>17.3</v>
      </c>
      <c r="P561">
        <v>4.3</v>
      </c>
      <c r="Q561" t="s">
        <v>31</v>
      </c>
    </row>
    <row r="562" spans="1:17" x14ac:dyDescent="0.3">
      <c r="A562" t="s">
        <v>992</v>
      </c>
      <c r="B562" s="2">
        <v>46214</v>
      </c>
      <c r="C562" t="s">
        <v>26</v>
      </c>
      <c r="D562" t="s">
        <v>72</v>
      </c>
      <c r="E562" t="s">
        <v>20</v>
      </c>
      <c r="F562" t="s">
        <v>280</v>
      </c>
      <c r="G562" t="s">
        <v>30</v>
      </c>
      <c r="J562">
        <v>0</v>
      </c>
      <c r="K562">
        <v>0</v>
      </c>
      <c r="L562">
        <v>0</v>
      </c>
      <c r="M562">
        <v>1</v>
      </c>
      <c r="N562">
        <v>1.1000000000000001</v>
      </c>
      <c r="O562">
        <v>6</v>
      </c>
      <c r="P562">
        <v>5</v>
      </c>
      <c r="Q562" t="s">
        <v>31</v>
      </c>
    </row>
    <row r="563" spans="1:17" x14ac:dyDescent="0.3">
      <c r="A563" t="s">
        <v>993</v>
      </c>
      <c r="B563" s="2">
        <v>46098</v>
      </c>
      <c r="C563" t="s">
        <v>18</v>
      </c>
      <c r="D563" t="s">
        <v>105</v>
      </c>
      <c r="E563" t="s">
        <v>28</v>
      </c>
      <c r="F563" t="s">
        <v>987</v>
      </c>
      <c r="G563" t="s">
        <v>44</v>
      </c>
      <c r="H563" t="s">
        <v>23</v>
      </c>
      <c r="I563" t="s">
        <v>89</v>
      </c>
      <c r="J563">
        <v>1</v>
      </c>
      <c r="K563">
        <v>19500</v>
      </c>
      <c r="L563">
        <v>0</v>
      </c>
      <c r="N563">
        <v>5.2</v>
      </c>
      <c r="Q563" t="s">
        <v>89</v>
      </c>
    </row>
    <row r="564" spans="1:17" x14ac:dyDescent="0.3">
      <c r="A564" t="s">
        <v>994</v>
      </c>
      <c r="B564" s="2">
        <v>45982</v>
      </c>
      <c r="C564" t="s">
        <v>18</v>
      </c>
      <c r="D564" t="s">
        <v>52</v>
      </c>
      <c r="E564" t="s">
        <v>20</v>
      </c>
      <c r="F564" t="s">
        <v>773</v>
      </c>
      <c r="G564" t="s">
        <v>30</v>
      </c>
      <c r="H564" t="s">
        <v>23</v>
      </c>
      <c r="I564" t="s">
        <v>89</v>
      </c>
      <c r="J564">
        <v>1</v>
      </c>
      <c r="K564">
        <v>44600</v>
      </c>
      <c r="L564">
        <v>0</v>
      </c>
      <c r="N564">
        <v>8</v>
      </c>
      <c r="Q564" t="s">
        <v>89</v>
      </c>
    </row>
    <row r="565" spans="1:17" x14ac:dyDescent="0.3">
      <c r="A565" t="s">
        <v>995</v>
      </c>
      <c r="B565" s="2">
        <v>46198</v>
      </c>
      <c r="C565" t="s">
        <v>18</v>
      </c>
      <c r="D565" t="s">
        <v>52</v>
      </c>
      <c r="E565" t="s">
        <v>37</v>
      </c>
      <c r="F565" t="s">
        <v>996</v>
      </c>
      <c r="G565" t="s">
        <v>44</v>
      </c>
      <c r="H565" t="s">
        <v>78</v>
      </c>
      <c r="I565" t="s">
        <v>45</v>
      </c>
      <c r="J565">
        <v>1</v>
      </c>
      <c r="K565">
        <v>13600</v>
      </c>
      <c r="L565">
        <v>0</v>
      </c>
      <c r="N565">
        <v>2.2000000000000002</v>
      </c>
      <c r="Q565" t="s">
        <v>45</v>
      </c>
    </row>
    <row r="566" spans="1:17" x14ac:dyDescent="0.3">
      <c r="A566" t="s">
        <v>997</v>
      </c>
      <c r="B566" s="2">
        <v>46178</v>
      </c>
      <c r="C566" t="s">
        <v>18</v>
      </c>
      <c r="D566" t="s">
        <v>19</v>
      </c>
      <c r="E566" t="s">
        <v>20</v>
      </c>
      <c r="F566" t="s">
        <v>998</v>
      </c>
      <c r="G566" t="s">
        <v>30</v>
      </c>
      <c r="H566" t="s">
        <v>23</v>
      </c>
      <c r="I566" t="s">
        <v>79</v>
      </c>
      <c r="J566">
        <v>1</v>
      </c>
      <c r="K566">
        <v>46000</v>
      </c>
      <c r="L566">
        <v>0</v>
      </c>
      <c r="N566">
        <v>1.5</v>
      </c>
      <c r="Q566" t="s">
        <v>79</v>
      </c>
    </row>
    <row r="567" spans="1:17" x14ac:dyDescent="0.3">
      <c r="A567" t="s">
        <v>999</v>
      </c>
      <c r="B567" s="2">
        <v>46251</v>
      </c>
      <c r="C567" t="s">
        <v>26</v>
      </c>
      <c r="D567" t="s">
        <v>33</v>
      </c>
      <c r="E567" t="s">
        <v>48</v>
      </c>
      <c r="F567" t="s">
        <v>1000</v>
      </c>
      <c r="G567" t="s">
        <v>30</v>
      </c>
      <c r="J567">
        <v>0</v>
      </c>
      <c r="K567">
        <v>0</v>
      </c>
      <c r="L567">
        <v>0</v>
      </c>
      <c r="M567">
        <v>1</v>
      </c>
      <c r="N567">
        <v>10.5</v>
      </c>
      <c r="O567">
        <v>10.4</v>
      </c>
      <c r="P567">
        <v>4.4000000000000004</v>
      </c>
      <c r="Q567" t="s">
        <v>39</v>
      </c>
    </row>
    <row r="568" spans="1:17" x14ac:dyDescent="0.3">
      <c r="A568" t="s">
        <v>1001</v>
      </c>
      <c r="B568" s="2">
        <v>45929</v>
      </c>
      <c r="C568" t="s">
        <v>18</v>
      </c>
      <c r="D568" t="s">
        <v>19</v>
      </c>
      <c r="E568" t="s">
        <v>37</v>
      </c>
      <c r="F568" t="s">
        <v>713</v>
      </c>
      <c r="G568" t="s">
        <v>30</v>
      </c>
      <c r="H568" t="s">
        <v>78</v>
      </c>
      <c r="I568" t="s">
        <v>67</v>
      </c>
      <c r="J568">
        <v>1</v>
      </c>
      <c r="K568">
        <v>36600</v>
      </c>
      <c r="L568">
        <v>0</v>
      </c>
      <c r="N568">
        <v>19.399999999999999</v>
      </c>
      <c r="Q568" t="s">
        <v>67</v>
      </c>
    </row>
    <row r="569" spans="1:17" x14ac:dyDescent="0.3">
      <c r="A569" t="s">
        <v>1002</v>
      </c>
      <c r="B569" s="2">
        <v>46188</v>
      </c>
      <c r="C569" t="s">
        <v>18</v>
      </c>
      <c r="D569" t="s">
        <v>64</v>
      </c>
      <c r="E569" t="s">
        <v>48</v>
      </c>
      <c r="F569" t="s">
        <v>1003</v>
      </c>
      <c r="G569" t="s">
        <v>30</v>
      </c>
      <c r="H569" t="s">
        <v>78</v>
      </c>
      <c r="I569" t="s">
        <v>45</v>
      </c>
      <c r="J569">
        <v>1</v>
      </c>
      <c r="K569">
        <v>9800</v>
      </c>
      <c r="L569">
        <v>0</v>
      </c>
      <c r="N569">
        <v>7.7</v>
      </c>
      <c r="Q569" t="s">
        <v>45</v>
      </c>
    </row>
    <row r="570" spans="1:17" x14ac:dyDescent="0.3">
      <c r="A570" t="s">
        <v>1004</v>
      </c>
      <c r="B570" s="2">
        <v>46131</v>
      </c>
      <c r="C570" t="s">
        <v>26</v>
      </c>
      <c r="D570" t="s">
        <v>114</v>
      </c>
      <c r="E570" t="s">
        <v>20</v>
      </c>
      <c r="F570" t="s">
        <v>250</v>
      </c>
      <c r="G570" t="s">
        <v>30</v>
      </c>
      <c r="J570">
        <v>0</v>
      </c>
      <c r="K570">
        <v>0</v>
      </c>
      <c r="L570">
        <v>0</v>
      </c>
      <c r="M570">
        <v>1</v>
      </c>
      <c r="N570">
        <v>10.199999999999999</v>
      </c>
      <c r="O570">
        <v>12.7</v>
      </c>
      <c r="P570">
        <v>3.6</v>
      </c>
      <c r="Q570" t="s">
        <v>39</v>
      </c>
    </row>
    <row r="571" spans="1:17" x14ac:dyDescent="0.3">
      <c r="A571" t="s">
        <v>1005</v>
      </c>
      <c r="B571" s="2">
        <v>46068</v>
      </c>
      <c r="C571" t="s">
        <v>18</v>
      </c>
      <c r="D571" t="s">
        <v>47</v>
      </c>
      <c r="E571" t="s">
        <v>20</v>
      </c>
      <c r="F571" t="s">
        <v>1006</v>
      </c>
      <c r="G571" t="s">
        <v>44</v>
      </c>
      <c r="H571" t="s">
        <v>86</v>
      </c>
      <c r="I571" t="s">
        <v>24</v>
      </c>
      <c r="J571">
        <v>1</v>
      </c>
      <c r="K571">
        <v>11900</v>
      </c>
      <c r="L571">
        <v>11900</v>
      </c>
      <c r="N571">
        <v>10.8</v>
      </c>
      <c r="Q571" t="s">
        <v>24</v>
      </c>
    </row>
    <row r="572" spans="1:17" x14ac:dyDescent="0.3">
      <c r="A572" t="s">
        <v>1007</v>
      </c>
      <c r="B572" s="2">
        <v>45907</v>
      </c>
      <c r="C572" t="s">
        <v>18</v>
      </c>
      <c r="D572" t="s">
        <v>117</v>
      </c>
      <c r="E572" t="s">
        <v>20</v>
      </c>
      <c r="F572" t="s">
        <v>1008</v>
      </c>
      <c r="G572" t="s">
        <v>44</v>
      </c>
      <c r="H572" t="s">
        <v>86</v>
      </c>
      <c r="I572" t="s">
        <v>55</v>
      </c>
      <c r="J572">
        <v>1</v>
      </c>
      <c r="K572">
        <v>19400</v>
      </c>
      <c r="L572">
        <v>0</v>
      </c>
      <c r="N572">
        <v>14</v>
      </c>
      <c r="Q572" t="s">
        <v>55</v>
      </c>
    </row>
    <row r="573" spans="1:17" x14ac:dyDescent="0.3">
      <c r="A573" t="s">
        <v>1009</v>
      </c>
      <c r="B573" s="2">
        <v>46114</v>
      </c>
      <c r="C573" t="s">
        <v>26</v>
      </c>
      <c r="D573" t="s">
        <v>114</v>
      </c>
      <c r="E573" t="s">
        <v>20</v>
      </c>
      <c r="F573" t="s">
        <v>1010</v>
      </c>
      <c r="G573" t="s">
        <v>50</v>
      </c>
      <c r="J573">
        <v>0</v>
      </c>
      <c r="K573">
        <v>0</v>
      </c>
      <c r="L573">
        <v>0</v>
      </c>
      <c r="M573">
        <v>1</v>
      </c>
      <c r="N573">
        <v>5.7</v>
      </c>
      <c r="O573">
        <v>6.2</v>
      </c>
      <c r="P573">
        <v>3.2</v>
      </c>
      <c r="Q573" t="s">
        <v>225</v>
      </c>
    </row>
    <row r="574" spans="1:17" x14ac:dyDescent="0.3">
      <c r="A574" t="s">
        <v>1011</v>
      </c>
      <c r="B574" s="2">
        <v>45977</v>
      </c>
      <c r="C574" t="s">
        <v>18</v>
      </c>
      <c r="D574" t="s">
        <v>117</v>
      </c>
      <c r="E574" t="s">
        <v>42</v>
      </c>
      <c r="F574" t="s">
        <v>1012</v>
      </c>
      <c r="G574" t="s">
        <v>50</v>
      </c>
      <c r="H574" t="s">
        <v>23</v>
      </c>
      <c r="I574" t="s">
        <v>89</v>
      </c>
      <c r="J574">
        <v>1</v>
      </c>
      <c r="K574">
        <v>25100</v>
      </c>
      <c r="L574">
        <v>0</v>
      </c>
      <c r="N574">
        <v>20.8</v>
      </c>
      <c r="Q574" t="s">
        <v>89</v>
      </c>
    </row>
    <row r="575" spans="1:17" x14ac:dyDescent="0.3">
      <c r="A575" t="s">
        <v>1013</v>
      </c>
      <c r="B575" s="2">
        <v>46025</v>
      </c>
      <c r="C575" t="s">
        <v>26</v>
      </c>
      <c r="D575" t="s">
        <v>36</v>
      </c>
      <c r="E575" t="s">
        <v>37</v>
      </c>
      <c r="F575" t="s">
        <v>710</v>
      </c>
      <c r="G575" t="s">
        <v>30</v>
      </c>
      <c r="J575">
        <v>0</v>
      </c>
      <c r="K575">
        <v>0</v>
      </c>
      <c r="L575">
        <v>0</v>
      </c>
      <c r="M575">
        <v>1</v>
      </c>
      <c r="N575">
        <v>9</v>
      </c>
      <c r="O575">
        <v>7.6</v>
      </c>
      <c r="P575">
        <v>3.4</v>
      </c>
      <c r="Q575" t="s">
        <v>62</v>
      </c>
    </row>
    <row r="576" spans="1:17" x14ac:dyDescent="0.3">
      <c r="A576" t="s">
        <v>1014</v>
      </c>
      <c r="B576" s="2">
        <v>45956</v>
      </c>
      <c r="C576" t="s">
        <v>26</v>
      </c>
      <c r="D576" t="s">
        <v>69</v>
      </c>
      <c r="E576" t="s">
        <v>20</v>
      </c>
      <c r="F576" t="s">
        <v>1015</v>
      </c>
      <c r="G576" t="s">
        <v>44</v>
      </c>
      <c r="J576">
        <v>0</v>
      </c>
      <c r="K576">
        <v>0</v>
      </c>
      <c r="L576">
        <v>0</v>
      </c>
      <c r="M576">
        <v>1</v>
      </c>
      <c r="N576">
        <v>6.9</v>
      </c>
      <c r="O576">
        <v>4.5</v>
      </c>
      <c r="P576">
        <v>3.3</v>
      </c>
      <c r="Q576" t="s">
        <v>39</v>
      </c>
    </row>
    <row r="577" spans="1:17" x14ac:dyDescent="0.3">
      <c r="A577" t="s">
        <v>1016</v>
      </c>
      <c r="B577" s="2">
        <v>46187</v>
      </c>
      <c r="C577" t="s">
        <v>26</v>
      </c>
      <c r="D577" t="s">
        <v>36</v>
      </c>
      <c r="E577" t="s">
        <v>42</v>
      </c>
      <c r="F577" t="s">
        <v>112</v>
      </c>
      <c r="G577" t="s">
        <v>30</v>
      </c>
      <c r="J577">
        <v>0</v>
      </c>
      <c r="K577">
        <v>0</v>
      </c>
      <c r="L577">
        <v>0</v>
      </c>
      <c r="M577">
        <v>1</v>
      </c>
      <c r="N577">
        <v>6.3</v>
      </c>
      <c r="O577">
        <v>2.9</v>
      </c>
      <c r="P577">
        <v>3.7</v>
      </c>
      <c r="Q577" t="s">
        <v>39</v>
      </c>
    </row>
    <row r="578" spans="1:17" x14ac:dyDescent="0.3">
      <c r="A578" t="s">
        <v>1017</v>
      </c>
      <c r="B578" s="2">
        <v>45985</v>
      </c>
      <c r="C578" t="s">
        <v>18</v>
      </c>
      <c r="D578" t="s">
        <v>47</v>
      </c>
      <c r="E578" t="s">
        <v>28</v>
      </c>
      <c r="F578" t="s">
        <v>1018</v>
      </c>
      <c r="G578" t="s">
        <v>30</v>
      </c>
      <c r="H578" t="s">
        <v>23</v>
      </c>
      <c r="I578" t="s">
        <v>89</v>
      </c>
      <c r="J578">
        <v>1</v>
      </c>
      <c r="K578">
        <v>36900</v>
      </c>
      <c r="L578">
        <v>0</v>
      </c>
      <c r="N578">
        <v>17.8</v>
      </c>
      <c r="Q578" t="s">
        <v>89</v>
      </c>
    </row>
    <row r="579" spans="1:17" x14ac:dyDescent="0.3">
      <c r="A579" t="s">
        <v>1019</v>
      </c>
      <c r="B579" s="2">
        <v>45929</v>
      </c>
      <c r="C579" t="s">
        <v>26</v>
      </c>
      <c r="D579" t="s">
        <v>232</v>
      </c>
      <c r="E579" t="s">
        <v>20</v>
      </c>
      <c r="F579" t="s">
        <v>1020</v>
      </c>
      <c r="G579" t="s">
        <v>22</v>
      </c>
      <c r="J579">
        <v>0</v>
      </c>
      <c r="K579">
        <v>0</v>
      </c>
      <c r="L579">
        <v>0</v>
      </c>
      <c r="M579">
        <v>1</v>
      </c>
      <c r="N579">
        <v>5.2</v>
      </c>
      <c r="O579">
        <v>15.5</v>
      </c>
      <c r="P579">
        <v>5</v>
      </c>
      <c r="Q579" t="s">
        <v>39</v>
      </c>
    </row>
    <row r="580" spans="1:17" x14ac:dyDescent="0.3">
      <c r="A580" t="s">
        <v>1021</v>
      </c>
      <c r="B580" s="2">
        <v>46038</v>
      </c>
      <c r="C580" t="s">
        <v>18</v>
      </c>
      <c r="D580" t="s">
        <v>95</v>
      </c>
      <c r="E580" t="s">
        <v>28</v>
      </c>
      <c r="F580" t="s">
        <v>598</v>
      </c>
      <c r="G580" t="s">
        <v>30</v>
      </c>
      <c r="H580" t="s">
        <v>86</v>
      </c>
      <c r="I580" t="s">
        <v>45</v>
      </c>
      <c r="J580">
        <v>1</v>
      </c>
      <c r="K580">
        <v>12000</v>
      </c>
      <c r="L580">
        <v>0</v>
      </c>
      <c r="N580">
        <v>3</v>
      </c>
      <c r="Q580" t="s">
        <v>45</v>
      </c>
    </row>
    <row r="581" spans="1:17" x14ac:dyDescent="0.3">
      <c r="A581" t="s">
        <v>1022</v>
      </c>
      <c r="B581" s="2">
        <v>46033</v>
      </c>
      <c r="C581" t="s">
        <v>18</v>
      </c>
      <c r="D581" t="s">
        <v>105</v>
      </c>
      <c r="E581" t="s">
        <v>20</v>
      </c>
      <c r="F581" t="s">
        <v>336</v>
      </c>
      <c r="G581" t="s">
        <v>22</v>
      </c>
      <c r="H581" t="s">
        <v>66</v>
      </c>
      <c r="I581" t="s">
        <v>55</v>
      </c>
      <c r="J581">
        <v>1</v>
      </c>
      <c r="K581">
        <v>16800</v>
      </c>
      <c r="L581">
        <v>0</v>
      </c>
      <c r="N581">
        <v>2.8</v>
      </c>
      <c r="Q581" t="s">
        <v>55</v>
      </c>
    </row>
    <row r="582" spans="1:17" x14ac:dyDescent="0.3">
      <c r="A582" t="s">
        <v>1023</v>
      </c>
      <c r="B582" s="2">
        <v>46039</v>
      </c>
      <c r="C582" t="s">
        <v>18</v>
      </c>
      <c r="D582" t="s">
        <v>117</v>
      </c>
      <c r="E582" t="s">
        <v>48</v>
      </c>
      <c r="F582" t="s">
        <v>1024</v>
      </c>
      <c r="G582" t="s">
        <v>44</v>
      </c>
      <c r="H582" t="s">
        <v>78</v>
      </c>
      <c r="I582" t="s">
        <v>24</v>
      </c>
      <c r="J582">
        <v>1</v>
      </c>
      <c r="K582">
        <v>5500</v>
      </c>
      <c r="L582">
        <v>5500</v>
      </c>
      <c r="N582">
        <v>7.9</v>
      </c>
      <c r="Q582" t="s">
        <v>24</v>
      </c>
    </row>
    <row r="583" spans="1:17" x14ac:dyDescent="0.3">
      <c r="A583" t="s">
        <v>1025</v>
      </c>
      <c r="B583" s="2">
        <v>46097</v>
      </c>
      <c r="C583" t="s">
        <v>26</v>
      </c>
      <c r="D583" t="s">
        <v>114</v>
      </c>
      <c r="E583" t="s">
        <v>20</v>
      </c>
      <c r="F583" t="s">
        <v>426</v>
      </c>
      <c r="G583" t="s">
        <v>44</v>
      </c>
      <c r="J583">
        <v>0</v>
      </c>
      <c r="K583">
        <v>0</v>
      </c>
      <c r="L583">
        <v>0</v>
      </c>
      <c r="M583">
        <v>1</v>
      </c>
      <c r="N583">
        <v>9.6999999999999993</v>
      </c>
      <c r="O583">
        <v>4.7</v>
      </c>
      <c r="P583">
        <v>3.5</v>
      </c>
      <c r="Q583" t="s">
        <v>62</v>
      </c>
    </row>
    <row r="584" spans="1:17" x14ac:dyDescent="0.3">
      <c r="A584" t="s">
        <v>1026</v>
      </c>
      <c r="B584" s="2">
        <v>46181</v>
      </c>
      <c r="C584" t="s">
        <v>18</v>
      </c>
      <c r="D584" t="s">
        <v>95</v>
      </c>
      <c r="E584" t="s">
        <v>48</v>
      </c>
      <c r="F584" t="s">
        <v>292</v>
      </c>
      <c r="G584" t="s">
        <v>50</v>
      </c>
      <c r="H584" t="s">
        <v>78</v>
      </c>
      <c r="I584" t="s">
        <v>79</v>
      </c>
      <c r="J584">
        <v>1</v>
      </c>
      <c r="K584">
        <v>22200</v>
      </c>
      <c r="L584">
        <v>0</v>
      </c>
      <c r="N584">
        <v>5.6</v>
      </c>
      <c r="Q584" t="s">
        <v>79</v>
      </c>
    </row>
    <row r="585" spans="1:17" x14ac:dyDescent="0.3">
      <c r="A585" t="s">
        <v>1027</v>
      </c>
      <c r="B585" s="2">
        <v>46030</v>
      </c>
      <c r="C585" t="s">
        <v>18</v>
      </c>
      <c r="D585" t="s">
        <v>52</v>
      </c>
      <c r="E585" t="s">
        <v>20</v>
      </c>
      <c r="F585" t="s">
        <v>1028</v>
      </c>
      <c r="G585" t="s">
        <v>50</v>
      </c>
      <c r="H585" t="s">
        <v>23</v>
      </c>
      <c r="I585" t="s">
        <v>89</v>
      </c>
      <c r="J585">
        <v>1</v>
      </c>
      <c r="K585">
        <v>17200</v>
      </c>
      <c r="L585">
        <v>0</v>
      </c>
      <c r="N585">
        <v>8.1</v>
      </c>
      <c r="Q585" t="s">
        <v>89</v>
      </c>
    </row>
    <row r="586" spans="1:17" x14ac:dyDescent="0.3">
      <c r="A586" t="s">
        <v>1029</v>
      </c>
      <c r="B586" s="2">
        <v>46230</v>
      </c>
      <c r="C586" t="s">
        <v>26</v>
      </c>
      <c r="D586" t="s">
        <v>69</v>
      </c>
      <c r="E586" t="s">
        <v>42</v>
      </c>
      <c r="F586" t="s">
        <v>734</v>
      </c>
      <c r="G586" t="s">
        <v>30</v>
      </c>
      <c r="J586">
        <v>0</v>
      </c>
      <c r="K586">
        <v>0</v>
      </c>
      <c r="L586">
        <v>0</v>
      </c>
      <c r="M586">
        <v>1</v>
      </c>
      <c r="N586">
        <v>7.5</v>
      </c>
      <c r="O586">
        <v>3.1</v>
      </c>
      <c r="P586">
        <v>4.9000000000000004</v>
      </c>
      <c r="Q586" t="s">
        <v>62</v>
      </c>
    </row>
    <row r="587" spans="1:17" x14ac:dyDescent="0.3">
      <c r="A587" t="s">
        <v>1030</v>
      </c>
      <c r="B587" s="2">
        <v>46234</v>
      </c>
      <c r="C587" t="s">
        <v>18</v>
      </c>
      <c r="D587" t="s">
        <v>47</v>
      </c>
      <c r="E587" t="s">
        <v>28</v>
      </c>
      <c r="F587" t="s">
        <v>923</v>
      </c>
      <c r="G587" t="s">
        <v>44</v>
      </c>
      <c r="H587" t="s">
        <v>78</v>
      </c>
      <c r="I587" t="s">
        <v>67</v>
      </c>
      <c r="J587">
        <v>1</v>
      </c>
      <c r="K587">
        <v>5000</v>
      </c>
      <c r="L587">
        <v>0</v>
      </c>
      <c r="N587">
        <v>3</v>
      </c>
      <c r="Q587" t="s">
        <v>67</v>
      </c>
    </row>
    <row r="588" spans="1:17" x14ac:dyDescent="0.3">
      <c r="A588" t="s">
        <v>1031</v>
      </c>
      <c r="B588" s="2">
        <v>46231</v>
      </c>
      <c r="C588" t="s">
        <v>18</v>
      </c>
      <c r="D588" t="s">
        <v>47</v>
      </c>
      <c r="E588" t="s">
        <v>37</v>
      </c>
      <c r="F588" t="s">
        <v>1032</v>
      </c>
      <c r="G588" t="s">
        <v>30</v>
      </c>
      <c r="H588" t="s">
        <v>54</v>
      </c>
      <c r="I588" t="s">
        <v>89</v>
      </c>
      <c r="J588">
        <v>1</v>
      </c>
      <c r="K588">
        <v>25600</v>
      </c>
      <c r="L588">
        <v>0</v>
      </c>
      <c r="N588">
        <v>6</v>
      </c>
      <c r="Q588" t="s">
        <v>89</v>
      </c>
    </row>
    <row r="589" spans="1:17" x14ac:dyDescent="0.3">
      <c r="A589" t="s">
        <v>1033</v>
      </c>
      <c r="B589" s="2">
        <v>45923</v>
      </c>
      <c r="C589" t="s">
        <v>18</v>
      </c>
      <c r="D589" t="s">
        <v>41</v>
      </c>
      <c r="E589" t="s">
        <v>37</v>
      </c>
      <c r="F589" t="s">
        <v>1034</v>
      </c>
      <c r="G589" t="s">
        <v>30</v>
      </c>
      <c r="H589" t="s">
        <v>66</v>
      </c>
      <c r="I589" t="s">
        <v>55</v>
      </c>
      <c r="J589">
        <v>1</v>
      </c>
      <c r="K589">
        <v>26400</v>
      </c>
      <c r="L589">
        <v>0</v>
      </c>
      <c r="N589">
        <v>15.1</v>
      </c>
      <c r="Q589" t="s">
        <v>55</v>
      </c>
    </row>
    <row r="590" spans="1:17" x14ac:dyDescent="0.3">
      <c r="A590" t="s">
        <v>1035</v>
      </c>
      <c r="B590" s="2">
        <v>46082</v>
      </c>
      <c r="C590" t="s">
        <v>18</v>
      </c>
      <c r="D590" t="s">
        <v>47</v>
      </c>
      <c r="E590" t="s">
        <v>20</v>
      </c>
      <c r="F590" t="s">
        <v>1036</v>
      </c>
      <c r="G590" t="s">
        <v>22</v>
      </c>
      <c r="H590" t="s">
        <v>23</v>
      </c>
      <c r="I590" t="s">
        <v>24</v>
      </c>
      <c r="J590">
        <v>1</v>
      </c>
      <c r="K590">
        <v>42600</v>
      </c>
      <c r="L590">
        <v>42600</v>
      </c>
      <c r="N590">
        <v>5.3</v>
      </c>
      <c r="Q590" t="s">
        <v>24</v>
      </c>
    </row>
    <row r="591" spans="1:17" x14ac:dyDescent="0.3">
      <c r="A591" t="s">
        <v>1037</v>
      </c>
      <c r="B591" s="2">
        <v>46032</v>
      </c>
      <c r="C591" t="s">
        <v>18</v>
      </c>
      <c r="D591" t="s">
        <v>105</v>
      </c>
      <c r="E591" t="s">
        <v>20</v>
      </c>
      <c r="F591" t="s">
        <v>505</v>
      </c>
      <c r="G591" t="s">
        <v>22</v>
      </c>
      <c r="H591" t="s">
        <v>66</v>
      </c>
      <c r="I591" t="s">
        <v>45</v>
      </c>
      <c r="J591">
        <v>1</v>
      </c>
      <c r="K591">
        <v>12400</v>
      </c>
      <c r="L591">
        <v>0</v>
      </c>
      <c r="N591">
        <v>4</v>
      </c>
      <c r="Q591" t="s">
        <v>45</v>
      </c>
    </row>
    <row r="592" spans="1:17" x14ac:dyDescent="0.3">
      <c r="A592" t="s">
        <v>1038</v>
      </c>
      <c r="B592" s="2">
        <v>46231</v>
      </c>
      <c r="C592" t="s">
        <v>18</v>
      </c>
      <c r="D592" t="s">
        <v>52</v>
      </c>
      <c r="E592" t="s">
        <v>20</v>
      </c>
      <c r="F592" t="s">
        <v>517</v>
      </c>
      <c r="G592" t="s">
        <v>44</v>
      </c>
      <c r="H592" t="s">
        <v>86</v>
      </c>
      <c r="I592" t="s">
        <v>45</v>
      </c>
      <c r="J592">
        <v>1</v>
      </c>
      <c r="K592">
        <v>24400</v>
      </c>
      <c r="L592">
        <v>0</v>
      </c>
      <c r="N592">
        <v>11.8</v>
      </c>
      <c r="Q592" t="s">
        <v>45</v>
      </c>
    </row>
    <row r="593" spans="1:17" x14ac:dyDescent="0.3">
      <c r="A593" t="s">
        <v>1039</v>
      </c>
      <c r="B593" s="2">
        <v>46153</v>
      </c>
      <c r="C593" t="s">
        <v>26</v>
      </c>
      <c r="D593" t="s">
        <v>72</v>
      </c>
      <c r="E593" t="s">
        <v>20</v>
      </c>
      <c r="F593" t="s">
        <v>473</v>
      </c>
      <c r="G593" t="s">
        <v>44</v>
      </c>
      <c r="J593">
        <v>0</v>
      </c>
      <c r="K593">
        <v>0</v>
      </c>
      <c r="L593">
        <v>0</v>
      </c>
      <c r="M593">
        <v>1</v>
      </c>
      <c r="N593">
        <v>9.1999999999999993</v>
      </c>
      <c r="O593">
        <v>3.1</v>
      </c>
      <c r="P593">
        <v>5</v>
      </c>
      <c r="Q593" t="s">
        <v>31</v>
      </c>
    </row>
    <row r="594" spans="1:17" x14ac:dyDescent="0.3">
      <c r="A594" t="s">
        <v>1040</v>
      </c>
      <c r="B594" s="2">
        <v>45909</v>
      </c>
      <c r="C594" t="s">
        <v>18</v>
      </c>
      <c r="D594" t="s">
        <v>47</v>
      </c>
      <c r="E594" t="s">
        <v>48</v>
      </c>
      <c r="F594" t="s">
        <v>1041</v>
      </c>
      <c r="G594" t="s">
        <v>22</v>
      </c>
      <c r="H594" t="s">
        <v>23</v>
      </c>
      <c r="I594" t="s">
        <v>89</v>
      </c>
      <c r="J594">
        <v>1</v>
      </c>
      <c r="K594">
        <v>11700</v>
      </c>
      <c r="L594">
        <v>0</v>
      </c>
      <c r="N594">
        <v>4.5999999999999996</v>
      </c>
      <c r="Q594" t="s">
        <v>89</v>
      </c>
    </row>
    <row r="595" spans="1:17" x14ac:dyDescent="0.3">
      <c r="A595" t="s">
        <v>1042</v>
      </c>
      <c r="B595" s="2">
        <v>46036</v>
      </c>
      <c r="C595" t="s">
        <v>18</v>
      </c>
      <c r="D595" t="s">
        <v>47</v>
      </c>
      <c r="E595" t="s">
        <v>37</v>
      </c>
      <c r="F595" t="s">
        <v>115</v>
      </c>
      <c r="G595" t="s">
        <v>44</v>
      </c>
      <c r="H595" t="s">
        <v>23</v>
      </c>
      <c r="I595" t="s">
        <v>79</v>
      </c>
      <c r="J595">
        <v>1</v>
      </c>
      <c r="K595">
        <v>27500</v>
      </c>
      <c r="L595">
        <v>0</v>
      </c>
      <c r="N595">
        <v>21.1</v>
      </c>
      <c r="Q595" t="s">
        <v>79</v>
      </c>
    </row>
    <row r="596" spans="1:17" x14ac:dyDescent="0.3">
      <c r="A596" t="s">
        <v>1043</v>
      </c>
      <c r="B596" s="2">
        <v>46039</v>
      </c>
      <c r="C596" t="s">
        <v>26</v>
      </c>
      <c r="D596" t="s">
        <v>27</v>
      </c>
      <c r="E596" t="s">
        <v>20</v>
      </c>
      <c r="F596" t="s">
        <v>301</v>
      </c>
      <c r="G596" t="s">
        <v>30</v>
      </c>
      <c r="J596">
        <v>0</v>
      </c>
      <c r="K596">
        <v>0</v>
      </c>
      <c r="L596">
        <v>0</v>
      </c>
      <c r="M596">
        <v>1</v>
      </c>
      <c r="N596">
        <v>8.4</v>
      </c>
      <c r="O596">
        <v>3</v>
      </c>
      <c r="P596">
        <v>3.9</v>
      </c>
      <c r="Q596" t="s">
        <v>39</v>
      </c>
    </row>
    <row r="597" spans="1:17" x14ac:dyDescent="0.3">
      <c r="A597" t="s">
        <v>1044</v>
      </c>
      <c r="B597" s="2">
        <v>46214</v>
      </c>
      <c r="C597" t="s">
        <v>18</v>
      </c>
      <c r="D597" t="s">
        <v>117</v>
      </c>
      <c r="E597" t="s">
        <v>20</v>
      </c>
      <c r="F597" t="s">
        <v>1045</v>
      </c>
      <c r="G597" t="s">
        <v>44</v>
      </c>
      <c r="H597" t="s">
        <v>78</v>
      </c>
      <c r="I597" t="s">
        <v>67</v>
      </c>
      <c r="J597">
        <v>1</v>
      </c>
      <c r="K597">
        <v>49700</v>
      </c>
      <c r="L597">
        <v>0</v>
      </c>
      <c r="N597">
        <v>7.8</v>
      </c>
      <c r="Q597" t="s">
        <v>67</v>
      </c>
    </row>
    <row r="598" spans="1:17" x14ac:dyDescent="0.3">
      <c r="A598" t="s">
        <v>1046</v>
      </c>
      <c r="B598" s="2">
        <v>45958</v>
      </c>
      <c r="C598" t="s">
        <v>26</v>
      </c>
      <c r="D598" t="s">
        <v>36</v>
      </c>
      <c r="E598" t="s">
        <v>48</v>
      </c>
      <c r="F598" t="s">
        <v>524</v>
      </c>
      <c r="G598" t="s">
        <v>22</v>
      </c>
      <c r="J598">
        <v>0</v>
      </c>
      <c r="K598">
        <v>0</v>
      </c>
      <c r="L598">
        <v>0</v>
      </c>
      <c r="M598">
        <v>1</v>
      </c>
      <c r="N598">
        <v>1</v>
      </c>
      <c r="O598">
        <v>5.9</v>
      </c>
      <c r="P598">
        <v>4.5999999999999996</v>
      </c>
      <c r="Q598" t="s">
        <v>39</v>
      </c>
    </row>
    <row r="599" spans="1:17" x14ac:dyDescent="0.3">
      <c r="A599" t="s">
        <v>1047</v>
      </c>
      <c r="B599" s="2">
        <v>46151</v>
      </c>
      <c r="C599" t="s">
        <v>18</v>
      </c>
      <c r="D599" t="s">
        <v>52</v>
      </c>
      <c r="E599" t="s">
        <v>42</v>
      </c>
      <c r="F599" t="s">
        <v>1048</v>
      </c>
      <c r="G599" t="s">
        <v>50</v>
      </c>
      <c r="H599" t="s">
        <v>23</v>
      </c>
      <c r="I599" t="s">
        <v>55</v>
      </c>
      <c r="J599">
        <v>1</v>
      </c>
      <c r="K599">
        <v>46600</v>
      </c>
      <c r="L599">
        <v>0</v>
      </c>
      <c r="N599">
        <v>15.6</v>
      </c>
      <c r="Q599" t="s">
        <v>55</v>
      </c>
    </row>
    <row r="600" spans="1:17" x14ac:dyDescent="0.3">
      <c r="A600" t="s">
        <v>1049</v>
      </c>
      <c r="B600" s="2">
        <v>45959</v>
      </c>
      <c r="C600" t="s">
        <v>18</v>
      </c>
      <c r="D600" t="s">
        <v>19</v>
      </c>
      <c r="E600" t="s">
        <v>37</v>
      </c>
      <c r="F600" t="s">
        <v>1050</v>
      </c>
      <c r="G600" t="s">
        <v>30</v>
      </c>
      <c r="H600" t="s">
        <v>66</v>
      </c>
      <c r="I600" t="s">
        <v>45</v>
      </c>
      <c r="J600">
        <v>1</v>
      </c>
      <c r="K600">
        <v>20700</v>
      </c>
      <c r="L600">
        <v>0</v>
      </c>
      <c r="N600">
        <v>22.9</v>
      </c>
      <c r="Q600" t="s">
        <v>45</v>
      </c>
    </row>
    <row r="601" spans="1:17" x14ac:dyDescent="0.3">
      <c r="A601" t="s">
        <v>1051</v>
      </c>
      <c r="B601" s="2">
        <v>45915</v>
      </c>
      <c r="C601" t="s">
        <v>18</v>
      </c>
      <c r="D601" t="s">
        <v>19</v>
      </c>
      <c r="E601" t="s">
        <v>28</v>
      </c>
      <c r="F601" t="s">
        <v>164</v>
      </c>
      <c r="G601" t="s">
        <v>50</v>
      </c>
      <c r="H601" t="s">
        <v>54</v>
      </c>
      <c r="I601" t="s">
        <v>24</v>
      </c>
      <c r="J601">
        <v>1</v>
      </c>
      <c r="K601">
        <v>10900</v>
      </c>
      <c r="L601">
        <v>10900</v>
      </c>
      <c r="N601">
        <v>2.2999999999999998</v>
      </c>
      <c r="Q601" t="s">
        <v>24</v>
      </c>
    </row>
    <row r="602" spans="1:17" x14ac:dyDescent="0.3">
      <c r="A602" t="s">
        <v>1052</v>
      </c>
      <c r="B602" s="2">
        <v>45964</v>
      </c>
      <c r="C602" t="s">
        <v>18</v>
      </c>
      <c r="D602" t="s">
        <v>19</v>
      </c>
      <c r="E602" t="s">
        <v>20</v>
      </c>
      <c r="F602" t="s">
        <v>809</v>
      </c>
      <c r="G602" t="s">
        <v>22</v>
      </c>
      <c r="H602" t="s">
        <v>23</v>
      </c>
      <c r="I602" t="s">
        <v>45</v>
      </c>
      <c r="J602">
        <v>1</v>
      </c>
      <c r="K602">
        <v>18900</v>
      </c>
      <c r="L602">
        <v>0</v>
      </c>
      <c r="N602">
        <v>8.8000000000000007</v>
      </c>
      <c r="Q602" t="s">
        <v>45</v>
      </c>
    </row>
    <row r="603" spans="1:17" x14ac:dyDescent="0.3">
      <c r="A603" t="s">
        <v>1053</v>
      </c>
      <c r="B603" s="2">
        <v>45988</v>
      </c>
      <c r="C603" t="s">
        <v>18</v>
      </c>
      <c r="D603" t="s">
        <v>19</v>
      </c>
      <c r="E603" t="s">
        <v>20</v>
      </c>
      <c r="F603" t="s">
        <v>887</v>
      </c>
      <c r="G603" t="s">
        <v>50</v>
      </c>
      <c r="H603" t="s">
        <v>78</v>
      </c>
      <c r="I603" t="s">
        <v>24</v>
      </c>
      <c r="J603">
        <v>1</v>
      </c>
      <c r="K603">
        <v>15300</v>
      </c>
      <c r="L603">
        <v>15300</v>
      </c>
      <c r="N603">
        <v>10.6</v>
      </c>
      <c r="Q603" t="s">
        <v>24</v>
      </c>
    </row>
    <row r="604" spans="1:17" x14ac:dyDescent="0.3">
      <c r="A604" t="s">
        <v>1054</v>
      </c>
      <c r="B604" s="2">
        <v>46245</v>
      </c>
      <c r="C604" t="s">
        <v>18</v>
      </c>
      <c r="D604" t="s">
        <v>47</v>
      </c>
      <c r="E604" t="s">
        <v>28</v>
      </c>
      <c r="F604" t="s">
        <v>1055</v>
      </c>
      <c r="G604" t="s">
        <v>44</v>
      </c>
      <c r="H604" t="s">
        <v>86</v>
      </c>
      <c r="I604" t="s">
        <v>45</v>
      </c>
      <c r="J604">
        <v>1</v>
      </c>
      <c r="K604">
        <v>41400</v>
      </c>
      <c r="L604">
        <v>0</v>
      </c>
      <c r="N604">
        <v>16.8</v>
      </c>
      <c r="Q604" t="s">
        <v>45</v>
      </c>
    </row>
    <row r="605" spans="1:17" x14ac:dyDescent="0.3">
      <c r="A605" t="s">
        <v>1056</v>
      </c>
      <c r="B605" s="2">
        <v>46210</v>
      </c>
      <c r="C605" t="s">
        <v>18</v>
      </c>
      <c r="D605" t="s">
        <v>41</v>
      </c>
      <c r="E605" t="s">
        <v>42</v>
      </c>
      <c r="F605" t="s">
        <v>485</v>
      </c>
      <c r="G605" t="s">
        <v>44</v>
      </c>
      <c r="H605" t="s">
        <v>78</v>
      </c>
      <c r="I605" t="s">
        <v>24</v>
      </c>
      <c r="J605">
        <v>1</v>
      </c>
      <c r="K605">
        <v>37900</v>
      </c>
      <c r="L605">
        <v>37900</v>
      </c>
      <c r="N605">
        <v>9.6999999999999993</v>
      </c>
      <c r="Q605" t="s">
        <v>24</v>
      </c>
    </row>
    <row r="606" spans="1:17" x14ac:dyDescent="0.3">
      <c r="A606" t="s">
        <v>1057</v>
      </c>
      <c r="B606" s="2">
        <v>46033</v>
      </c>
      <c r="C606" t="s">
        <v>18</v>
      </c>
      <c r="D606" t="s">
        <v>47</v>
      </c>
      <c r="E606" t="s">
        <v>28</v>
      </c>
      <c r="F606" t="s">
        <v>706</v>
      </c>
      <c r="G606" t="s">
        <v>30</v>
      </c>
      <c r="H606" t="s">
        <v>78</v>
      </c>
      <c r="I606" t="s">
        <v>55</v>
      </c>
      <c r="J606">
        <v>1</v>
      </c>
      <c r="K606">
        <v>9100</v>
      </c>
      <c r="L606">
        <v>0</v>
      </c>
      <c r="N606">
        <v>6.2</v>
      </c>
      <c r="Q606" t="s">
        <v>55</v>
      </c>
    </row>
    <row r="607" spans="1:17" x14ac:dyDescent="0.3">
      <c r="A607" t="s">
        <v>1058</v>
      </c>
      <c r="B607" s="2">
        <v>45920</v>
      </c>
      <c r="C607" t="s">
        <v>18</v>
      </c>
      <c r="D607" t="s">
        <v>52</v>
      </c>
      <c r="E607" t="s">
        <v>20</v>
      </c>
      <c r="F607" t="s">
        <v>1059</v>
      </c>
      <c r="G607" t="s">
        <v>30</v>
      </c>
      <c r="H607" t="s">
        <v>23</v>
      </c>
      <c r="I607" t="s">
        <v>24</v>
      </c>
      <c r="J607">
        <v>1</v>
      </c>
      <c r="K607">
        <v>18500</v>
      </c>
      <c r="L607">
        <v>18500</v>
      </c>
      <c r="N607">
        <v>17.899999999999999</v>
      </c>
      <c r="Q607" t="s">
        <v>24</v>
      </c>
    </row>
    <row r="608" spans="1:17" x14ac:dyDescent="0.3">
      <c r="A608" t="s">
        <v>1060</v>
      </c>
      <c r="B608" s="2">
        <v>46091</v>
      </c>
      <c r="C608" t="s">
        <v>18</v>
      </c>
      <c r="D608" t="s">
        <v>47</v>
      </c>
      <c r="E608" t="s">
        <v>28</v>
      </c>
      <c r="F608" t="s">
        <v>1061</v>
      </c>
      <c r="G608" t="s">
        <v>22</v>
      </c>
      <c r="H608" t="s">
        <v>78</v>
      </c>
      <c r="I608" t="s">
        <v>24</v>
      </c>
      <c r="J608">
        <v>1</v>
      </c>
      <c r="K608">
        <v>28500</v>
      </c>
      <c r="L608">
        <v>28500</v>
      </c>
      <c r="N608">
        <v>15</v>
      </c>
      <c r="Q608" t="s">
        <v>24</v>
      </c>
    </row>
    <row r="609" spans="1:17" x14ac:dyDescent="0.3">
      <c r="A609" t="s">
        <v>1062</v>
      </c>
      <c r="B609" s="2">
        <v>46052</v>
      </c>
      <c r="C609" t="s">
        <v>18</v>
      </c>
      <c r="D609" t="s">
        <v>41</v>
      </c>
      <c r="E609" t="s">
        <v>20</v>
      </c>
      <c r="F609" t="s">
        <v>1063</v>
      </c>
      <c r="G609" t="s">
        <v>30</v>
      </c>
      <c r="H609" t="s">
        <v>23</v>
      </c>
      <c r="I609" t="s">
        <v>67</v>
      </c>
      <c r="J609">
        <v>1</v>
      </c>
      <c r="K609">
        <v>55200</v>
      </c>
      <c r="L609">
        <v>0</v>
      </c>
      <c r="N609">
        <v>6.7</v>
      </c>
      <c r="Q609" t="s">
        <v>67</v>
      </c>
    </row>
    <row r="610" spans="1:17" x14ac:dyDescent="0.3">
      <c r="A610" t="s">
        <v>1064</v>
      </c>
      <c r="B610" s="2">
        <v>46129</v>
      </c>
      <c r="C610" t="s">
        <v>18</v>
      </c>
      <c r="D610" t="s">
        <v>95</v>
      </c>
      <c r="E610" t="s">
        <v>28</v>
      </c>
      <c r="F610" t="s">
        <v>83</v>
      </c>
      <c r="G610" t="s">
        <v>30</v>
      </c>
      <c r="H610" t="s">
        <v>54</v>
      </c>
      <c r="I610" t="s">
        <v>55</v>
      </c>
      <c r="J610">
        <v>1</v>
      </c>
      <c r="K610">
        <v>19000</v>
      </c>
      <c r="L610">
        <v>0</v>
      </c>
      <c r="N610">
        <v>22.4</v>
      </c>
      <c r="Q610" t="s">
        <v>55</v>
      </c>
    </row>
    <row r="611" spans="1:17" x14ac:dyDescent="0.3">
      <c r="A611" t="s">
        <v>1065</v>
      </c>
      <c r="B611" s="2">
        <v>45989</v>
      </c>
      <c r="C611" t="s">
        <v>26</v>
      </c>
      <c r="D611" t="s">
        <v>114</v>
      </c>
      <c r="E611" t="s">
        <v>37</v>
      </c>
      <c r="F611" t="s">
        <v>669</v>
      </c>
      <c r="G611" t="s">
        <v>44</v>
      </c>
      <c r="J611">
        <v>0</v>
      </c>
      <c r="K611">
        <v>0</v>
      </c>
      <c r="L611">
        <v>0</v>
      </c>
      <c r="M611">
        <v>1</v>
      </c>
      <c r="N611">
        <v>1.7</v>
      </c>
      <c r="O611">
        <v>6.5</v>
      </c>
      <c r="P611">
        <v>5</v>
      </c>
      <c r="Q611" t="s">
        <v>39</v>
      </c>
    </row>
    <row r="612" spans="1:17" x14ac:dyDescent="0.3">
      <c r="A612" t="s">
        <v>1066</v>
      </c>
      <c r="B612" s="2">
        <v>46047</v>
      </c>
      <c r="C612" t="s">
        <v>18</v>
      </c>
      <c r="D612" t="s">
        <v>19</v>
      </c>
      <c r="E612" t="s">
        <v>48</v>
      </c>
      <c r="F612" t="s">
        <v>1067</v>
      </c>
      <c r="G612" t="s">
        <v>44</v>
      </c>
      <c r="H612" t="s">
        <v>23</v>
      </c>
      <c r="I612" t="s">
        <v>89</v>
      </c>
      <c r="J612">
        <v>1</v>
      </c>
      <c r="K612">
        <v>22600</v>
      </c>
      <c r="L612">
        <v>0</v>
      </c>
      <c r="N612">
        <v>16.399999999999999</v>
      </c>
      <c r="Q612" t="s">
        <v>89</v>
      </c>
    </row>
    <row r="613" spans="1:17" x14ac:dyDescent="0.3">
      <c r="A613" t="s">
        <v>1068</v>
      </c>
      <c r="B613" s="2">
        <v>46170</v>
      </c>
      <c r="C613" t="s">
        <v>26</v>
      </c>
      <c r="D613" t="s">
        <v>72</v>
      </c>
      <c r="E613" t="s">
        <v>37</v>
      </c>
      <c r="F613" t="s">
        <v>923</v>
      </c>
      <c r="G613" t="s">
        <v>22</v>
      </c>
      <c r="J613">
        <v>0</v>
      </c>
      <c r="K613">
        <v>0</v>
      </c>
      <c r="L613">
        <v>0</v>
      </c>
      <c r="M613">
        <v>1</v>
      </c>
      <c r="N613">
        <v>4.7</v>
      </c>
      <c r="O613">
        <v>8.1</v>
      </c>
      <c r="P613">
        <v>4.5999999999999996</v>
      </c>
      <c r="Q613" t="s">
        <v>62</v>
      </c>
    </row>
    <row r="614" spans="1:17" x14ac:dyDescent="0.3">
      <c r="A614" t="s">
        <v>1069</v>
      </c>
      <c r="B614" s="2">
        <v>46228</v>
      </c>
      <c r="C614" t="s">
        <v>26</v>
      </c>
      <c r="D614" t="s">
        <v>126</v>
      </c>
      <c r="E614" t="s">
        <v>20</v>
      </c>
      <c r="F614" t="s">
        <v>1070</v>
      </c>
      <c r="G614" t="s">
        <v>22</v>
      </c>
      <c r="J614">
        <v>0</v>
      </c>
      <c r="K614">
        <v>0</v>
      </c>
      <c r="L614">
        <v>0</v>
      </c>
      <c r="M614">
        <v>1</v>
      </c>
      <c r="N614">
        <v>6.1</v>
      </c>
      <c r="O614">
        <v>9</v>
      </c>
      <c r="P614">
        <v>4</v>
      </c>
      <c r="Q614" t="s">
        <v>62</v>
      </c>
    </row>
    <row r="615" spans="1:17" x14ac:dyDescent="0.3">
      <c r="A615" t="s">
        <v>1071</v>
      </c>
      <c r="B615" s="2">
        <v>46246</v>
      </c>
      <c r="C615" t="s">
        <v>18</v>
      </c>
      <c r="D615" t="s">
        <v>47</v>
      </c>
      <c r="E615" t="s">
        <v>37</v>
      </c>
      <c r="F615" t="s">
        <v>292</v>
      </c>
      <c r="G615" t="s">
        <v>30</v>
      </c>
      <c r="H615" t="s">
        <v>86</v>
      </c>
      <c r="I615" t="s">
        <v>45</v>
      </c>
      <c r="J615">
        <v>1</v>
      </c>
      <c r="K615">
        <v>8500</v>
      </c>
      <c r="L615">
        <v>0</v>
      </c>
      <c r="N615">
        <v>15.7</v>
      </c>
      <c r="Q615" t="s">
        <v>45</v>
      </c>
    </row>
    <row r="616" spans="1:17" x14ac:dyDescent="0.3">
      <c r="A616" t="s">
        <v>1072</v>
      </c>
      <c r="B616" s="2">
        <v>46052</v>
      </c>
      <c r="C616" t="s">
        <v>26</v>
      </c>
      <c r="D616" t="s">
        <v>69</v>
      </c>
      <c r="E616" t="s">
        <v>48</v>
      </c>
      <c r="F616" t="s">
        <v>932</v>
      </c>
      <c r="G616" t="s">
        <v>22</v>
      </c>
      <c r="J616">
        <v>0</v>
      </c>
      <c r="K616">
        <v>0</v>
      </c>
      <c r="L616">
        <v>0</v>
      </c>
      <c r="M616">
        <v>1</v>
      </c>
      <c r="N616">
        <v>0.6</v>
      </c>
      <c r="O616">
        <v>8.4</v>
      </c>
      <c r="P616">
        <v>4.0999999999999996</v>
      </c>
      <c r="Q616" t="s">
        <v>31</v>
      </c>
    </row>
    <row r="617" spans="1:17" x14ac:dyDescent="0.3">
      <c r="A617" t="s">
        <v>1073</v>
      </c>
      <c r="B617" s="2">
        <v>45965</v>
      </c>
      <c r="C617" t="s">
        <v>26</v>
      </c>
      <c r="D617" t="s">
        <v>232</v>
      </c>
      <c r="E617" t="s">
        <v>20</v>
      </c>
      <c r="F617" t="s">
        <v>1074</v>
      </c>
      <c r="G617" t="s">
        <v>30</v>
      </c>
      <c r="J617">
        <v>0</v>
      </c>
      <c r="K617">
        <v>0</v>
      </c>
      <c r="L617">
        <v>0</v>
      </c>
      <c r="M617">
        <v>1</v>
      </c>
      <c r="N617">
        <v>10</v>
      </c>
      <c r="O617">
        <v>11.5</v>
      </c>
      <c r="P617">
        <v>3</v>
      </c>
      <c r="Q617" t="s">
        <v>39</v>
      </c>
    </row>
    <row r="618" spans="1:17" x14ac:dyDescent="0.3">
      <c r="A618" t="s">
        <v>1075</v>
      </c>
      <c r="B618" s="2">
        <v>45958</v>
      </c>
      <c r="C618" t="s">
        <v>18</v>
      </c>
      <c r="D618" t="s">
        <v>47</v>
      </c>
      <c r="E618" t="s">
        <v>37</v>
      </c>
      <c r="F618" t="s">
        <v>1020</v>
      </c>
      <c r="G618" t="s">
        <v>44</v>
      </c>
      <c r="H618" t="s">
        <v>66</v>
      </c>
      <c r="I618" t="s">
        <v>89</v>
      </c>
      <c r="J618">
        <v>1</v>
      </c>
      <c r="K618">
        <v>27900</v>
      </c>
      <c r="L618">
        <v>0</v>
      </c>
      <c r="N618">
        <v>4.2</v>
      </c>
      <c r="Q618" t="s">
        <v>89</v>
      </c>
    </row>
    <row r="619" spans="1:17" x14ac:dyDescent="0.3">
      <c r="A619" t="s">
        <v>1076</v>
      </c>
      <c r="B619" s="2">
        <v>46001</v>
      </c>
      <c r="C619" t="s">
        <v>18</v>
      </c>
      <c r="D619" t="s">
        <v>105</v>
      </c>
      <c r="E619" t="s">
        <v>42</v>
      </c>
      <c r="F619" t="s">
        <v>1077</v>
      </c>
      <c r="G619" t="s">
        <v>30</v>
      </c>
      <c r="H619" t="s">
        <v>54</v>
      </c>
      <c r="I619" t="s">
        <v>79</v>
      </c>
      <c r="J619">
        <v>1</v>
      </c>
      <c r="K619">
        <v>13400</v>
      </c>
      <c r="L619">
        <v>0</v>
      </c>
      <c r="N619">
        <v>3.4</v>
      </c>
      <c r="Q619" t="s">
        <v>79</v>
      </c>
    </row>
    <row r="620" spans="1:17" x14ac:dyDescent="0.3">
      <c r="A620" t="s">
        <v>1078</v>
      </c>
      <c r="B620" s="2">
        <v>46200</v>
      </c>
      <c r="C620" t="s">
        <v>26</v>
      </c>
      <c r="D620" t="s">
        <v>232</v>
      </c>
      <c r="E620" t="s">
        <v>28</v>
      </c>
      <c r="F620" t="s">
        <v>1079</v>
      </c>
      <c r="G620" t="s">
        <v>22</v>
      </c>
      <c r="J620">
        <v>0</v>
      </c>
      <c r="K620">
        <v>0</v>
      </c>
      <c r="L620">
        <v>0</v>
      </c>
      <c r="M620">
        <v>1</v>
      </c>
      <c r="N620">
        <v>9.1999999999999993</v>
      </c>
      <c r="O620">
        <v>4.5</v>
      </c>
      <c r="P620">
        <v>4.0999999999999996</v>
      </c>
      <c r="Q620" t="s">
        <v>39</v>
      </c>
    </row>
    <row r="621" spans="1:17" x14ac:dyDescent="0.3">
      <c r="A621" t="s">
        <v>1080</v>
      </c>
      <c r="B621" s="2">
        <v>46227</v>
      </c>
      <c r="C621" t="s">
        <v>26</v>
      </c>
      <c r="D621" t="s">
        <v>126</v>
      </c>
      <c r="E621" t="s">
        <v>42</v>
      </c>
      <c r="F621" t="s">
        <v>1081</v>
      </c>
      <c r="G621" t="s">
        <v>30</v>
      </c>
      <c r="J621">
        <v>0</v>
      </c>
      <c r="K621">
        <v>0</v>
      </c>
      <c r="L621">
        <v>0</v>
      </c>
      <c r="M621">
        <v>1</v>
      </c>
      <c r="N621">
        <v>9.1999999999999993</v>
      </c>
      <c r="O621">
        <v>12</v>
      </c>
      <c r="P621">
        <v>4.7</v>
      </c>
      <c r="Q621" t="s">
        <v>225</v>
      </c>
    </row>
    <row r="622" spans="1:17" x14ac:dyDescent="0.3">
      <c r="A622" t="s">
        <v>1082</v>
      </c>
      <c r="B622" s="2">
        <v>46177</v>
      </c>
      <c r="C622" t="s">
        <v>18</v>
      </c>
      <c r="D622" t="s">
        <v>52</v>
      </c>
      <c r="E622" t="s">
        <v>28</v>
      </c>
      <c r="F622" t="s">
        <v>1083</v>
      </c>
      <c r="G622" t="s">
        <v>44</v>
      </c>
      <c r="H622" t="s">
        <v>66</v>
      </c>
      <c r="I622" t="s">
        <v>24</v>
      </c>
      <c r="J622">
        <v>1</v>
      </c>
      <c r="K622">
        <v>17600</v>
      </c>
      <c r="L622">
        <v>17600</v>
      </c>
      <c r="N622">
        <v>15</v>
      </c>
      <c r="Q622" t="s">
        <v>24</v>
      </c>
    </row>
    <row r="623" spans="1:17" x14ac:dyDescent="0.3">
      <c r="A623" t="s">
        <v>1084</v>
      </c>
      <c r="B623" s="2">
        <v>45983</v>
      </c>
      <c r="C623" t="s">
        <v>18</v>
      </c>
      <c r="D623" t="s">
        <v>52</v>
      </c>
      <c r="E623" t="s">
        <v>20</v>
      </c>
      <c r="F623" t="s">
        <v>1085</v>
      </c>
      <c r="G623" t="s">
        <v>44</v>
      </c>
      <c r="H623" t="s">
        <v>23</v>
      </c>
      <c r="I623" t="s">
        <v>67</v>
      </c>
      <c r="J623">
        <v>1</v>
      </c>
      <c r="K623">
        <v>7400</v>
      </c>
      <c r="L623">
        <v>0</v>
      </c>
      <c r="N623">
        <v>11.4</v>
      </c>
      <c r="Q623" t="s">
        <v>67</v>
      </c>
    </row>
    <row r="624" spans="1:17" x14ac:dyDescent="0.3">
      <c r="A624" t="s">
        <v>1086</v>
      </c>
      <c r="B624" s="2">
        <v>46144</v>
      </c>
      <c r="C624" t="s">
        <v>18</v>
      </c>
      <c r="D624" t="s">
        <v>52</v>
      </c>
      <c r="E624" t="s">
        <v>20</v>
      </c>
      <c r="F624" t="s">
        <v>579</v>
      </c>
      <c r="G624" t="s">
        <v>50</v>
      </c>
      <c r="H624" t="s">
        <v>23</v>
      </c>
      <c r="I624" t="s">
        <v>67</v>
      </c>
      <c r="J624">
        <v>1</v>
      </c>
      <c r="K624">
        <v>102400</v>
      </c>
      <c r="L624">
        <v>0</v>
      </c>
      <c r="N624">
        <v>15.2</v>
      </c>
      <c r="Q624" t="s">
        <v>67</v>
      </c>
    </row>
    <row r="625" spans="1:17" x14ac:dyDescent="0.3">
      <c r="A625" t="s">
        <v>1087</v>
      </c>
      <c r="B625" s="2">
        <v>46087</v>
      </c>
      <c r="C625" t="s">
        <v>18</v>
      </c>
      <c r="D625" t="s">
        <v>47</v>
      </c>
      <c r="E625" t="s">
        <v>20</v>
      </c>
      <c r="F625" t="s">
        <v>1088</v>
      </c>
      <c r="G625" t="s">
        <v>44</v>
      </c>
      <c r="H625" t="s">
        <v>66</v>
      </c>
      <c r="I625" t="s">
        <v>45</v>
      </c>
      <c r="J625">
        <v>1</v>
      </c>
      <c r="K625">
        <v>9400</v>
      </c>
      <c r="L625">
        <v>0</v>
      </c>
      <c r="N625">
        <v>19.5</v>
      </c>
      <c r="Q625" t="s">
        <v>45</v>
      </c>
    </row>
    <row r="626" spans="1:17" x14ac:dyDescent="0.3">
      <c r="A626" t="s">
        <v>1089</v>
      </c>
      <c r="B626" s="2">
        <v>46022</v>
      </c>
      <c r="C626" t="s">
        <v>26</v>
      </c>
      <c r="D626" t="s">
        <v>36</v>
      </c>
      <c r="E626" t="s">
        <v>20</v>
      </c>
      <c r="F626" t="s">
        <v>1090</v>
      </c>
      <c r="G626" t="s">
        <v>50</v>
      </c>
      <c r="J626">
        <v>0</v>
      </c>
      <c r="K626">
        <v>0</v>
      </c>
      <c r="L626">
        <v>0</v>
      </c>
      <c r="M626">
        <v>1</v>
      </c>
      <c r="N626">
        <v>9.3000000000000007</v>
      </c>
      <c r="O626">
        <v>2.8</v>
      </c>
      <c r="P626">
        <v>4.0999999999999996</v>
      </c>
      <c r="Q626" t="s">
        <v>39</v>
      </c>
    </row>
    <row r="627" spans="1:17" x14ac:dyDescent="0.3">
      <c r="A627" t="s">
        <v>1091</v>
      </c>
      <c r="B627" s="2">
        <v>45944</v>
      </c>
      <c r="C627" t="s">
        <v>18</v>
      </c>
      <c r="D627" t="s">
        <v>117</v>
      </c>
      <c r="E627" t="s">
        <v>20</v>
      </c>
      <c r="F627" t="s">
        <v>899</v>
      </c>
      <c r="G627" t="s">
        <v>30</v>
      </c>
      <c r="H627" t="s">
        <v>78</v>
      </c>
      <c r="I627" t="s">
        <v>45</v>
      </c>
      <c r="J627">
        <v>1</v>
      </c>
      <c r="K627">
        <v>17700</v>
      </c>
      <c r="L627">
        <v>0</v>
      </c>
      <c r="N627">
        <v>6.5</v>
      </c>
      <c r="Q627" t="s">
        <v>45</v>
      </c>
    </row>
    <row r="628" spans="1:17" x14ac:dyDescent="0.3">
      <c r="A628" t="s">
        <v>1092</v>
      </c>
      <c r="B628" s="2">
        <v>46100</v>
      </c>
      <c r="C628" t="s">
        <v>18</v>
      </c>
      <c r="D628" t="s">
        <v>52</v>
      </c>
      <c r="E628" t="s">
        <v>48</v>
      </c>
      <c r="F628" t="s">
        <v>529</v>
      </c>
      <c r="G628" t="s">
        <v>22</v>
      </c>
      <c r="H628" t="s">
        <v>78</v>
      </c>
      <c r="I628" t="s">
        <v>24</v>
      </c>
      <c r="J628">
        <v>1</v>
      </c>
      <c r="K628">
        <v>18000</v>
      </c>
      <c r="L628">
        <v>18000</v>
      </c>
      <c r="N628">
        <v>13.2</v>
      </c>
      <c r="Q628" t="s">
        <v>24</v>
      </c>
    </row>
    <row r="629" spans="1:17" x14ac:dyDescent="0.3">
      <c r="A629" t="s">
        <v>1093</v>
      </c>
      <c r="B629" s="2">
        <v>46197</v>
      </c>
      <c r="C629" t="s">
        <v>26</v>
      </c>
      <c r="D629" t="s">
        <v>33</v>
      </c>
      <c r="E629" t="s">
        <v>20</v>
      </c>
      <c r="F629" t="s">
        <v>805</v>
      </c>
      <c r="G629" t="s">
        <v>22</v>
      </c>
      <c r="J629">
        <v>0</v>
      </c>
      <c r="K629">
        <v>0</v>
      </c>
      <c r="L629">
        <v>0</v>
      </c>
      <c r="M629">
        <v>1</v>
      </c>
      <c r="N629">
        <v>8.8000000000000007</v>
      </c>
      <c r="O629">
        <v>9.1</v>
      </c>
      <c r="P629">
        <v>4.8</v>
      </c>
      <c r="Q629" t="s">
        <v>39</v>
      </c>
    </row>
    <row r="630" spans="1:17" x14ac:dyDescent="0.3">
      <c r="A630" t="s">
        <v>1094</v>
      </c>
      <c r="B630" s="2">
        <v>46077</v>
      </c>
      <c r="C630" t="s">
        <v>18</v>
      </c>
      <c r="D630" t="s">
        <v>105</v>
      </c>
      <c r="E630" t="s">
        <v>42</v>
      </c>
      <c r="F630" t="s">
        <v>1095</v>
      </c>
      <c r="G630" t="s">
        <v>44</v>
      </c>
      <c r="H630" t="s">
        <v>78</v>
      </c>
      <c r="I630" t="s">
        <v>45</v>
      </c>
      <c r="J630">
        <v>1</v>
      </c>
      <c r="K630">
        <v>29600</v>
      </c>
      <c r="L630">
        <v>0</v>
      </c>
      <c r="N630">
        <v>2.9</v>
      </c>
      <c r="Q630" t="s">
        <v>45</v>
      </c>
    </row>
    <row r="631" spans="1:17" x14ac:dyDescent="0.3">
      <c r="A631" t="s">
        <v>1096</v>
      </c>
      <c r="B631" s="2">
        <v>46225</v>
      </c>
      <c r="C631" t="s">
        <v>18</v>
      </c>
      <c r="D631" t="s">
        <v>105</v>
      </c>
      <c r="E631" t="s">
        <v>37</v>
      </c>
      <c r="F631" t="s">
        <v>1097</v>
      </c>
      <c r="G631" t="s">
        <v>50</v>
      </c>
      <c r="H631" t="s">
        <v>66</v>
      </c>
      <c r="I631" t="s">
        <v>89</v>
      </c>
      <c r="J631">
        <v>1</v>
      </c>
      <c r="K631">
        <v>31900</v>
      </c>
      <c r="L631">
        <v>0</v>
      </c>
      <c r="N631">
        <v>3.6</v>
      </c>
      <c r="Q631" t="s">
        <v>89</v>
      </c>
    </row>
    <row r="632" spans="1:17" x14ac:dyDescent="0.3">
      <c r="A632" t="s">
        <v>1098</v>
      </c>
      <c r="B632" s="2">
        <v>46265</v>
      </c>
      <c r="C632" t="s">
        <v>26</v>
      </c>
      <c r="D632" t="s">
        <v>114</v>
      </c>
      <c r="E632" t="s">
        <v>42</v>
      </c>
      <c r="F632" t="s">
        <v>1099</v>
      </c>
      <c r="G632" t="s">
        <v>30</v>
      </c>
      <c r="J632">
        <v>0</v>
      </c>
      <c r="K632">
        <v>0</v>
      </c>
      <c r="L632">
        <v>0</v>
      </c>
      <c r="M632">
        <v>1</v>
      </c>
      <c r="N632">
        <v>6.9</v>
      </c>
      <c r="O632">
        <v>2.1</v>
      </c>
      <c r="P632">
        <v>4.7</v>
      </c>
      <c r="Q632" t="s">
        <v>39</v>
      </c>
    </row>
    <row r="633" spans="1:17" x14ac:dyDescent="0.3">
      <c r="A633" t="s">
        <v>1100</v>
      </c>
      <c r="B633" s="2">
        <v>46003</v>
      </c>
      <c r="C633" t="s">
        <v>26</v>
      </c>
      <c r="D633" t="s">
        <v>69</v>
      </c>
      <c r="E633" t="s">
        <v>20</v>
      </c>
      <c r="F633" t="s">
        <v>1059</v>
      </c>
      <c r="G633" t="s">
        <v>22</v>
      </c>
      <c r="J633">
        <v>0</v>
      </c>
      <c r="K633">
        <v>0</v>
      </c>
      <c r="L633">
        <v>0</v>
      </c>
      <c r="M633">
        <v>1</v>
      </c>
      <c r="N633">
        <v>5.7</v>
      </c>
      <c r="O633">
        <v>9</v>
      </c>
      <c r="P633">
        <v>4.8</v>
      </c>
      <c r="Q633" t="s">
        <v>225</v>
      </c>
    </row>
    <row r="634" spans="1:17" x14ac:dyDescent="0.3">
      <c r="A634" t="s">
        <v>1101</v>
      </c>
      <c r="B634" s="2">
        <v>45902</v>
      </c>
      <c r="C634" t="s">
        <v>18</v>
      </c>
      <c r="D634" t="s">
        <v>52</v>
      </c>
      <c r="E634" t="s">
        <v>28</v>
      </c>
      <c r="F634" t="s">
        <v>520</v>
      </c>
      <c r="G634" t="s">
        <v>44</v>
      </c>
      <c r="H634" t="s">
        <v>54</v>
      </c>
      <c r="I634" t="s">
        <v>55</v>
      </c>
      <c r="J634">
        <v>1</v>
      </c>
      <c r="K634">
        <v>174900</v>
      </c>
      <c r="L634">
        <v>0</v>
      </c>
      <c r="N634">
        <v>4.5</v>
      </c>
      <c r="Q634" t="s">
        <v>55</v>
      </c>
    </row>
    <row r="635" spans="1:17" x14ac:dyDescent="0.3">
      <c r="A635" t="s">
        <v>1102</v>
      </c>
      <c r="B635" s="2">
        <v>45904</v>
      </c>
      <c r="C635" t="s">
        <v>18</v>
      </c>
      <c r="D635" t="s">
        <v>19</v>
      </c>
      <c r="E635" t="s">
        <v>28</v>
      </c>
      <c r="F635" t="s">
        <v>1103</v>
      </c>
      <c r="G635" t="s">
        <v>22</v>
      </c>
      <c r="H635" t="s">
        <v>66</v>
      </c>
      <c r="I635" t="s">
        <v>67</v>
      </c>
      <c r="J635">
        <v>1</v>
      </c>
      <c r="K635">
        <v>6900</v>
      </c>
      <c r="L635">
        <v>0</v>
      </c>
      <c r="N635">
        <v>1.7</v>
      </c>
      <c r="Q635" t="s">
        <v>67</v>
      </c>
    </row>
    <row r="636" spans="1:17" x14ac:dyDescent="0.3">
      <c r="A636" t="s">
        <v>1104</v>
      </c>
      <c r="B636" s="2">
        <v>46011</v>
      </c>
      <c r="C636" t="s">
        <v>18</v>
      </c>
      <c r="D636" t="s">
        <v>117</v>
      </c>
      <c r="E636" t="s">
        <v>42</v>
      </c>
      <c r="F636" t="s">
        <v>81</v>
      </c>
      <c r="G636" t="s">
        <v>22</v>
      </c>
      <c r="H636" t="s">
        <v>86</v>
      </c>
      <c r="I636" t="s">
        <v>24</v>
      </c>
      <c r="J636">
        <v>1</v>
      </c>
      <c r="K636">
        <v>6100</v>
      </c>
      <c r="L636">
        <v>6100</v>
      </c>
      <c r="N636">
        <v>18</v>
      </c>
      <c r="Q636" t="s">
        <v>24</v>
      </c>
    </row>
    <row r="637" spans="1:17" x14ac:dyDescent="0.3">
      <c r="A637" t="s">
        <v>1105</v>
      </c>
      <c r="B637" s="2">
        <v>46193</v>
      </c>
      <c r="C637" t="s">
        <v>18</v>
      </c>
      <c r="D637" t="s">
        <v>105</v>
      </c>
      <c r="E637" t="s">
        <v>20</v>
      </c>
      <c r="F637" t="s">
        <v>1063</v>
      </c>
      <c r="G637" t="s">
        <v>22</v>
      </c>
      <c r="H637" t="s">
        <v>86</v>
      </c>
      <c r="I637" t="s">
        <v>55</v>
      </c>
      <c r="J637">
        <v>1</v>
      </c>
      <c r="K637">
        <v>11200</v>
      </c>
      <c r="L637">
        <v>0</v>
      </c>
      <c r="N637">
        <v>4</v>
      </c>
      <c r="Q637" t="s">
        <v>55</v>
      </c>
    </row>
    <row r="638" spans="1:17" x14ac:dyDescent="0.3">
      <c r="A638" t="s">
        <v>1106</v>
      </c>
      <c r="B638" s="2">
        <v>45948</v>
      </c>
      <c r="C638" t="s">
        <v>18</v>
      </c>
      <c r="D638" t="s">
        <v>117</v>
      </c>
      <c r="E638" t="s">
        <v>20</v>
      </c>
      <c r="F638" t="s">
        <v>400</v>
      </c>
      <c r="G638" t="s">
        <v>30</v>
      </c>
      <c r="H638" t="s">
        <v>86</v>
      </c>
      <c r="I638" t="s">
        <v>67</v>
      </c>
      <c r="J638">
        <v>1</v>
      </c>
      <c r="K638">
        <v>8700</v>
      </c>
      <c r="L638">
        <v>0</v>
      </c>
      <c r="N638">
        <v>12.3</v>
      </c>
      <c r="Q638" t="s">
        <v>67</v>
      </c>
    </row>
    <row r="639" spans="1:17" x14ac:dyDescent="0.3">
      <c r="A639" t="s">
        <v>1107</v>
      </c>
      <c r="B639" s="2">
        <v>45948</v>
      </c>
      <c r="C639" t="s">
        <v>18</v>
      </c>
      <c r="D639" t="s">
        <v>47</v>
      </c>
      <c r="E639" t="s">
        <v>20</v>
      </c>
      <c r="F639" t="s">
        <v>1108</v>
      </c>
      <c r="G639" t="s">
        <v>44</v>
      </c>
      <c r="H639" t="s">
        <v>86</v>
      </c>
      <c r="I639" t="s">
        <v>55</v>
      </c>
      <c r="J639">
        <v>1</v>
      </c>
      <c r="K639">
        <v>32600</v>
      </c>
      <c r="L639">
        <v>0</v>
      </c>
      <c r="N639">
        <v>3</v>
      </c>
      <c r="Q639" t="s">
        <v>55</v>
      </c>
    </row>
    <row r="640" spans="1:17" x14ac:dyDescent="0.3">
      <c r="A640" t="s">
        <v>1109</v>
      </c>
      <c r="B640" s="2">
        <v>46181</v>
      </c>
      <c r="C640" t="s">
        <v>18</v>
      </c>
      <c r="D640" t="s">
        <v>52</v>
      </c>
      <c r="E640" t="s">
        <v>37</v>
      </c>
      <c r="F640" t="s">
        <v>358</v>
      </c>
      <c r="G640" t="s">
        <v>44</v>
      </c>
      <c r="H640" t="s">
        <v>86</v>
      </c>
      <c r="I640" t="s">
        <v>45</v>
      </c>
      <c r="J640">
        <v>1</v>
      </c>
      <c r="K640">
        <v>7500</v>
      </c>
      <c r="L640">
        <v>0</v>
      </c>
      <c r="N640">
        <v>9.3000000000000007</v>
      </c>
      <c r="Q640" t="s">
        <v>45</v>
      </c>
    </row>
    <row r="641" spans="1:17" x14ac:dyDescent="0.3">
      <c r="A641" t="s">
        <v>1110</v>
      </c>
      <c r="B641" s="2">
        <v>45949</v>
      </c>
      <c r="C641" t="s">
        <v>18</v>
      </c>
      <c r="D641" t="s">
        <v>64</v>
      </c>
      <c r="E641" t="s">
        <v>20</v>
      </c>
      <c r="F641" t="s">
        <v>85</v>
      </c>
      <c r="G641" t="s">
        <v>30</v>
      </c>
      <c r="H641" t="s">
        <v>86</v>
      </c>
      <c r="I641" t="s">
        <v>45</v>
      </c>
      <c r="J641">
        <v>1</v>
      </c>
      <c r="K641">
        <v>43300</v>
      </c>
      <c r="L641">
        <v>0</v>
      </c>
      <c r="N641">
        <v>4.0999999999999996</v>
      </c>
      <c r="Q641" t="s">
        <v>45</v>
      </c>
    </row>
    <row r="642" spans="1:17" x14ac:dyDescent="0.3">
      <c r="A642" t="s">
        <v>1111</v>
      </c>
      <c r="B642" s="2">
        <v>46070</v>
      </c>
      <c r="C642" t="s">
        <v>18</v>
      </c>
      <c r="D642" t="s">
        <v>105</v>
      </c>
      <c r="E642" t="s">
        <v>48</v>
      </c>
      <c r="F642" t="s">
        <v>1112</v>
      </c>
      <c r="G642" t="s">
        <v>44</v>
      </c>
      <c r="H642" t="s">
        <v>23</v>
      </c>
      <c r="I642" t="s">
        <v>79</v>
      </c>
      <c r="J642">
        <v>1</v>
      </c>
      <c r="K642">
        <v>10900</v>
      </c>
      <c r="L642">
        <v>0</v>
      </c>
      <c r="N642">
        <v>8</v>
      </c>
      <c r="Q642" t="s">
        <v>79</v>
      </c>
    </row>
    <row r="643" spans="1:17" x14ac:dyDescent="0.3">
      <c r="A643" t="s">
        <v>1113</v>
      </c>
      <c r="B643" s="2">
        <v>46101</v>
      </c>
      <c r="C643" t="s">
        <v>18</v>
      </c>
      <c r="D643" t="s">
        <v>41</v>
      </c>
      <c r="E643" t="s">
        <v>20</v>
      </c>
      <c r="F643" t="s">
        <v>946</v>
      </c>
      <c r="G643" t="s">
        <v>22</v>
      </c>
      <c r="H643" t="s">
        <v>78</v>
      </c>
      <c r="I643" t="s">
        <v>24</v>
      </c>
      <c r="J643">
        <v>1</v>
      </c>
      <c r="K643">
        <v>26800</v>
      </c>
      <c r="L643">
        <v>26800</v>
      </c>
      <c r="N643">
        <v>18</v>
      </c>
      <c r="Q643" t="s">
        <v>24</v>
      </c>
    </row>
    <row r="644" spans="1:17" x14ac:dyDescent="0.3">
      <c r="A644" t="s">
        <v>1114</v>
      </c>
      <c r="B644" s="2">
        <v>45961</v>
      </c>
      <c r="C644" t="s">
        <v>18</v>
      </c>
      <c r="D644" t="s">
        <v>95</v>
      </c>
      <c r="E644" t="s">
        <v>37</v>
      </c>
      <c r="F644" t="s">
        <v>1115</v>
      </c>
      <c r="G644" t="s">
        <v>22</v>
      </c>
      <c r="H644" t="s">
        <v>54</v>
      </c>
      <c r="I644" t="s">
        <v>79</v>
      </c>
      <c r="J644">
        <v>1</v>
      </c>
      <c r="K644">
        <v>22500</v>
      </c>
      <c r="L644">
        <v>0</v>
      </c>
      <c r="N644">
        <v>8.8000000000000007</v>
      </c>
      <c r="Q644" t="s">
        <v>79</v>
      </c>
    </row>
    <row r="645" spans="1:17" x14ac:dyDescent="0.3">
      <c r="A645" t="s">
        <v>1116</v>
      </c>
      <c r="B645" s="2">
        <v>45980</v>
      </c>
      <c r="C645" t="s">
        <v>18</v>
      </c>
      <c r="D645" t="s">
        <v>105</v>
      </c>
      <c r="E645" t="s">
        <v>20</v>
      </c>
      <c r="F645" t="s">
        <v>422</v>
      </c>
      <c r="G645" t="s">
        <v>30</v>
      </c>
      <c r="H645" t="s">
        <v>23</v>
      </c>
      <c r="I645" t="s">
        <v>24</v>
      </c>
      <c r="J645">
        <v>1</v>
      </c>
      <c r="K645">
        <v>37200</v>
      </c>
      <c r="L645">
        <v>37200</v>
      </c>
      <c r="N645">
        <v>8.6999999999999993</v>
      </c>
      <c r="Q645" t="s">
        <v>24</v>
      </c>
    </row>
    <row r="646" spans="1:17" x14ac:dyDescent="0.3">
      <c r="A646" t="s">
        <v>1117</v>
      </c>
      <c r="B646" s="2">
        <v>45917</v>
      </c>
      <c r="C646" t="s">
        <v>18</v>
      </c>
      <c r="D646" t="s">
        <v>19</v>
      </c>
      <c r="E646" t="s">
        <v>48</v>
      </c>
      <c r="F646" t="s">
        <v>1118</v>
      </c>
      <c r="G646" t="s">
        <v>44</v>
      </c>
      <c r="H646" t="s">
        <v>54</v>
      </c>
      <c r="I646" t="s">
        <v>67</v>
      </c>
      <c r="J646">
        <v>1</v>
      </c>
      <c r="K646">
        <v>26100</v>
      </c>
      <c r="L646">
        <v>0</v>
      </c>
      <c r="N646">
        <v>4.5999999999999996</v>
      </c>
      <c r="Q646" t="s">
        <v>67</v>
      </c>
    </row>
    <row r="647" spans="1:17" x14ac:dyDescent="0.3">
      <c r="A647" t="s">
        <v>1119</v>
      </c>
      <c r="B647" s="2">
        <v>46054</v>
      </c>
      <c r="C647" t="s">
        <v>26</v>
      </c>
      <c r="D647" t="s">
        <v>72</v>
      </c>
      <c r="E647" t="s">
        <v>20</v>
      </c>
      <c r="F647" t="s">
        <v>463</v>
      </c>
      <c r="G647" t="s">
        <v>44</v>
      </c>
      <c r="J647">
        <v>0</v>
      </c>
      <c r="K647">
        <v>0</v>
      </c>
      <c r="L647">
        <v>0</v>
      </c>
      <c r="M647">
        <v>1</v>
      </c>
      <c r="N647">
        <v>5.5</v>
      </c>
      <c r="O647">
        <v>15.9</v>
      </c>
      <c r="P647">
        <v>3.7</v>
      </c>
      <c r="Q647" t="s">
        <v>39</v>
      </c>
    </row>
    <row r="648" spans="1:17" x14ac:dyDescent="0.3">
      <c r="A648" t="s">
        <v>1120</v>
      </c>
      <c r="B648" s="2">
        <v>46066</v>
      </c>
      <c r="C648" t="s">
        <v>26</v>
      </c>
      <c r="D648" t="s">
        <v>36</v>
      </c>
      <c r="E648" t="s">
        <v>20</v>
      </c>
      <c r="F648" t="s">
        <v>1121</v>
      </c>
      <c r="G648" t="s">
        <v>30</v>
      </c>
      <c r="J648">
        <v>0</v>
      </c>
      <c r="K648">
        <v>0</v>
      </c>
      <c r="L648">
        <v>0</v>
      </c>
      <c r="M648">
        <v>1</v>
      </c>
      <c r="N648">
        <v>1.4</v>
      </c>
      <c r="O648">
        <v>8.4</v>
      </c>
      <c r="P648">
        <v>4.2</v>
      </c>
      <c r="Q648" t="s">
        <v>39</v>
      </c>
    </row>
    <row r="649" spans="1:17" x14ac:dyDescent="0.3">
      <c r="A649" t="s">
        <v>1122</v>
      </c>
      <c r="B649" s="2">
        <v>46026</v>
      </c>
      <c r="C649" t="s">
        <v>26</v>
      </c>
      <c r="D649" t="s">
        <v>72</v>
      </c>
      <c r="E649" t="s">
        <v>48</v>
      </c>
      <c r="F649" t="s">
        <v>1123</v>
      </c>
      <c r="G649" t="s">
        <v>22</v>
      </c>
      <c r="J649">
        <v>0</v>
      </c>
      <c r="K649">
        <v>0</v>
      </c>
      <c r="L649">
        <v>0</v>
      </c>
      <c r="M649">
        <v>1</v>
      </c>
      <c r="N649">
        <v>4.4000000000000004</v>
      </c>
      <c r="O649">
        <v>12.6</v>
      </c>
      <c r="P649">
        <v>5</v>
      </c>
      <c r="Q649" t="s">
        <v>225</v>
      </c>
    </row>
    <row r="650" spans="1:17" x14ac:dyDescent="0.3">
      <c r="A650" t="s">
        <v>1124</v>
      </c>
      <c r="B650" s="2">
        <v>45954</v>
      </c>
      <c r="C650" t="s">
        <v>26</v>
      </c>
      <c r="D650" t="s">
        <v>72</v>
      </c>
      <c r="E650" t="s">
        <v>20</v>
      </c>
      <c r="F650" t="s">
        <v>233</v>
      </c>
      <c r="G650" t="s">
        <v>30</v>
      </c>
      <c r="J650">
        <v>0</v>
      </c>
      <c r="K650">
        <v>0</v>
      </c>
      <c r="L650">
        <v>0</v>
      </c>
      <c r="M650">
        <v>1</v>
      </c>
      <c r="N650">
        <v>7.5</v>
      </c>
      <c r="O650">
        <v>10.7</v>
      </c>
      <c r="P650">
        <v>3.3</v>
      </c>
      <c r="Q650" t="s">
        <v>39</v>
      </c>
    </row>
    <row r="651" spans="1:17" x14ac:dyDescent="0.3">
      <c r="A651" t="s">
        <v>1125</v>
      </c>
      <c r="B651" s="2">
        <v>46154</v>
      </c>
      <c r="C651" t="s">
        <v>18</v>
      </c>
      <c r="D651" t="s">
        <v>19</v>
      </c>
      <c r="E651" t="s">
        <v>20</v>
      </c>
      <c r="F651" t="s">
        <v>77</v>
      </c>
      <c r="G651" t="s">
        <v>30</v>
      </c>
      <c r="H651" t="s">
        <v>54</v>
      </c>
      <c r="I651" t="s">
        <v>24</v>
      </c>
      <c r="J651">
        <v>1</v>
      </c>
      <c r="K651">
        <v>17400</v>
      </c>
      <c r="L651">
        <v>17400</v>
      </c>
      <c r="N651">
        <v>19.600000000000001</v>
      </c>
      <c r="Q651" t="s">
        <v>24</v>
      </c>
    </row>
    <row r="652" spans="1:17" x14ac:dyDescent="0.3">
      <c r="A652" t="s">
        <v>1126</v>
      </c>
      <c r="B652" s="2">
        <v>46237</v>
      </c>
      <c r="C652" t="s">
        <v>18</v>
      </c>
      <c r="D652" t="s">
        <v>64</v>
      </c>
      <c r="E652" t="s">
        <v>28</v>
      </c>
      <c r="F652" t="s">
        <v>1127</v>
      </c>
      <c r="G652" t="s">
        <v>22</v>
      </c>
      <c r="H652" t="s">
        <v>23</v>
      </c>
      <c r="I652" t="s">
        <v>24</v>
      </c>
      <c r="J652">
        <v>1</v>
      </c>
      <c r="K652">
        <v>5300</v>
      </c>
      <c r="L652">
        <v>5300</v>
      </c>
      <c r="N652">
        <v>9</v>
      </c>
      <c r="Q652" t="s">
        <v>24</v>
      </c>
    </row>
    <row r="653" spans="1:17" x14ac:dyDescent="0.3">
      <c r="A653" t="s">
        <v>1128</v>
      </c>
      <c r="B653" s="2">
        <v>45959</v>
      </c>
      <c r="C653" t="s">
        <v>18</v>
      </c>
      <c r="D653" t="s">
        <v>105</v>
      </c>
      <c r="E653" t="s">
        <v>37</v>
      </c>
      <c r="F653" t="s">
        <v>1129</v>
      </c>
      <c r="G653" t="s">
        <v>22</v>
      </c>
      <c r="H653" t="s">
        <v>23</v>
      </c>
      <c r="I653" t="s">
        <v>45</v>
      </c>
      <c r="J653">
        <v>1</v>
      </c>
      <c r="K653">
        <v>65100</v>
      </c>
      <c r="L653">
        <v>0</v>
      </c>
      <c r="N653">
        <v>8.9</v>
      </c>
      <c r="Q653" t="s">
        <v>45</v>
      </c>
    </row>
    <row r="654" spans="1:17" x14ac:dyDescent="0.3">
      <c r="A654" t="s">
        <v>1130</v>
      </c>
      <c r="B654" s="2">
        <v>46157</v>
      </c>
      <c r="C654" t="s">
        <v>26</v>
      </c>
      <c r="D654" t="s">
        <v>27</v>
      </c>
      <c r="E654" t="s">
        <v>28</v>
      </c>
      <c r="F654" t="s">
        <v>81</v>
      </c>
      <c r="G654" t="s">
        <v>30</v>
      </c>
      <c r="J654">
        <v>0</v>
      </c>
      <c r="K654">
        <v>0</v>
      </c>
      <c r="L654">
        <v>0</v>
      </c>
      <c r="M654">
        <v>1</v>
      </c>
      <c r="N654">
        <v>3.7</v>
      </c>
      <c r="O654">
        <v>11.1</v>
      </c>
      <c r="P654">
        <v>3.4</v>
      </c>
      <c r="Q654" t="s">
        <v>225</v>
      </c>
    </row>
    <row r="655" spans="1:17" x14ac:dyDescent="0.3">
      <c r="A655" t="s">
        <v>1131</v>
      </c>
      <c r="B655" s="2">
        <v>45928</v>
      </c>
      <c r="C655" t="s">
        <v>26</v>
      </c>
      <c r="D655" t="s">
        <v>36</v>
      </c>
      <c r="E655" t="s">
        <v>20</v>
      </c>
      <c r="F655" t="s">
        <v>990</v>
      </c>
      <c r="G655" t="s">
        <v>30</v>
      </c>
      <c r="J655">
        <v>0</v>
      </c>
      <c r="K655">
        <v>0</v>
      </c>
      <c r="L655">
        <v>0</v>
      </c>
      <c r="M655">
        <v>1</v>
      </c>
      <c r="N655">
        <v>1.3</v>
      </c>
      <c r="O655">
        <v>3.3</v>
      </c>
      <c r="P655">
        <v>4.9000000000000004</v>
      </c>
      <c r="Q655" t="s">
        <v>225</v>
      </c>
    </row>
    <row r="656" spans="1:17" x14ac:dyDescent="0.3">
      <c r="A656" t="s">
        <v>1132</v>
      </c>
      <c r="B656" s="2">
        <v>46174</v>
      </c>
      <c r="C656" t="s">
        <v>18</v>
      </c>
      <c r="D656" t="s">
        <v>52</v>
      </c>
      <c r="E656" t="s">
        <v>20</v>
      </c>
      <c r="F656" t="s">
        <v>1133</v>
      </c>
      <c r="G656" t="s">
        <v>22</v>
      </c>
      <c r="H656" t="s">
        <v>23</v>
      </c>
      <c r="I656" t="s">
        <v>79</v>
      </c>
      <c r="J656">
        <v>1</v>
      </c>
      <c r="K656">
        <v>13500</v>
      </c>
      <c r="L656">
        <v>0</v>
      </c>
      <c r="N656">
        <v>7.1</v>
      </c>
      <c r="Q656" t="s">
        <v>79</v>
      </c>
    </row>
    <row r="657" spans="1:17" x14ac:dyDescent="0.3">
      <c r="A657" t="s">
        <v>1134</v>
      </c>
      <c r="B657" s="2">
        <v>46089</v>
      </c>
      <c r="C657" t="s">
        <v>18</v>
      </c>
      <c r="D657" t="s">
        <v>41</v>
      </c>
      <c r="E657" t="s">
        <v>42</v>
      </c>
      <c r="F657" t="s">
        <v>1135</v>
      </c>
      <c r="G657" t="s">
        <v>30</v>
      </c>
      <c r="H657" t="s">
        <v>23</v>
      </c>
      <c r="I657" t="s">
        <v>45</v>
      </c>
      <c r="J657">
        <v>1</v>
      </c>
      <c r="K657">
        <v>13100</v>
      </c>
      <c r="L657">
        <v>0</v>
      </c>
      <c r="N657">
        <v>17.100000000000001</v>
      </c>
      <c r="Q657" t="s">
        <v>45</v>
      </c>
    </row>
    <row r="658" spans="1:17" x14ac:dyDescent="0.3">
      <c r="A658" t="s">
        <v>1136</v>
      </c>
      <c r="B658" s="2">
        <v>46241</v>
      </c>
      <c r="C658" t="s">
        <v>18</v>
      </c>
      <c r="D658" t="s">
        <v>117</v>
      </c>
      <c r="E658" t="s">
        <v>28</v>
      </c>
      <c r="F658" t="s">
        <v>522</v>
      </c>
      <c r="G658" t="s">
        <v>22</v>
      </c>
      <c r="H658" t="s">
        <v>86</v>
      </c>
      <c r="I658" t="s">
        <v>79</v>
      </c>
      <c r="J658">
        <v>1</v>
      </c>
      <c r="K658">
        <v>95700</v>
      </c>
      <c r="L658">
        <v>0</v>
      </c>
      <c r="N658">
        <v>12.2</v>
      </c>
      <c r="Q658" t="s">
        <v>79</v>
      </c>
    </row>
    <row r="659" spans="1:17" x14ac:dyDescent="0.3">
      <c r="A659" t="s">
        <v>1137</v>
      </c>
      <c r="B659" s="2">
        <v>45929</v>
      </c>
      <c r="C659" t="s">
        <v>18</v>
      </c>
      <c r="D659" t="s">
        <v>41</v>
      </c>
      <c r="E659" t="s">
        <v>42</v>
      </c>
      <c r="F659" t="s">
        <v>148</v>
      </c>
      <c r="G659" t="s">
        <v>22</v>
      </c>
      <c r="H659" t="s">
        <v>66</v>
      </c>
      <c r="I659" t="s">
        <v>79</v>
      </c>
      <c r="J659">
        <v>1</v>
      </c>
      <c r="K659">
        <v>15600</v>
      </c>
      <c r="L659">
        <v>0</v>
      </c>
      <c r="N659">
        <v>20.399999999999999</v>
      </c>
      <c r="Q659" t="s">
        <v>79</v>
      </c>
    </row>
    <row r="660" spans="1:17" x14ac:dyDescent="0.3">
      <c r="A660" t="s">
        <v>1138</v>
      </c>
      <c r="B660" s="2">
        <v>46042</v>
      </c>
      <c r="C660" t="s">
        <v>26</v>
      </c>
      <c r="D660" t="s">
        <v>126</v>
      </c>
      <c r="E660" t="s">
        <v>42</v>
      </c>
      <c r="F660" t="s">
        <v>237</v>
      </c>
      <c r="G660" t="s">
        <v>44</v>
      </c>
      <c r="J660">
        <v>0</v>
      </c>
      <c r="K660">
        <v>0</v>
      </c>
      <c r="L660">
        <v>0</v>
      </c>
      <c r="M660">
        <v>1</v>
      </c>
      <c r="N660">
        <v>7.8</v>
      </c>
      <c r="O660">
        <v>14.9</v>
      </c>
      <c r="P660">
        <v>2.9</v>
      </c>
      <c r="Q660" t="s">
        <v>31</v>
      </c>
    </row>
    <row r="661" spans="1:17" x14ac:dyDescent="0.3">
      <c r="A661" t="s">
        <v>1139</v>
      </c>
      <c r="B661" s="2">
        <v>46098</v>
      </c>
      <c r="C661" t="s">
        <v>26</v>
      </c>
      <c r="D661" t="s">
        <v>114</v>
      </c>
      <c r="E661" t="s">
        <v>20</v>
      </c>
      <c r="F661" t="s">
        <v>838</v>
      </c>
      <c r="G661" t="s">
        <v>30</v>
      </c>
      <c r="J661">
        <v>0</v>
      </c>
      <c r="K661">
        <v>0</v>
      </c>
      <c r="L661">
        <v>0</v>
      </c>
      <c r="M661">
        <v>1</v>
      </c>
      <c r="N661">
        <v>8.4</v>
      </c>
      <c r="O661">
        <v>7.5</v>
      </c>
      <c r="P661">
        <v>3.9</v>
      </c>
      <c r="Q661" t="s">
        <v>39</v>
      </c>
    </row>
    <row r="662" spans="1:17" x14ac:dyDescent="0.3">
      <c r="A662" t="s">
        <v>1140</v>
      </c>
      <c r="B662" s="2">
        <v>45952</v>
      </c>
      <c r="C662" t="s">
        <v>18</v>
      </c>
      <c r="D662" t="s">
        <v>64</v>
      </c>
      <c r="E662" t="s">
        <v>20</v>
      </c>
      <c r="F662" t="s">
        <v>1141</v>
      </c>
      <c r="G662" t="s">
        <v>30</v>
      </c>
      <c r="H662" t="s">
        <v>78</v>
      </c>
      <c r="I662" t="s">
        <v>24</v>
      </c>
      <c r="J662">
        <v>1</v>
      </c>
      <c r="K662">
        <v>32200</v>
      </c>
      <c r="L662">
        <v>32200</v>
      </c>
      <c r="N662">
        <v>14.6</v>
      </c>
      <c r="Q662" t="s">
        <v>24</v>
      </c>
    </row>
    <row r="663" spans="1:17" x14ac:dyDescent="0.3">
      <c r="A663" t="s">
        <v>1142</v>
      </c>
      <c r="B663" s="2">
        <v>46227</v>
      </c>
      <c r="C663" t="s">
        <v>26</v>
      </c>
      <c r="D663" t="s">
        <v>36</v>
      </c>
      <c r="E663" t="s">
        <v>20</v>
      </c>
      <c r="F663" t="s">
        <v>1143</v>
      </c>
      <c r="G663" t="s">
        <v>22</v>
      </c>
      <c r="J663">
        <v>0</v>
      </c>
      <c r="K663">
        <v>0</v>
      </c>
      <c r="L663">
        <v>0</v>
      </c>
      <c r="M663">
        <v>1</v>
      </c>
      <c r="N663">
        <v>6.9</v>
      </c>
      <c r="O663">
        <v>11.2</v>
      </c>
      <c r="P663">
        <v>4</v>
      </c>
      <c r="Q663" t="s">
        <v>62</v>
      </c>
    </row>
    <row r="664" spans="1:17" x14ac:dyDescent="0.3">
      <c r="A664" t="s">
        <v>1144</v>
      </c>
      <c r="B664" s="2">
        <v>46021</v>
      </c>
      <c r="C664" t="s">
        <v>26</v>
      </c>
      <c r="D664" t="s">
        <v>232</v>
      </c>
      <c r="E664" t="s">
        <v>20</v>
      </c>
      <c r="F664" t="s">
        <v>619</v>
      </c>
      <c r="G664" t="s">
        <v>50</v>
      </c>
      <c r="J664">
        <v>0</v>
      </c>
      <c r="K664">
        <v>0</v>
      </c>
      <c r="L664">
        <v>0</v>
      </c>
      <c r="M664">
        <v>1</v>
      </c>
      <c r="N664">
        <v>5</v>
      </c>
      <c r="O664">
        <v>14.1</v>
      </c>
      <c r="P664">
        <v>3.3</v>
      </c>
      <c r="Q664" t="s">
        <v>31</v>
      </c>
    </row>
    <row r="665" spans="1:17" x14ac:dyDescent="0.3">
      <c r="A665" t="s">
        <v>1145</v>
      </c>
      <c r="B665" s="2">
        <v>46176</v>
      </c>
      <c r="C665" t="s">
        <v>18</v>
      </c>
      <c r="D665" t="s">
        <v>105</v>
      </c>
      <c r="E665" t="s">
        <v>20</v>
      </c>
      <c r="F665" t="s">
        <v>1146</v>
      </c>
      <c r="G665" t="s">
        <v>44</v>
      </c>
      <c r="H665" t="s">
        <v>66</v>
      </c>
      <c r="I665" t="s">
        <v>45</v>
      </c>
      <c r="J665">
        <v>1</v>
      </c>
      <c r="K665">
        <v>6600</v>
      </c>
      <c r="L665">
        <v>0</v>
      </c>
      <c r="N665">
        <v>8.4</v>
      </c>
      <c r="Q665" t="s">
        <v>45</v>
      </c>
    </row>
    <row r="666" spans="1:17" x14ac:dyDescent="0.3">
      <c r="A666" t="s">
        <v>1147</v>
      </c>
      <c r="B666" s="2">
        <v>45942</v>
      </c>
      <c r="C666" t="s">
        <v>18</v>
      </c>
      <c r="D666" t="s">
        <v>95</v>
      </c>
      <c r="E666" t="s">
        <v>20</v>
      </c>
      <c r="F666" t="s">
        <v>676</v>
      </c>
      <c r="G666" t="s">
        <v>30</v>
      </c>
      <c r="H666" t="s">
        <v>78</v>
      </c>
      <c r="I666" t="s">
        <v>67</v>
      </c>
      <c r="J666">
        <v>1</v>
      </c>
      <c r="K666">
        <v>11700</v>
      </c>
      <c r="L666">
        <v>0</v>
      </c>
      <c r="N666">
        <v>14.9</v>
      </c>
      <c r="Q666" t="s">
        <v>67</v>
      </c>
    </row>
    <row r="667" spans="1:17" x14ac:dyDescent="0.3">
      <c r="A667" t="s">
        <v>1148</v>
      </c>
      <c r="B667" s="2">
        <v>46142</v>
      </c>
      <c r="C667" t="s">
        <v>18</v>
      </c>
      <c r="D667" t="s">
        <v>52</v>
      </c>
      <c r="E667" t="s">
        <v>48</v>
      </c>
      <c r="F667" t="s">
        <v>1061</v>
      </c>
      <c r="G667" t="s">
        <v>22</v>
      </c>
      <c r="H667" t="s">
        <v>23</v>
      </c>
      <c r="I667" t="s">
        <v>55</v>
      </c>
      <c r="J667">
        <v>1</v>
      </c>
      <c r="K667">
        <v>59400</v>
      </c>
      <c r="L667">
        <v>0</v>
      </c>
      <c r="N667">
        <v>5.8</v>
      </c>
      <c r="Q667" t="s">
        <v>55</v>
      </c>
    </row>
    <row r="668" spans="1:17" x14ac:dyDescent="0.3">
      <c r="A668" t="s">
        <v>1149</v>
      </c>
      <c r="B668" s="2">
        <v>46103</v>
      </c>
      <c r="C668" t="s">
        <v>18</v>
      </c>
      <c r="D668" t="s">
        <v>47</v>
      </c>
      <c r="E668" t="s">
        <v>20</v>
      </c>
      <c r="F668" t="s">
        <v>1150</v>
      </c>
      <c r="G668" t="s">
        <v>22</v>
      </c>
      <c r="H668" t="s">
        <v>23</v>
      </c>
      <c r="I668" t="s">
        <v>24</v>
      </c>
      <c r="J668">
        <v>1</v>
      </c>
      <c r="K668">
        <v>14800</v>
      </c>
      <c r="L668">
        <v>14800</v>
      </c>
      <c r="N668">
        <v>21.1</v>
      </c>
      <c r="Q668" t="s">
        <v>24</v>
      </c>
    </row>
    <row r="669" spans="1:17" x14ac:dyDescent="0.3">
      <c r="A669" t="s">
        <v>1151</v>
      </c>
      <c r="B669" s="2">
        <v>46175</v>
      </c>
      <c r="C669" t="s">
        <v>18</v>
      </c>
      <c r="D669" t="s">
        <v>41</v>
      </c>
      <c r="E669" t="s">
        <v>48</v>
      </c>
      <c r="F669" t="s">
        <v>358</v>
      </c>
      <c r="G669" t="s">
        <v>22</v>
      </c>
      <c r="H669" t="s">
        <v>23</v>
      </c>
      <c r="I669" t="s">
        <v>24</v>
      </c>
      <c r="J669">
        <v>1</v>
      </c>
      <c r="K669">
        <v>41400</v>
      </c>
      <c r="L669">
        <v>41400</v>
      </c>
      <c r="N669">
        <v>6.4</v>
      </c>
      <c r="Q669" t="s">
        <v>24</v>
      </c>
    </row>
    <row r="670" spans="1:17" x14ac:dyDescent="0.3">
      <c r="A670" t="s">
        <v>1152</v>
      </c>
      <c r="B670" s="2">
        <v>46250</v>
      </c>
      <c r="C670" t="s">
        <v>18</v>
      </c>
      <c r="D670" t="s">
        <v>64</v>
      </c>
      <c r="E670" t="s">
        <v>48</v>
      </c>
      <c r="F670" t="s">
        <v>158</v>
      </c>
      <c r="G670" t="s">
        <v>30</v>
      </c>
      <c r="H670" t="s">
        <v>54</v>
      </c>
      <c r="I670" t="s">
        <v>24</v>
      </c>
      <c r="J670">
        <v>1</v>
      </c>
      <c r="K670">
        <v>6300</v>
      </c>
      <c r="L670">
        <v>6300</v>
      </c>
      <c r="N670">
        <v>16.399999999999999</v>
      </c>
      <c r="Q670" t="s">
        <v>24</v>
      </c>
    </row>
    <row r="671" spans="1:17" x14ac:dyDescent="0.3">
      <c r="A671" t="s">
        <v>1153</v>
      </c>
      <c r="B671" s="2">
        <v>46073</v>
      </c>
      <c r="C671" t="s">
        <v>18</v>
      </c>
      <c r="D671" t="s">
        <v>52</v>
      </c>
      <c r="E671" t="s">
        <v>20</v>
      </c>
      <c r="F671" t="s">
        <v>1063</v>
      </c>
      <c r="G671" t="s">
        <v>22</v>
      </c>
      <c r="H671" t="s">
        <v>86</v>
      </c>
      <c r="I671" t="s">
        <v>24</v>
      </c>
      <c r="J671">
        <v>1</v>
      </c>
      <c r="K671">
        <v>25800</v>
      </c>
      <c r="L671">
        <v>25800</v>
      </c>
      <c r="N671">
        <v>8.6999999999999993</v>
      </c>
      <c r="Q671" t="s">
        <v>24</v>
      </c>
    </row>
    <row r="672" spans="1:17" x14ac:dyDescent="0.3">
      <c r="A672" t="s">
        <v>1154</v>
      </c>
      <c r="B672" s="2">
        <v>45931</v>
      </c>
      <c r="C672" t="s">
        <v>18</v>
      </c>
      <c r="D672" t="s">
        <v>64</v>
      </c>
      <c r="E672" t="s">
        <v>48</v>
      </c>
      <c r="F672" t="s">
        <v>430</v>
      </c>
      <c r="G672" t="s">
        <v>22</v>
      </c>
      <c r="H672" t="s">
        <v>66</v>
      </c>
      <c r="I672" t="s">
        <v>24</v>
      </c>
      <c r="J672">
        <v>1</v>
      </c>
      <c r="K672">
        <v>20300</v>
      </c>
      <c r="L672">
        <v>20300</v>
      </c>
      <c r="N672">
        <v>13.2</v>
      </c>
      <c r="Q672" t="s">
        <v>24</v>
      </c>
    </row>
    <row r="673" spans="1:17" x14ac:dyDescent="0.3">
      <c r="A673" t="s">
        <v>1155</v>
      </c>
      <c r="B673" s="2">
        <v>46170</v>
      </c>
      <c r="C673" t="s">
        <v>26</v>
      </c>
      <c r="D673" t="s">
        <v>33</v>
      </c>
      <c r="E673" t="s">
        <v>37</v>
      </c>
      <c r="F673" t="s">
        <v>616</v>
      </c>
      <c r="G673" t="s">
        <v>30</v>
      </c>
      <c r="J673">
        <v>0</v>
      </c>
      <c r="K673">
        <v>0</v>
      </c>
      <c r="L673">
        <v>0</v>
      </c>
      <c r="M673">
        <v>1</v>
      </c>
      <c r="N673">
        <v>2.8</v>
      </c>
      <c r="O673">
        <v>7.3</v>
      </c>
      <c r="P673">
        <v>3.8</v>
      </c>
      <c r="Q673" t="s">
        <v>62</v>
      </c>
    </row>
    <row r="674" spans="1:17" x14ac:dyDescent="0.3">
      <c r="A674" t="s">
        <v>1156</v>
      </c>
      <c r="B674" s="2">
        <v>45997</v>
      </c>
      <c r="C674" t="s">
        <v>18</v>
      </c>
      <c r="D674" t="s">
        <v>19</v>
      </c>
      <c r="E674" t="s">
        <v>37</v>
      </c>
      <c r="F674" t="s">
        <v>699</v>
      </c>
      <c r="G674" t="s">
        <v>22</v>
      </c>
      <c r="H674" t="s">
        <v>23</v>
      </c>
      <c r="I674" t="s">
        <v>67</v>
      </c>
      <c r="J674">
        <v>1</v>
      </c>
      <c r="K674">
        <v>39000</v>
      </c>
      <c r="L674">
        <v>0</v>
      </c>
      <c r="N674">
        <v>16.399999999999999</v>
      </c>
      <c r="Q674" t="s">
        <v>67</v>
      </c>
    </row>
    <row r="675" spans="1:17" x14ac:dyDescent="0.3">
      <c r="A675" t="s">
        <v>1157</v>
      </c>
      <c r="B675" s="2">
        <v>45908</v>
      </c>
      <c r="C675" t="s">
        <v>18</v>
      </c>
      <c r="D675" t="s">
        <v>64</v>
      </c>
      <c r="E675" t="s">
        <v>20</v>
      </c>
      <c r="F675" t="s">
        <v>1158</v>
      </c>
      <c r="G675" t="s">
        <v>30</v>
      </c>
      <c r="H675" t="s">
        <v>54</v>
      </c>
      <c r="I675" t="s">
        <v>79</v>
      </c>
      <c r="J675">
        <v>1</v>
      </c>
      <c r="K675">
        <v>15400</v>
      </c>
      <c r="L675">
        <v>0</v>
      </c>
      <c r="N675">
        <v>5.9</v>
      </c>
      <c r="Q675" t="s">
        <v>79</v>
      </c>
    </row>
    <row r="676" spans="1:17" x14ac:dyDescent="0.3">
      <c r="A676" t="s">
        <v>1159</v>
      </c>
      <c r="B676" s="2">
        <v>46225</v>
      </c>
      <c r="C676" t="s">
        <v>18</v>
      </c>
      <c r="D676" t="s">
        <v>52</v>
      </c>
      <c r="E676" t="s">
        <v>20</v>
      </c>
      <c r="F676" t="s">
        <v>402</v>
      </c>
      <c r="G676" t="s">
        <v>50</v>
      </c>
      <c r="H676" t="s">
        <v>54</v>
      </c>
      <c r="I676" t="s">
        <v>45</v>
      </c>
      <c r="J676">
        <v>1</v>
      </c>
      <c r="K676">
        <v>53100</v>
      </c>
      <c r="L676">
        <v>0</v>
      </c>
      <c r="N676">
        <v>16.3</v>
      </c>
      <c r="Q676" t="s">
        <v>45</v>
      </c>
    </row>
    <row r="677" spans="1:17" x14ac:dyDescent="0.3">
      <c r="A677" t="s">
        <v>1160</v>
      </c>
      <c r="B677" s="2">
        <v>46172</v>
      </c>
      <c r="C677" t="s">
        <v>26</v>
      </c>
      <c r="D677" t="s">
        <v>126</v>
      </c>
      <c r="E677" t="s">
        <v>28</v>
      </c>
      <c r="F677" t="s">
        <v>485</v>
      </c>
      <c r="G677" t="s">
        <v>44</v>
      </c>
      <c r="J677">
        <v>0</v>
      </c>
      <c r="K677">
        <v>0</v>
      </c>
      <c r="L677">
        <v>0</v>
      </c>
      <c r="M677">
        <v>1</v>
      </c>
      <c r="N677">
        <v>7.3</v>
      </c>
      <c r="O677">
        <v>5.9</v>
      </c>
      <c r="P677">
        <v>4.5999999999999996</v>
      </c>
      <c r="Q677" t="s">
        <v>31</v>
      </c>
    </row>
    <row r="678" spans="1:17" x14ac:dyDescent="0.3">
      <c r="A678" t="s">
        <v>1161</v>
      </c>
      <c r="B678" s="2">
        <v>46050</v>
      </c>
      <c r="C678" t="s">
        <v>18</v>
      </c>
      <c r="D678" t="s">
        <v>47</v>
      </c>
      <c r="E678" t="s">
        <v>20</v>
      </c>
      <c r="F678" t="s">
        <v>1162</v>
      </c>
      <c r="G678" t="s">
        <v>50</v>
      </c>
      <c r="H678" t="s">
        <v>23</v>
      </c>
      <c r="I678" t="s">
        <v>79</v>
      </c>
      <c r="J678">
        <v>1</v>
      </c>
      <c r="K678">
        <v>33900</v>
      </c>
      <c r="L678">
        <v>0</v>
      </c>
      <c r="N678">
        <v>2.7</v>
      </c>
      <c r="Q678" t="s">
        <v>79</v>
      </c>
    </row>
    <row r="679" spans="1:17" x14ac:dyDescent="0.3">
      <c r="A679" t="s">
        <v>1163</v>
      </c>
      <c r="B679" s="2">
        <v>46159</v>
      </c>
      <c r="C679" t="s">
        <v>18</v>
      </c>
      <c r="D679" t="s">
        <v>19</v>
      </c>
      <c r="E679" t="s">
        <v>37</v>
      </c>
      <c r="F679" t="s">
        <v>310</v>
      </c>
      <c r="G679" t="s">
        <v>50</v>
      </c>
      <c r="H679" t="s">
        <v>54</v>
      </c>
      <c r="I679" t="s">
        <v>45</v>
      </c>
      <c r="J679">
        <v>1</v>
      </c>
      <c r="K679">
        <v>10300</v>
      </c>
      <c r="L679">
        <v>0</v>
      </c>
      <c r="N679">
        <v>21.7</v>
      </c>
      <c r="Q679" t="s">
        <v>45</v>
      </c>
    </row>
    <row r="680" spans="1:17" x14ac:dyDescent="0.3">
      <c r="A680" t="s">
        <v>1164</v>
      </c>
      <c r="B680" s="2">
        <v>45939</v>
      </c>
      <c r="C680" t="s">
        <v>26</v>
      </c>
      <c r="D680" t="s">
        <v>114</v>
      </c>
      <c r="E680" t="s">
        <v>48</v>
      </c>
      <c r="F680" t="s">
        <v>212</v>
      </c>
      <c r="G680" t="s">
        <v>30</v>
      </c>
      <c r="J680">
        <v>0</v>
      </c>
      <c r="K680">
        <v>0</v>
      </c>
      <c r="L680">
        <v>0</v>
      </c>
      <c r="M680">
        <v>1</v>
      </c>
      <c r="N680">
        <v>10.6</v>
      </c>
      <c r="O680">
        <v>3.7</v>
      </c>
      <c r="P680">
        <v>4.2</v>
      </c>
      <c r="Q680" t="s">
        <v>31</v>
      </c>
    </row>
    <row r="681" spans="1:17" x14ac:dyDescent="0.3">
      <c r="A681" t="s">
        <v>1165</v>
      </c>
      <c r="B681" s="2">
        <v>46233</v>
      </c>
      <c r="C681" t="s">
        <v>26</v>
      </c>
      <c r="D681" t="s">
        <v>72</v>
      </c>
      <c r="E681" t="s">
        <v>20</v>
      </c>
      <c r="F681" t="s">
        <v>1166</v>
      </c>
      <c r="G681" t="s">
        <v>22</v>
      </c>
      <c r="J681">
        <v>0</v>
      </c>
      <c r="K681">
        <v>0</v>
      </c>
      <c r="L681">
        <v>0</v>
      </c>
      <c r="M681">
        <v>1</v>
      </c>
      <c r="N681">
        <v>2.1</v>
      </c>
      <c r="O681">
        <v>26.5</v>
      </c>
      <c r="P681">
        <v>4.2</v>
      </c>
      <c r="Q681" t="s">
        <v>39</v>
      </c>
    </row>
    <row r="682" spans="1:17" x14ac:dyDescent="0.3">
      <c r="A682" t="s">
        <v>1167</v>
      </c>
      <c r="B682" s="2">
        <v>46101</v>
      </c>
      <c r="C682" t="s">
        <v>26</v>
      </c>
      <c r="D682" t="s">
        <v>33</v>
      </c>
      <c r="E682" t="s">
        <v>37</v>
      </c>
      <c r="F682" t="s">
        <v>546</v>
      </c>
      <c r="G682" t="s">
        <v>22</v>
      </c>
      <c r="J682">
        <v>0</v>
      </c>
      <c r="K682">
        <v>0</v>
      </c>
      <c r="L682">
        <v>0</v>
      </c>
      <c r="M682">
        <v>1</v>
      </c>
      <c r="N682">
        <v>10.7</v>
      </c>
      <c r="O682">
        <v>8.9</v>
      </c>
      <c r="P682">
        <v>5</v>
      </c>
      <c r="Q682" t="s">
        <v>31</v>
      </c>
    </row>
    <row r="683" spans="1:17" x14ac:dyDescent="0.3">
      <c r="A683" t="s">
        <v>1168</v>
      </c>
      <c r="B683" s="2">
        <v>46168</v>
      </c>
      <c r="C683" t="s">
        <v>18</v>
      </c>
      <c r="D683" t="s">
        <v>117</v>
      </c>
      <c r="E683" t="s">
        <v>37</v>
      </c>
      <c r="F683" t="s">
        <v>1169</v>
      </c>
      <c r="G683" t="s">
        <v>44</v>
      </c>
      <c r="H683" t="s">
        <v>23</v>
      </c>
      <c r="I683" t="s">
        <v>24</v>
      </c>
      <c r="J683">
        <v>1</v>
      </c>
      <c r="K683">
        <v>15300</v>
      </c>
      <c r="L683">
        <v>15300</v>
      </c>
      <c r="N683">
        <v>7.9</v>
      </c>
      <c r="Q683" t="s">
        <v>24</v>
      </c>
    </row>
    <row r="684" spans="1:17" x14ac:dyDescent="0.3">
      <c r="A684" t="s">
        <v>1170</v>
      </c>
      <c r="B684" s="2">
        <v>46162</v>
      </c>
      <c r="C684" t="s">
        <v>18</v>
      </c>
      <c r="D684" t="s">
        <v>117</v>
      </c>
      <c r="E684" t="s">
        <v>20</v>
      </c>
      <c r="F684" t="s">
        <v>1000</v>
      </c>
      <c r="G684" t="s">
        <v>50</v>
      </c>
      <c r="H684" t="s">
        <v>54</v>
      </c>
      <c r="I684" t="s">
        <v>45</v>
      </c>
      <c r="J684">
        <v>1</v>
      </c>
      <c r="K684">
        <v>41100</v>
      </c>
      <c r="L684">
        <v>0</v>
      </c>
      <c r="N684">
        <v>18.600000000000001</v>
      </c>
      <c r="Q684" t="s">
        <v>45</v>
      </c>
    </row>
    <row r="685" spans="1:17" x14ac:dyDescent="0.3">
      <c r="A685" t="s">
        <v>1171</v>
      </c>
      <c r="B685" s="2">
        <v>45947</v>
      </c>
      <c r="C685" t="s">
        <v>26</v>
      </c>
      <c r="D685" t="s">
        <v>232</v>
      </c>
      <c r="E685" t="s">
        <v>28</v>
      </c>
      <c r="F685" t="s">
        <v>554</v>
      </c>
      <c r="G685" t="s">
        <v>30</v>
      </c>
      <c r="J685">
        <v>0</v>
      </c>
      <c r="K685">
        <v>0</v>
      </c>
      <c r="L685">
        <v>0</v>
      </c>
      <c r="M685">
        <v>1</v>
      </c>
      <c r="N685">
        <v>7</v>
      </c>
      <c r="O685">
        <v>11.8</v>
      </c>
      <c r="P685">
        <v>4.0999999999999996</v>
      </c>
      <c r="Q685" t="s">
        <v>62</v>
      </c>
    </row>
    <row r="686" spans="1:17" x14ac:dyDescent="0.3">
      <c r="A686" t="s">
        <v>1172</v>
      </c>
      <c r="B686" s="2">
        <v>46132</v>
      </c>
      <c r="C686" t="s">
        <v>26</v>
      </c>
      <c r="D686" t="s">
        <v>72</v>
      </c>
      <c r="E686" t="s">
        <v>37</v>
      </c>
      <c r="F686" t="s">
        <v>558</v>
      </c>
      <c r="G686" t="s">
        <v>22</v>
      </c>
      <c r="J686">
        <v>0</v>
      </c>
      <c r="K686">
        <v>0</v>
      </c>
      <c r="L686">
        <v>0</v>
      </c>
      <c r="M686">
        <v>1</v>
      </c>
      <c r="N686">
        <v>2.1</v>
      </c>
      <c r="O686">
        <v>12.5</v>
      </c>
      <c r="P686">
        <v>5</v>
      </c>
      <c r="Q686" t="s">
        <v>62</v>
      </c>
    </row>
    <row r="687" spans="1:17" x14ac:dyDescent="0.3">
      <c r="A687" t="s">
        <v>1173</v>
      </c>
      <c r="B687" s="2">
        <v>46120</v>
      </c>
      <c r="C687" t="s">
        <v>26</v>
      </c>
      <c r="D687" t="s">
        <v>69</v>
      </c>
      <c r="E687" t="s">
        <v>28</v>
      </c>
      <c r="F687" t="s">
        <v>1174</v>
      </c>
      <c r="G687" t="s">
        <v>30</v>
      </c>
      <c r="J687">
        <v>0</v>
      </c>
      <c r="K687">
        <v>0</v>
      </c>
      <c r="L687">
        <v>0</v>
      </c>
      <c r="M687">
        <v>1</v>
      </c>
      <c r="N687">
        <v>11.2</v>
      </c>
      <c r="O687">
        <v>22.9</v>
      </c>
      <c r="P687">
        <v>3.5</v>
      </c>
      <c r="Q687" t="s">
        <v>225</v>
      </c>
    </row>
    <row r="688" spans="1:17" x14ac:dyDescent="0.3">
      <c r="A688" t="s">
        <v>1175</v>
      </c>
      <c r="B688" s="2">
        <v>46064</v>
      </c>
      <c r="C688" t="s">
        <v>26</v>
      </c>
      <c r="D688" t="s">
        <v>114</v>
      </c>
      <c r="E688" t="s">
        <v>20</v>
      </c>
      <c r="F688" t="s">
        <v>1045</v>
      </c>
      <c r="G688" t="s">
        <v>22</v>
      </c>
      <c r="J688">
        <v>0</v>
      </c>
      <c r="K688">
        <v>0</v>
      </c>
      <c r="L688">
        <v>0</v>
      </c>
      <c r="M688">
        <v>1</v>
      </c>
      <c r="N688">
        <v>0.5</v>
      </c>
      <c r="O688">
        <v>10.6</v>
      </c>
      <c r="P688">
        <v>5</v>
      </c>
      <c r="Q688" t="s">
        <v>31</v>
      </c>
    </row>
    <row r="689" spans="1:17" x14ac:dyDescent="0.3">
      <c r="A689" t="s">
        <v>1176</v>
      </c>
      <c r="B689" s="2">
        <v>46239</v>
      </c>
      <c r="C689" t="s">
        <v>18</v>
      </c>
      <c r="D689" t="s">
        <v>64</v>
      </c>
      <c r="E689" t="s">
        <v>48</v>
      </c>
      <c r="F689" t="s">
        <v>241</v>
      </c>
      <c r="G689" t="s">
        <v>22</v>
      </c>
      <c r="H689" t="s">
        <v>23</v>
      </c>
      <c r="I689" t="s">
        <v>45</v>
      </c>
      <c r="J689">
        <v>1</v>
      </c>
      <c r="K689">
        <v>6200</v>
      </c>
      <c r="L689">
        <v>0</v>
      </c>
      <c r="N689">
        <v>14.2</v>
      </c>
      <c r="Q689" t="s">
        <v>45</v>
      </c>
    </row>
    <row r="690" spans="1:17" x14ac:dyDescent="0.3">
      <c r="A690" t="s">
        <v>1177</v>
      </c>
      <c r="B690" s="2">
        <v>46251</v>
      </c>
      <c r="C690" t="s">
        <v>26</v>
      </c>
      <c r="D690" t="s">
        <v>126</v>
      </c>
      <c r="E690" t="s">
        <v>42</v>
      </c>
      <c r="F690" t="s">
        <v>1178</v>
      </c>
      <c r="G690" t="s">
        <v>50</v>
      </c>
      <c r="J690">
        <v>0</v>
      </c>
      <c r="K690">
        <v>0</v>
      </c>
      <c r="L690">
        <v>0</v>
      </c>
      <c r="M690">
        <v>1</v>
      </c>
      <c r="N690">
        <v>5.2</v>
      </c>
      <c r="O690">
        <v>7.6</v>
      </c>
      <c r="P690">
        <v>3.7</v>
      </c>
      <c r="Q690" t="s">
        <v>31</v>
      </c>
    </row>
    <row r="691" spans="1:17" x14ac:dyDescent="0.3">
      <c r="A691" t="s">
        <v>1179</v>
      </c>
      <c r="B691" s="2">
        <v>46196</v>
      </c>
      <c r="C691" t="s">
        <v>18</v>
      </c>
      <c r="D691" t="s">
        <v>47</v>
      </c>
      <c r="E691" t="s">
        <v>20</v>
      </c>
      <c r="F691" t="s">
        <v>1180</v>
      </c>
      <c r="G691" t="s">
        <v>30</v>
      </c>
      <c r="H691" t="s">
        <v>23</v>
      </c>
      <c r="I691" t="s">
        <v>24</v>
      </c>
      <c r="J691">
        <v>1</v>
      </c>
      <c r="K691">
        <v>27600</v>
      </c>
      <c r="L691">
        <v>27600</v>
      </c>
      <c r="N691">
        <v>11.4</v>
      </c>
      <c r="Q691" t="s">
        <v>24</v>
      </c>
    </row>
    <row r="692" spans="1:17" x14ac:dyDescent="0.3">
      <c r="A692" t="s">
        <v>1181</v>
      </c>
      <c r="B692" s="2">
        <v>46088</v>
      </c>
      <c r="C692" t="s">
        <v>18</v>
      </c>
      <c r="D692" t="s">
        <v>41</v>
      </c>
      <c r="E692" t="s">
        <v>48</v>
      </c>
      <c r="F692" t="s">
        <v>1182</v>
      </c>
      <c r="G692" t="s">
        <v>22</v>
      </c>
      <c r="H692" t="s">
        <v>86</v>
      </c>
      <c r="I692" t="s">
        <v>24</v>
      </c>
      <c r="J692">
        <v>1</v>
      </c>
      <c r="K692">
        <v>14200</v>
      </c>
      <c r="L692">
        <v>14200</v>
      </c>
      <c r="N692">
        <v>14.7</v>
      </c>
      <c r="Q692" t="s">
        <v>24</v>
      </c>
    </row>
    <row r="693" spans="1:17" x14ac:dyDescent="0.3">
      <c r="A693" t="s">
        <v>1183</v>
      </c>
      <c r="B693" s="2">
        <v>45956</v>
      </c>
      <c r="C693" t="s">
        <v>18</v>
      </c>
      <c r="D693" t="s">
        <v>64</v>
      </c>
      <c r="E693" t="s">
        <v>37</v>
      </c>
      <c r="F693" t="s">
        <v>1184</v>
      </c>
      <c r="G693" t="s">
        <v>30</v>
      </c>
      <c r="H693" t="s">
        <v>78</v>
      </c>
      <c r="I693" t="s">
        <v>89</v>
      </c>
      <c r="J693">
        <v>1</v>
      </c>
      <c r="K693">
        <v>26200</v>
      </c>
      <c r="L693">
        <v>0</v>
      </c>
      <c r="N693">
        <v>17.899999999999999</v>
      </c>
      <c r="Q693" t="s">
        <v>89</v>
      </c>
    </row>
    <row r="694" spans="1:17" x14ac:dyDescent="0.3">
      <c r="A694" t="s">
        <v>1185</v>
      </c>
      <c r="B694" s="2">
        <v>45966</v>
      </c>
      <c r="C694" t="s">
        <v>18</v>
      </c>
      <c r="D694" t="s">
        <v>41</v>
      </c>
      <c r="E694" t="s">
        <v>42</v>
      </c>
      <c r="F694" t="s">
        <v>1186</v>
      </c>
      <c r="G694" t="s">
        <v>44</v>
      </c>
      <c r="H694" t="s">
        <v>78</v>
      </c>
      <c r="I694" t="s">
        <v>79</v>
      </c>
      <c r="J694">
        <v>1</v>
      </c>
      <c r="K694">
        <v>167900</v>
      </c>
      <c r="L694">
        <v>0</v>
      </c>
      <c r="N694">
        <v>16.2</v>
      </c>
      <c r="Q694" t="s">
        <v>79</v>
      </c>
    </row>
    <row r="695" spans="1:17" x14ac:dyDescent="0.3">
      <c r="A695" t="s">
        <v>1187</v>
      </c>
      <c r="B695" s="2">
        <v>46245</v>
      </c>
      <c r="C695" t="s">
        <v>18</v>
      </c>
      <c r="D695" t="s">
        <v>52</v>
      </c>
      <c r="E695" t="s">
        <v>28</v>
      </c>
      <c r="F695" t="s">
        <v>449</v>
      </c>
      <c r="G695" t="s">
        <v>30</v>
      </c>
      <c r="H695" t="s">
        <v>23</v>
      </c>
      <c r="I695" t="s">
        <v>55</v>
      </c>
      <c r="J695">
        <v>1</v>
      </c>
      <c r="K695">
        <v>40400</v>
      </c>
      <c r="L695">
        <v>0</v>
      </c>
      <c r="N695">
        <v>9.6999999999999993</v>
      </c>
      <c r="Q695" t="s">
        <v>55</v>
      </c>
    </row>
    <row r="696" spans="1:17" x14ac:dyDescent="0.3">
      <c r="A696" t="s">
        <v>1188</v>
      </c>
      <c r="B696" s="2">
        <v>46088</v>
      </c>
      <c r="C696" t="s">
        <v>18</v>
      </c>
      <c r="D696" t="s">
        <v>52</v>
      </c>
      <c r="E696" t="s">
        <v>28</v>
      </c>
      <c r="F696" t="s">
        <v>756</v>
      </c>
      <c r="G696" t="s">
        <v>30</v>
      </c>
      <c r="H696" t="s">
        <v>23</v>
      </c>
      <c r="I696" t="s">
        <v>55</v>
      </c>
      <c r="J696">
        <v>1</v>
      </c>
      <c r="K696">
        <v>22600</v>
      </c>
      <c r="L696">
        <v>0</v>
      </c>
      <c r="N696">
        <v>17.2</v>
      </c>
      <c r="Q696" t="s">
        <v>55</v>
      </c>
    </row>
    <row r="697" spans="1:17" x14ac:dyDescent="0.3">
      <c r="A697" t="s">
        <v>1189</v>
      </c>
      <c r="B697" s="2">
        <v>46221</v>
      </c>
      <c r="C697" t="s">
        <v>26</v>
      </c>
      <c r="D697" t="s">
        <v>232</v>
      </c>
      <c r="E697" t="s">
        <v>20</v>
      </c>
      <c r="F697" t="s">
        <v>53</v>
      </c>
      <c r="G697" t="s">
        <v>22</v>
      </c>
      <c r="J697">
        <v>0</v>
      </c>
      <c r="K697">
        <v>0</v>
      </c>
      <c r="L697">
        <v>0</v>
      </c>
      <c r="M697">
        <v>1</v>
      </c>
      <c r="N697">
        <v>9</v>
      </c>
      <c r="O697">
        <v>17.7</v>
      </c>
      <c r="P697">
        <v>5</v>
      </c>
      <c r="Q697" t="s">
        <v>39</v>
      </c>
    </row>
    <row r="698" spans="1:17" x14ac:dyDescent="0.3">
      <c r="A698" t="s">
        <v>1190</v>
      </c>
      <c r="B698" s="2">
        <v>46038</v>
      </c>
      <c r="C698" t="s">
        <v>18</v>
      </c>
      <c r="D698" t="s">
        <v>41</v>
      </c>
      <c r="E698" t="s">
        <v>20</v>
      </c>
      <c r="F698" t="s">
        <v>981</v>
      </c>
      <c r="G698" t="s">
        <v>22</v>
      </c>
      <c r="H698" t="s">
        <v>54</v>
      </c>
      <c r="I698" t="s">
        <v>89</v>
      </c>
      <c r="J698">
        <v>1</v>
      </c>
      <c r="K698">
        <v>37300</v>
      </c>
      <c r="L698">
        <v>0</v>
      </c>
      <c r="N698">
        <v>9.9</v>
      </c>
      <c r="Q698" t="s">
        <v>89</v>
      </c>
    </row>
    <row r="699" spans="1:17" x14ac:dyDescent="0.3">
      <c r="A699" t="s">
        <v>1191</v>
      </c>
      <c r="B699" s="2">
        <v>46202</v>
      </c>
      <c r="C699" t="s">
        <v>26</v>
      </c>
      <c r="D699" t="s">
        <v>36</v>
      </c>
      <c r="E699" t="s">
        <v>42</v>
      </c>
      <c r="F699" t="s">
        <v>934</v>
      </c>
      <c r="G699" t="s">
        <v>30</v>
      </c>
      <c r="J699">
        <v>0</v>
      </c>
      <c r="K699">
        <v>0</v>
      </c>
      <c r="L699">
        <v>0</v>
      </c>
      <c r="M699">
        <v>1</v>
      </c>
      <c r="N699">
        <v>6.6</v>
      </c>
      <c r="O699">
        <v>2.9</v>
      </c>
      <c r="P699">
        <v>3.8</v>
      </c>
      <c r="Q699" t="s">
        <v>225</v>
      </c>
    </row>
    <row r="700" spans="1:17" x14ac:dyDescent="0.3">
      <c r="A700" t="s">
        <v>1192</v>
      </c>
      <c r="B700" s="2">
        <v>46208</v>
      </c>
      <c r="C700" t="s">
        <v>18</v>
      </c>
      <c r="D700" t="s">
        <v>19</v>
      </c>
      <c r="E700" t="s">
        <v>20</v>
      </c>
      <c r="F700" t="s">
        <v>449</v>
      </c>
      <c r="G700" t="s">
        <v>22</v>
      </c>
      <c r="H700" t="s">
        <v>23</v>
      </c>
      <c r="I700" t="s">
        <v>89</v>
      </c>
      <c r="J700">
        <v>1</v>
      </c>
      <c r="K700">
        <v>37900</v>
      </c>
      <c r="L700">
        <v>0</v>
      </c>
      <c r="N700">
        <v>6.5</v>
      </c>
      <c r="Q700" t="s">
        <v>89</v>
      </c>
    </row>
    <row r="701" spans="1:17" x14ac:dyDescent="0.3">
      <c r="A701" t="s">
        <v>1193</v>
      </c>
      <c r="B701" s="2">
        <v>46255</v>
      </c>
      <c r="C701" t="s">
        <v>18</v>
      </c>
      <c r="D701" t="s">
        <v>41</v>
      </c>
      <c r="E701" t="s">
        <v>20</v>
      </c>
      <c r="F701" t="s">
        <v>1012</v>
      </c>
      <c r="G701" t="s">
        <v>30</v>
      </c>
      <c r="H701" t="s">
        <v>78</v>
      </c>
      <c r="I701" t="s">
        <v>67</v>
      </c>
      <c r="J701">
        <v>1</v>
      </c>
      <c r="K701">
        <v>30800</v>
      </c>
      <c r="L701">
        <v>0</v>
      </c>
      <c r="N701">
        <v>15.2</v>
      </c>
      <c r="Q701" t="s">
        <v>67</v>
      </c>
    </row>
    <row r="702" spans="1:17" x14ac:dyDescent="0.3">
      <c r="A702" t="s">
        <v>1194</v>
      </c>
      <c r="B702" s="2">
        <v>46135</v>
      </c>
      <c r="C702" t="s">
        <v>18</v>
      </c>
      <c r="D702" t="s">
        <v>41</v>
      </c>
      <c r="E702" t="s">
        <v>48</v>
      </c>
      <c r="F702" t="s">
        <v>320</v>
      </c>
      <c r="G702" t="s">
        <v>44</v>
      </c>
      <c r="H702" t="s">
        <v>78</v>
      </c>
      <c r="I702" t="s">
        <v>67</v>
      </c>
      <c r="J702">
        <v>1</v>
      </c>
      <c r="K702">
        <v>18100</v>
      </c>
      <c r="L702">
        <v>0</v>
      </c>
      <c r="N702">
        <v>9.6999999999999993</v>
      </c>
      <c r="Q702" t="s">
        <v>67</v>
      </c>
    </row>
    <row r="703" spans="1:17" x14ac:dyDescent="0.3">
      <c r="A703" t="s">
        <v>1195</v>
      </c>
      <c r="B703" s="2">
        <v>46060</v>
      </c>
      <c r="C703" t="s">
        <v>18</v>
      </c>
      <c r="D703" t="s">
        <v>19</v>
      </c>
      <c r="E703" t="s">
        <v>20</v>
      </c>
      <c r="F703" t="s">
        <v>893</v>
      </c>
      <c r="G703" t="s">
        <v>44</v>
      </c>
      <c r="H703" t="s">
        <v>78</v>
      </c>
      <c r="I703" t="s">
        <v>89</v>
      </c>
      <c r="J703">
        <v>1</v>
      </c>
      <c r="K703">
        <v>8300</v>
      </c>
      <c r="L703">
        <v>0</v>
      </c>
      <c r="N703">
        <v>21.8</v>
      </c>
      <c r="Q703" t="s">
        <v>89</v>
      </c>
    </row>
    <row r="704" spans="1:17" x14ac:dyDescent="0.3">
      <c r="A704" t="s">
        <v>1196</v>
      </c>
      <c r="B704" s="2">
        <v>46220</v>
      </c>
      <c r="C704" t="s">
        <v>18</v>
      </c>
      <c r="D704" t="s">
        <v>19</v>
      </c>
      <c r="E704" t="s">
        <v>20</v>
      </c>
      <c r="F704" t="s">
        <v>661</v>
      </c>
      <c r="G704" t="s">
        <v>44</v>
      </c>
      <c r="H704" t="s">
        <v>23</v>
      </c>
      <c r="I704" t="s">
        <v>55</v>
      </c>
      <c r="J704">
        <v>1</v>
      </c>
      <c r="K704">
        <v>43100</v>
      </c>
      <c r="L704">
        <v>0</v>
      </c>
      <c r="N704">
        <v>5.9</v>
      </c>
      <c r="Q704" t="s">
        <v>55</v>
      </c>
    </row>
    <row r="705" spans="1:17" x14ac:dyDescent="0.3">
      <c r="A705" t="s">
        <v>1197</v>
      </c>
      <c r="B705" s="2">
        <v>46044</v>
      </c>
      <c r="C705" t="s">
        <v>18</v>
      </c>
      <c r="D705" t="s">
        <v>41</v>
      </c>
      <c r="E705" t="s">
        <v>20</v>
      </c>
      <c r="F705" t="s">
        <v>966</v>
      </c>
      <c r="G705" t="s">
        <v>44</v>
      </c>
      <c r="H705" t="s">
        <v>78</v>
      </c>
      <c r="I705" t="s">
        <v>24</v>
      </c>
      <c r="J705">
        <v>1</v>
      </c>
      <c r="K705">
        <v>31400</v>
      </c>
      <c r="L705">
        <v>31400</v>
      </c>
      <c r="N705">
        <v>7.5</v>
      </c>
      <c r="Q705" t="s">
        <v>24</v>
      </c>
    </row>
    <row r="706" spans="1:17" x14ac:dyDescent="0.3">
      <c r="A706" t="s">
        <v>1198</v>
      </c>
      <c r="B706" s="2">
        <v>46135</v>
      </c>
      <c r="C706" t="s">
        <v>18</v>
      </c>
      <c r="D706" t="s">
        <v>47</v>
      </c>
      <c r="E706" t="s">
        <v>20</v>
      </c>
      <c r="F706" t="s">
        <v>1199</v>
      </c>
      <c r="G706" t="s">
        <v>44</v>
      </c>
      <c r="H706" t="s">
        <v>78</v>
      </c>
      <c r="I706" t="s">
        <v>79</v>
      </c>
      <c r="J706">
        <v>1</v>
      </c>
      <c r="K706">
        <v>6500</v>
      </c>
      <c r="L706">
        <v>0</v>
      </c>
      <c r="N706">
        <v>0.8</v>
      </c>
      <c r="Q706" t="s">
        <v>79</v>
      </c>
    </row>
    <row r="707" spans="1:17" x14ac:dyDescent="0.3">
      <c r="A707" t="s">
        <v>1200</v>
      </c>
      <c r="B707" s="2">
        <v>46084</v>
      </c>
      <c r="C707" t="s">
        <v>26</v>
      </c>
      <c r="D707" t="s">
        <v>27</v>
      </c>
      <c r="E707" t="s">
        <v>48</v>
      </c>
      <c r="F707" t="s">
        <v>1201</v>
      </c>
      <c r="G707" t="s">
        <v>50</v>
      </c>
      <c r="J707">
        <v>0</v>
      </c>
      <c r="K707">
        <v>0</v>
      </c>
      <c r="L707">
        <v>0</v>
      </c>
      <c r="M707">
        <v>1</v>
      </c>
      <c r="N707">
        <v>2.4</v>
      </c>
      <c r="O707">
        <v>3.2</v>
      </c>
      <c r="P707">
        <v>3.6</v>
      </c>
      <c r="Q707" t="s">
        <v>39</v>
      </c>
    </row>
    <row r="708" spans="1:17" x14ac:dyDescent="0.3">
      <c r="A708" t="s">
        <v>1202</v>
      </c>
      <c r="B708" s="2">
        <v>46164</v>
      </c>
      <c r="C708" t="s">
        <v>18</v>
      </c>
      <c r="D708" t="s">
        <v>41</v>
      </c>
      <c r="E708" t="s">
        <v>28</v>
      </c>
      <c r="F708" t="s">
        <v>222</v>
      </c>
      <c r="G708" t="s">
        <v>30</v>
      </c>
      <c r="H708" t="s">
        <v>78</v>
      </c>
      <c r="I708" t="s">
        <v>79</v>
      </c>
      <c r="J708">
        <v>1</v>
      </c>
      <c r="K708">
        <v>7900</v>
      </c>
      <c r="L708">
        <v>0</v>
      </c>
      <c r="N708">
        <v>0.9</v>
      </c>
      <c r="Q708" t="s">
        <v>79</v>
      </c>
    </row>
    <row r="709" spans="1:17" x14ac:dyDescent="0.3">
      <c r="A709" t="s">
        <v>1203</v>
      </c>
      <c r="B709" s="2">
        <v>45904</v>
      </c>
      <c r="C709" t="s">
        <v>26</v>
      </c>
      <c r="D709" t="s">
        <v>232</v>
      </c>
      <c r="E709" t="s">
        <v>20</v>
      </c>
      <c r="F709" t="s">
        <v>297</v>
      </c>
      <c r="G709" t="s">
        <v>30</v>
      </c>
      <c r="J709">
        <v>0</v>
      </c>
      <c r="K709">
        <v>0</v>
      </c>
      <c r="L709">
        <v>0</v>
      </c>
      <c r="M709">
        <v>1</v>
      </c>
      <c r="N709">
        <v>6.6</v>
      </c>
      <c r="O709">
        <v>10.6</v>
      </c>
      <c r="P709">
        <v>3.7</v>
      </c>
      <c r="Q709" t="s">
        <v>39</v>
      </c>
    </row>
    <row r="710" spans="1:17" x14ac:dyDescent="0.3">
      <c r="A710" t="s">
        <v>1204</v>
      </c>
      <c r="B710" s="2">
        <v>46001</v>
      </c>
      <c r="C710" t="s">
        <v>18</v>
      </c>
      <c r="D710" t="s">
        <v>41</v>
      </c>
      <c r="E710" t="s">
        <v>20</v>
      </c>
      <c r="F710" t="s">
        <v>1205</v>
      </c>
      <c r="G710" t="s">
        <v>22</v>
      </c>
      <c r="H710" t="s">
        <v>23</v>
      </c>
      <c r="I710" t="s">
        <v>24</v>
      </c>
      <c r="J710">
        <v>1</v>
      </c>
      <c r="K710">
        <v>45300</v>
      </c>
      <c r="L710">
        <v>45300</v>
      </c>
      <c r="N710">
        <v>23.6</v>
      </c>
      <c r="Q710" t="s">
        <v>24</v>
      </c>
    </row>
    <row r="711" spans="1:17" x14ac:dyDescent="0.3">
      <c r="A711" t="s">
        <v>1206</v>
      </c>
      <c r="B711" s="2">
        <v>45921</v>
      </c>
      <c r="C711" t="s">
        <v>26</v>
      </c>
      <c r="D711" t="s">
        <v>69</v>
      </c>
      <c r="E711" t="s">
        <v>28</v>
      </c>
      <c r="F711" t="s">
        <v>744</v>
      </c>
      <c r="G711" t="s">
        <v>44</v>
      </c>
      <c r="J711">
        <v>0</v>
      </c>
      <c r="K711">
        <v>0</v>
      </c>
      <c r="L711">
        <v>0</v>
      </c>
      <c r="M711">
        <v>1</v>
      </c>
      <c r="N711">
        <v>9.1</v>
      </c>
      <c r="O711">
        <v>5</v>
      </c>
      <c r="P711">
        <v>4.0999999999999996</v>
      </c>
      <c r="Q711" t="s">
        <v>39</v>
      </c>
    </row>
    <row r="712" spans="1:17" x14ac:dyDescent="0.3">
      <c r="A712" t="s">
        <v>1207</v>
      </c>
      <c r="B712" s="2">
        <v>46236</v>
      </c>
      <c r="C712" t="s">
        <v>26</v>
      </c>
      <c r="D712" t="s">
        <v>72</v>
      </c>
      <c r="E712" t="s">
        <v>28</v>
      </c>
      <c r="F712" t="s">
        <v>164</v>
      </c>
      <c r="G712" t="s">
        <v>44</v>
      </c>
      <c r="J712">
        <v>0</v>
      </c>
      <c r="K712">
        <v>0</v>
      </c>
      <c r="L712">
        <v>0</v>
      </c>
      <c r="M712">
        <v>1</v>
      </c>
      <c r="N712">
        <v>8.1</v>
      </c>
      <c r="O712">
        <v>5.4</v>
      </c>
      <c r="P712">
        <v>4.0999999999999996</v>
      </c>
      <c r="Q712" t="s">
        <v>225</v>
      </c>
    </row>
    <row r="713" spans="1:17" x14ac:dyDescent="0.3">
      <c r="A713" t="s">
        <v>1208</v>
      </c>
      <c r="B713" s="2">
        <v>45949</v>
      </c>
      <c r="C713" t="s">
        <v>26</v>
      </c>
      <c r="D713" t="s">
        <v>232</v>
      </c>
      <c r="E713" t="s">
        <v>20</v>
      </c>
      <c r="F713" t="s">
        <v>346</v>
      </c>
      <c r="G713" t="s">
        <v>22</v>
      </c>
      <c r="J713">
        <v>0</v>
      </c>
      <c r="K713">
        <v>0</v>
      </c>
      <c r="L713">
        <v>0</v>
      </c>
      <c r="M713">
        <v>1</v>
      </c>
      <c r="N713">
        <v>1.5</v>
      </c>
      <c r="O713">
        <v>23.3</v>
      </c>
      <c r="P713">
        <v>5</v>
      </c>
      <c r="Q713" t="s">
        <v>225</v>
      </c>
    </row>
    <row r="714" spans="1:17" x14ac:dyDescent="0.3">
      <c r="A714" t="s">
        <v>1209</v>
      </c>
      <c r="B714" s="2">
        <v>45951</v>
      </c>
      <c r="C714" t="s">
        <v>18</v>
      </c>
      <c r="D714" t="s">
        <v>41</v>
      </c>
      <c r="E714" t="s">
        <v>20</v>
      </c>
      <c r="F714" t="s">
        <v>1210</v>
      </c>
      <c r="G714" t="s">
        <v>30</v>
      </c>
      <c r="H714" t="s">
        <v>23</v>
      </c>
      <c r="I714" t="s">
        <v>55</v>
      </c>
      <c r="J714">
        <v>1</v>
      </c>
      <c r="K714">
        <v>9900</v>
      </c>
      <c r="L714">
        <v>0</v>
      </c>
      <c r="N714">
        <v>2.7</v>
      </c>
      <c r="Q714" t="s">
        <v>55</v>
      </c>
    </row>
    <row r="715" spans="1:17" x14ac:dyDescent="0.3">
      <c r="A715" t="s">
        <v>1211</v>
      </c>
      <c r="B715" s="2">
        <v>46256</v>
      </c>
      <c r="C715" t="s">
        <v>18</v>
      </c>
      <c r="D715" t="s">
        <v>95</v>
      </c>
      <c r="E715" t="s">
        <v>28</v>
      </c>
      <c r="F715" t="s">
        <v>603</v>
      </c>
      <c r="G715" t="s">
        <v>22</v>
      </c>
      <c r="H715" t="s">
        <v>78</v>
      </c>
      <c r="I715" t="s">
        <v>55</v>
      </c>
      <c r="J715">
        <v>1</v>
      </c>
      <c r="K715">
        <v>159300</v>
      </c>
      <c r="L715">
        <v>0</v>
      </c>
      <c r="N715">
        <v>8.9</v>
      </c>
      <c r="Q715" t="s">
        <v>55</v>
      </c>
    </row>
    <row r="716" spans="1:17" x14ac:dyDescent="0.3">
      <c r="A716" t="s">
        <v>1212</v>
      </c>
      <c r="B716" s="2">
        <v>46180</v>
      </c>
      <c r="C716" t="s">
        <v>18</v>
      </c>
      <c r="D716" t="s">
        <v>19</v>
      </c>
      <c r="E716" t="s">
        <v>20</v>
      </c>
      <c r="F716" t="s">
        <v>140</v>
      </c>
      <c r="G716" t="s">
        <v>22</v>
      </c>
      <c r="H716" t="s">
        <v>66</v>
      </c>
      <c r="I716" t="s">
        <v>45</v>
      </c>
      <c r="J716">
        <v>1</v>
      </c>
      <c r="K716">
        <v>27600</v>
      </c>
      <c r="L716">
        <v>0</v>
      </c>
      <c r="N716">
        <v>3.8</v>
      </c>
      <c r="Q716" t="s">
        <v>45</v>
      </c>
    </row>
    <row r="717" spans="1:17" x14ac:dyDescent="0.3">
      <c r="A717" t="s">
        <v>1213</v>
      </c>
      <c r="B717" s="2">
        <v>46058</v>
      </c>
      <c r="C717" t="s">
        <v>26</v>
      </c>
      <c r="D717" t="s">
        <v>69</v>
      </c>
      <c r="E717" t="s">
        <v>42</v>
      </c>
      <c r="F717" t="s">
        <v>326</v>
      </c>
      <c r="G717" t="s">
        <v>22</v>
      </c>
      <c r="J717">
        <v>0</v>
      </c>
      <c r="K717">
        <v>0</v>
      </c>
      <c r="L717">
        <v>0</v>
      </c>
      <c r="M717">
        <v>1</v>
      </c>
      <c r="N717">
        <v>11.4</v>
      </c>
      <c r="O717">
        <v>4.9000000000000004</v>
      </c>
      <c r="P717">
        <v>4.2</v>
      </c>
      <c r="Q717" t="s">
        <v>39</v>
      </c>
    </row>
    <row r="718" spans="1:17" x14ac:dyDescent="0.3">
      <c r="A718" t="s">
        <v>1214</v>
      </c>
      <c r="B718" s="2">
        <v>46031</v>
      </c>
      <c r="C718" t="s">
        <v>26</v>
      </c>
      <c r="D718" t="s">
        <v>232</v>
      </c>
      <c r="E718" t="s">
        <v>28</v>
      </c>
      <c r="F718" t="s">
        <v>1000</v>
      </c>
      <c r="G718" t="s">
        <v>50</v>
      </c>
      <c r="J718">
        <v>0</v>
      </c>
      <c r="K718">
        <v>0</v>
      </c>
      <c r="L718">
        <v>0</v>
      </c>
      <c r="M718">
        <v>1</v>
      </c>
      <c r="N718">
        <v>12</v>
      </c>
      <c r="O718">
        <v>4.5</v>
      </c>
      <c r="P718">
        <v>4.7</v>
      </c>
      <c r="Q718" t="s">
        <v>62</v>
      </c>
    </row>
    <row r="719" spans="1:17" x14ac:dyDescent="0.3">
      <c r="A719" t="s">
        <v>1215</v>
      </c>
      <c r="B719" s="2">
        <v>45924</v>
      </c>
      <c r="C719" t="s">
        <v>26</v>
      </c>
      <c r="D719" t="s">
        <v>36</v>
      </c>
      <c r="E719" t="s">
        <v>20</v>
      </c>
      <c r="F719" t="s">
        <v>1063</v>
      </c>
      <c r="G719" t="s">
        <v>22</v>
      </c>
      <c r="J719">
        <v>0</v>
      </c>
      <c r="K719">
        <v>0</v>
      </c>
      <c r="L719">
        <v>0</v>
      </c>
      <c r="M719">
        <v>1</v>
      </c>
      <c r="N719">
        <v>0.4</v>
      </c>
      <c r="O719">
        <v>21</v>
      </c>
      <c r="P719">
        <v>4.8</v>
      </c>
      <c r="Q719" t="s">
        <v>31</v>
      </c>
    </row>
    <row r="720" spans="1:17" x14ac:dyDescent="0.3">
      <c r="A720" t="s">
        <v>1216</v>
      </c>
      <c r="B720" s="2">
        <v>46193</v>
      </c>
      <c r="C720" t="s">
        <v>18</v>
      </c>
      <c r="D720" t="s">
        <v>117</v>
      </c>
      <c r="E720" t="s">
        <v>42</v>
      </c>
      <c r="F720" t="s">
        <v>1217</v>
      </c>
      <c r="G720" t="s">
        <v>50</v>
      </c>
      <c r="H720" t="s">
        <v>23</v>
      </c>
      <c r="I720" t="s">
        <v>67</v>
      </c>
      <c r="J720">
        <v>1</v>
      </c>
      <c r="K720">
        <v>40500</v>
      </c>
      <c r="L720">
        <v>0</v>
      </c>
      <c r="N720">
        <v>17.2</v>
      </c>
      <c r="Q720" t="s">
        <v>67</v>
      </c>
    </row>
    <row r="721" spans="1:17" x14ac:dyDescent="0.3">
      <c r="A721" t="s">
        <v>1218</v>
      </c>
      <c r="B721" s="2">
        <v>46027</v>
      </c>
      <c r="C721" t="s">
        <v>26</v>
      </c>
      <c r="D721" t="s">
        <v>69</v>
      </c>
      <c r="E721" t="s">
        <v>48</v>
      </c>
      <c r="F721" t="s">
        <v>250</v>
      </c>
      <c r="G721" t="s">
        <v>22</v>
      </c>
      <c r="J721">
        <v>0</v>
      </c>
      <c r="K721">
        <v>0</v>
      </c>
      <c r="L721">
        <v>0</v>
      </c>
      <c r="M721">
        <v>1</v>
      </c>
      <c r="N721">
        <v>5.3</v>
      </c>
      <c r="O721">
        <v>11.4</v>
      </c>
      <c r="P721">
        <v>4.8</v>
      </c>
      <c r="Q721" t="s">
        <v>39</v>
      </c>
    </row>
    <row r="722" spans="1:17" x14ac:dyDescent="0.3">
      <c r="A722" t="s">
        <v>1219</v>
      </c>
      <c r="B722" s="2">
        <v>46164</v>
      </c>
      <c r="C722" t="s">
        <v>26</v>
      </c>
      <c r="D722" t="s">
        <v>126</v>
      </c>
      <c r="E722" t="s">
        <v>28</v>
      </c>
      <c r="F722" t="s">
        <v>208</v>
      </c>
      <c r="G722" t="s">
        <v>22</v>
      </c>
      <c r="J722">
        <v>0</v>
      </c>
      <c r="K722">
        <v>0</v>
      </c>
      <c r="L722">
        <v>0</v>
      </c>
      <c r="M722">
        <v>1</v>
      </c>
      <c r="N722">
        <v>3.4</v>
      </c>
      <c r="O722">
        <v>4.5999999999999996</v>
      </c>
      <c r="P722">
        <v>4.5999999999999996</v>
      </c>
      <c r="Q722" t="s">
        <v>39</v>
      </c>
    </row>
    <row r="723" spans="1:17" x14ac:dyDescent="0.3">
      <c r="A723" t="s">
        <v>1220</v>
      </c>
      <c r="B723" s="2">
        <v>46236</v>
      </c>
      <c r="C723" t="s">
        <v>18</v>
      </c>
      <c r="D723" t="s">
        <v>52</v>
      </c>
      <c r="E723" t="s">
        <v>20</v>
      </c>
      <c r="F723" t="s">
        <v>809</v>
      </c>
      <c r="G723" t="s">
        <v>44</v>
      </c>
      <c r="H723" t="s">
        <v>23</v>
      </c>
      <c r="I723" t="s">
        <v>24</v>
      </c>
      <c r="J723">
        <v>1</v>
      </c>
      <c r="K723">
        <v>17000</v>
      </c>
      <c r="L723">
        <v>17000</v>
      </c>
      <c r="N723">
        <v>2.8</v>
      </c>
      <c r="Q723" t="s">
        <v>24</v>
      </c>
    </row>
    <row r="724" spans="1:17" x14ac:dyDescent="0.3">
      <c r="A724" t="s">
        <v>1221</v>
      </c>
      <c r="B724" s="2">
        <v>46054</v>
      </c>
      <c r="C724" t="s">
        <v>18</v>
      </c>
      <c r="D724" t="s">
        <v>47</v>
      </c>
      <c r="E724" t="s">
        <v>20</v>
      </c>
      <c r="F724" t="s">
        <v>262</v>
      </c>
      <c r="G724" t="s">
        <v>44</v>
      </c>
      <c r="H724" t="s">
        <v>23</v>
      </c>
      <c r="I724" t="s">
        <v>55</v>
      </c>
      <c r="J724">
        <v>1</v>
      </c>
      <c r="K724">
        <v>16200</v>
      </c>
      <c r="L724">
        <v>0</v>
      </c>
      <c r="N724">
        <v>16.3</v>
      </c>
      <c r="Q724" t="s">
        <v>55</v>
      </c>
    </row>
    <row r="725" spans="1:17" x14ac:dyDescent="0.3">
      <c r="A725" t="s">
        <v>1222</v>
      </c>
      <c r="B725" s="2">
        <v>46141</v>
      </c>
      <c r="C725" t="s">
        <v>26</v>
      </c>
      <c r="D725" t="s">
        <v>27</v>
      </c>
      <c r="E725" t="s">
        <v>37</v>
      </c>
      <c r="F725" t="s">
        <v>1223</v>
      </c>
      <c r="G725" t="s">
        <v>44</v>
      </c>
      <c r="J725">
        <v>0</v>
      </c>
      <c r="K725">
        <v>0</v>
      </c>
      <c r="L725">
        <v>0</v>
      </c>
      <c r="M725">
        <v>1</v>
      </c>
      <c r="N725">
        <v>9.3000000000000007</v>
      </c>
      <c r="O725">
        <v>33.5</v>
      </c>
      <c r="P725">
        <v>4.2</v>
      </c>
      <c r="Q725" t="s">
        <v>39</v>
      </c>
    </row>
    <row r="726" spans="1:17" x14ac:dyDescent="0.3">
      <c r="A726" t="s">
        <v>1224</v>
      </c>
      <c r="B726" s="2">
        <v>45921</v>
      </c>
      <c r="C726" t="s">
        <v>26</v>
      </c>
      <c r="D726" t="s">
        <v>33</v>
      </c>
      <c r="E726" t="s">
        <v>20</v>
      </c>
      <c r="F726" t="s">
        <v>676</v>
      </c>
      <c r="G726" t="s">
        <v>44</v>
      </c>
      <c r="J726">
        <v>0</v>
      </c>
      <c r="K726">
        <v>0</v>
      </c>
      <c r="L726">
        <v>0</v>
      </c>
      <c r="M726">
        <v>1</v>
      </c>
      <c r="N726">
        <v>5</v>
      </c>
      <c r="O726">
        <v>5.4</v>
      </c>
      <c r="P726">
        <v>3.7</v>
      </c>
      <c r="Q726" t="s">
        <v>31</v>
      </c>
    </row>
    <row r="727" spans="1:17" x14ac:dyDescent="0.3">
      <c r="A727" t="s">
        <v>1225</v>
      </c>
      <c r="B727" s="2">
        <v>45961</v>
      </c>
      <c r="C727" t="s">
        <v>26</v>
      </c>
      <c r="D727" t="s">
        <v>126</v>
      </c>
      <c r="E727" t="s">
        <v>28</v>
      </c>
      <c r="F727" t="s">
        <v>396</v>
      </c>
      <c r="G727" t="s">
        <v>22</v>
      </c>
      <c r="J727">
        <v>0</v>
      </c>
      <c r="K727">
        <v>0</v>
      </c>
      <c r="L727">
        <v>0</v>
      </c>
      <c r="M727">
        <v>1</v>
      </c>
      <c r="N727">
        <v>7.4</v>
      </c>
      <c r="O727">
        <v>16.600000000000001</v>
      </c>
      <c r="P727">
        <v>3</v>
      </c>
      <c r="Q727" t="s">
        <v>31</v>
      </c>
    </row>
    <row r="728" spans="1:17" x14ac:dyDescent="0.3">
      <c r="A728" t="s">
        <v>1226</v>
      </c>
      <c r="B728" s="2">
        <v>45921</v>
      </c>
      <c r="C728" t="s">
        <v>18</v>
      </c>
      <c r="D728" t="s">
        <v>47</v>
      </c>
      <c r="E728" t="s">
        <v>20</v>
      </c>
      <c r="F728" t="s">
        <v>761</v>
      </c>
      <c r="G728" t="s">
        <v>22</v>
      </c>
      <c r="H728" t="s">
        <v>86</v>
      </c>
      <c r="I728" t="s">
        <v>79</v>
      </c>
      <c r="J728">
        <v>1</v>
      </c>
      <c r="K728">
        <v>15000</v>
      </c>
      <c r="L728">
        <v>0</v>
      </c>
      <c r="N728">
        <v>23.5</v>
      </c>
      <c r="Q728" t="s">
        <v>79</v>
      </c>
    </row>
    <row r="729" spans="1:17" x14ac:dyDescent="0.3">
      <c r="A729" t="s">
        <v>1227</v>
      </c>
      <c r="B729" s="2">
        <v>46092</v>
      </c>
      <c r="C729" t="s">
        <v>26</v>
      </c>
      <c r="D729" t="s">
        <v>72</v>
      </c>
      <c r="E729" t="s">
        <v>42</v>
      </c>
      <c r="F729" t="s">
        <v>1003</v>
      </c>
      <c r="G729" t="s">
        <v>22</v>
      </c>
      <c r="J729">
        <v>0</v>
      </c>
      <c r="K729">
        <v>0</v>
      </c>
      <c r="L729">
        <v>0</v>
      </c>
      <c r="M729">
        <v>1</v>
      </c>
      <c r="N729">
        <v>9</v>
      </c>
      <c r="O729">
        <v>12.7</v>
      </c>
      <c r="P729">
        <v>3.6</v>
      </c>
      <c r="Q729" t="s">
        <v>39</v>
      </c>
    </row>
    <row r="730" spans="1:17" x14ac:dyDescent="0.3">
      <c r="A730" t="s">
        <v>1228</v>
      </c>
      <c r="B730" s="2">
        <v>45976</v>
      </c>
      <c r="C730" t="s">
        <v>18</v>
      </c>
      <c r="D730" t="s">
        <v>41</v>
      </c>
      <c r="E730" t="s">
        <v>20</v>
      </c>
      <c r="F730" t="s">
        <v>286</v>
      </c>
      <c r="G730" t="s">
        <v>50</v>
      </c>
      <c r="H730" t="s">
        <v>86</v>
      </c>
      <c r="I730" t="s">
        <v>24</v>
      </c>
      <c r="J730">
        <v>1</v>
      </c>
      <c r="K730">
        <v>13600</v>
      </c>
      <c r="L730">
        <v>13600</v>
      </c>
      <c r="N730">
        <v>4.8</v>
      </c>
      <c r="Q730" t="s">
        <v>24</v>
      </c>
    </row>
    <row r="731" spans="1:17" x14ac:dyDescent="0.3">
      <c r="A731" t="s">
        <v>1229</v>
      </c>
      <c r="B731" s="2">
        <v>46033</v>
      </c>
      <c r="C731" t="s">
        <v>18</v>
      </c>
      <c r="D731" t="s">
        <v>105</v>
      </c>
      <c r="E731" t="s">
        <v>48</v>
      </c>
      <c r="F731" t="s">
        <v>1230</v>
      </c>
      <c r="G731" t="s">
        <v>22</v>
      </c>
      <c r="H731" t="s">
        <v>54</v>
      </c>
      <c r="I731" t="s">
        <v>79</v>
      </c>
      <c r="J731">
        <v>1</v>
      </c>
      <c r="K731">
        <v>55600</v>
      </c>
      <c r="L731">
        <v>0</v>
      </c>
      <c r="N731">
        <v>4.5</v>
      </c>
      <c r="Q731" t="s">
        <v>79</v>
      </c>
    </row>
    <row r="732" spans="1:17" x14ac:dyDescent="0.3">
      <c r="A732" t="s">
        <v>1231</v>
      </c>
      <c r="B732" s="2">
        <v>46005</v>
      </c>
      <c r="C732" t="s">
        <v>18</v>
      </c>
      <c r="D732" t="s">
        <v>47</v>
      </c>
      <c r="E732" t="s">
        <v>20</v>
      </c>
      <c r="F732" t="s">
        <v>127</v>
      </c>
      <c r="G732" t="s">
        <v>30</v>
      </c>
      <c r="H732" t="s">
        <v>78</v>
      </c>
      <c r="I732" t="s">
        <v>45</v>
      </c>
      <c r="J732">
        <v>1</v>
      </c>
      <c r="K732">
        <v>71700</v>
      </c>
      <c r="L732">
        <v>0</v>
      </c>
      <c r="N732">
        <v>16.600000000000001</v>
      </c>
      <c r="Q732" t="s">
        <v>45</v>
      </c>
    </row>
    <row r="733" spans="1:17" x14ac:dyDescent="0.3">
      <c r="A733" t="s">
        <v>1232</v>
      </c>
      <c r="B733" s="2">
        <v>45987</v>
      </c>
      <c r="C733" t="s">
        <v>26</v>
      </c>
      <c r="D733" t="s">
        <v>232</v>
      </c>
      <c r="E733" t="s">
        <v>20</v>
      </c>
      <c r="F733" t="s">
        <v>713</v>
      </c>
      <c r="G733" t="s">
        <v>44</v>
      </c>
      <c r="J733">
        <v>0</v>
      </c>
      <c r="K733">
        <v>0</v>
      </c>
      <c r="L733">
        <v>0</v>
      </c>
      <c r="M733">
        <v>1</v>
      </c>
      <c r="N733">
        <v>6.4</v>
      </c>
      <c r="O733">
        <v>16.5</v>
      </c>
      <c r="P733">
        <v>3.7</v>
      </c>
      <c r="Q733" t="s">
        <v>225</v>
      </c>
    </row>
    <row r="734" spans="1:17" x14ac:dyDescent="0.3">
      <c r="A734" t="s">
        <v>1233</v>
      </c>
      <c r="B734" s="2">
        <v>46192</v>
      </c>
      <c r="C734" t="s">
        <v>26</v>
      </c>
      <c r="D734" t="s">
        <v>72</v>
      </c>
      <c r="E734" t="s">
        <v>37</v>
      </c>
      <c r="F734" t="s">
        <v>663</v>
      </c>
      <c r="G734" t="s">
        <v>44</v>
      </c>
      <c r="J734">
        <v>0</v>
      </c>
      <c r="K734">
        <v>0</v>
      </c>
      <c r="L734">
        <v>0</v>
      </c>
      <c r="M734">
        <v>1</v>
      </c>
      <c r="N734">
        <v>0.7</v>
      </c>
      <c r="O734">
        <v>28.9</v>
      </c>
      <c r="P734">
        <v>3.6</v>
      </c>
      <c r="Q734" t="s">
        <v>31</v>
      </c>
    </row>
    <row r="735" spans="1:17" x14ac:dyDescent="0.3">
      <c r="A735" t="s">
        <v>1234</v>
      </c>
      <c r="B735" s="2">
        <v>46231</v>
      </c>
      <c r="C735" t="s">
        <v>18</v>
      </c>
      <c r="D735" t="s">
        <v>117</v>
      </c>
      <c r="E735" t="s">
        <v>20</v>
      </c>
      <c r="F735" t="s">
        <v>771</v>
      </c>
      <c r="G735" t="s">
        <v>22</v>
      </c>
      <c r="H735" t="s">
        <v>86</v>
      </c>
      <c r="I735" t="s">
        <v>89</v>
      </c>
      <c r="J735">
        <v>1</v>
      </c>
      <c r="K735">
        <v>7800</v>
      </c>
      <c r="L735">
        <v>0</v>
      </c>
      <c r="N735">
        <v>19.5</v>
      </c>
      <c r="Q735" t="s">
        <v>89</v>
      </c>
    </row>
    <row r="736" spans="1:17" x14ac:dyDescent="0.3">
      <c r="A736" t="s">
        <v>1235</v>
      </c>
      <c r="B736" s="2">
        <v>46232</v>
      </c>
      <c r="C736" t="s">
        <v>18</v>
      </c>
      <c r="D736" t="s">
        <v>64</v>
      </c>
      <c r="E736" t="s">
        <v>20</v>
      </c>
      <c r="F736" t="s">
        <v>1081</v>
      </c>
      <c r="G736" t="s">
        <v>30</v>
      </c>
      <c r="H736" t="s">
        <v>86</v>
      </c>
      <c r="I736" t="s">
        <v>89</v>
      </c>
      <c r="J736">
        <v>1</v>
      </c>
      <c r="K736">
        <v>78900</v>
      </c>
      <c r="L736">
        <v>0</v>
      </c>
      <c r="N736">
        <v>18.600000000000001</v>
      </c>
      <c r="Q736" t="s">
        <v>89</v>
      </c>
    </row>
    <row r="737" spans="1:17" x14ac:dyDescent="0.3">
      <c r="A737" t="s">
        <v>1236</v>
      </c>
      <c r="B737" s="2">
        <v>45914</v>
      </c>
      <c r="C737" t="s">
        <v>26</v>
      </c>
      <c r="D737" t="s">
        <v>232</v>
      </c>
      <c r="E737" t="s">
        <v>20</v>
      </c>
      <c r="F737" t="s">
        <v>554</v>
      </c>
      <c r="G737" t="s">
        <v>44</v>
      </c>
      <c r="J737">
        <v>0</v>
      </c>
      <c r="K737">
        <v>0</v>
      </c>
      <c r="L737">
        <v>0</v>
      </c>
      <c r="M737">
        <v>1</v>
      </c>
      <c r="N737">
        <v>5</v>
      </c>
      <c r="O737">
        <v>13.9</v>
      </c>
      <c r="P737">
        <v>4.0999999999999996</v>
      </c>
      <c r="Q737" t="s">
        <v>39</v>
      </c>
    </row>
    <row r="738" spans="1:17" x14ac:dyDescent="0.3">
      <c r="A738" t="s">
        <v>1237</v>
      </c>
      <c r="B738" s="2">
        <v>46210</v>
      </c>
      <c r="C738" t="s">
        <v>18</v>
      </c>
      <c r="D738" t="s">
        <v>105</v>
      </c>
      <c r="E738" t="s">
        <v>48</v>
      </c>
      <c r="F738" t="s">
        <v>600</v>
      </c>
      <c r="G738" t="s">
        <v>22</v>
      </c>
      <c r="H738" t="s">
        <v>54</v>
      </c>
      <c r="I738" t="s">
        <v>24</v>
      </c>
      <c r="J738">
        <v>1</v>
      </c>
      <c r="K738">
        <v>11000</v>
      </c>
      <c r="L738">
        <v>11000</v>
      </c>
      <c r="N738">
        <v>7.2</v>
      </c>
      <c r="Q738" t="s">
        <v>24</v>
      </c>
    </row>
    <row r="739" spans="1:17" x14ac:dyDescent="0.3">
      <c r="A739" t="s">
        <v>1238</v>
      </c>
      <c r="B739" s="2">
        <v>46023</v>
      </c>
      <c r="C739" t="s">
        <v>26</v>
      </c>
      <c r="D739" t="s">
        <v>27</v>
      </c>
      <c r="E739" t="s">
        <v>42</v>
      </c>
      <c r="F739" t="s">
        <v>1239</v>
      </c>
      <c r="G739" t="s">
        <v>22</v>
      </c>
      <c r="J739">
        <v>0</v>
      </c>
      <c r="K739">
        <v>0</v>
      </c>
      <c r="L739">
        <v>0</v>
      </c>
      <c r="M739">
        <v>1</v>
      </c>
      <c r="N739">
        <v>9.4</v>
      </c>
      <c r="O739">
        <v>7.8</v>
      </c>
      <c r="P739">
        <v>4.4000000000000004</v>
      </c>
      <c r="Q739" t="s">
        <v>39</v>
      </c>
    </row>
    <row r="740" spans="1:17" x14ac:dyDescent="0.3">
      <c r="A740" t="s">
        <v>1240</v>
      </c>
      <c r="B740" s="2">
        <v>46242</v>
      </c>
      <c r="C740" t="s">
        <v>18</v>
      </c>
      <c r="D740" t="s">
        <v>41</v>
      </c>
      <c r="E740" t="s">
        <v>20</v>
      </c>
      <c r="F740" t="s">
        <v>934</v>
      </c>
      <c r="G740" t="s">
        <v>30</v>
      </c>
      <c r="H740" t="s">
        <v>54</v>
      </c>
      <c r="I740" t="s">
        <v>79</v>
      </c>
      <c r="J740">
        <v>1</v>
      </c>
      <c r="K740">
        <v>5900</v>
      </c>
      <c r="L740">
        <v>0</v>
      </c>
      <c r="N740">
        <v>1.4</v>
      </c>
      <c r="Q740" t="s">
        <v>79</v>
      </c>
    </row>
    <row r="741" spans="1:17" x14ac:dyDescent="0.3">
      <c r="A741" t="s">
        <v>1241</v>
      </c>
      <c r="B741" s="2">
        <v>46218</v>
      </c>
      <c r="C741" t="s">
        <v>18</v>
      </c>
      <c r="D741" t="s">
        <v>19</v>
      </c>
      <c r="E741" t="s">
        <v>42</v>
      </c>
      <c r="F741" t="s">
        <v>138</v>
      </c>
      <c r="G741" t="s">
        <v>50</v>
      </c>
      <c r="H741" t="s">
        <v>78</v>
      </c>
      <c r="I741" t="s">
        <v>45</v>
      </c>
      <c r="J741">
        <v>1</v>
      </c>
      <c r="K741">
        <v>7000</v>
      </c>
      <c r="L741">
        <v>0</v>
      </c>
      <c r="N741">
        <v>6.4</v>
      </c>
      <c r="Q741" t="s">
        <v>45</v>
      </c>
    </row>
    <row r="742" spans="1:17" x14ac:dyDescent="0.3">
      <c r="A742" t="s">
        <v>1242</v>
      </c>
      <c r="B742" s="2">
        <v>46207</v>
      </c>
      <c r="C742" t="s">
        <v>18</v>
      </c>
      <c r="D742" t="s">
        <v>47</v>
      </c>
      <c r="E742" t="s">
        <v>37</v>
      </c>
      <c r="F742" t="s">
        <v>445</v>
      </c>
      <c r="G742" t="s">
        <v>22</v>
      </c>
      <c r="H742" t="s">
        <v>86</v>
      </c>
      <c r="I742" t="s">
        <v>24</v>
      </c>
      <c r="J742">
        <v>1</v>
      </c>
      <c r="K742">
        <v>50200</v>
      </c>
      <c r="L742">
        <v>50200</v>
      </c>
      <c r="N742">
        <v>3.5</v>
      </c>
      <c r="Q742" t="s">
        <v>24</v>
      </c>
    </row>
    <row r="743" spans="1:17" x14ac:dyDescent="0.3">
      <c r="A743" t="s">
        <v>1243</v>
      </c>
      <c r="B743" s="2">
        <v>46172</v>
      </c>
      <c r="C743" t="s">
        <v>18</v>
      </c>
      <c r="D743" t="s">
        <v>52</v>
      </c>
      <c r="E743" t="s">
        <v>48</v>
      </c>
      <c r="F743" t="s">
        <v>689</v>
      </c>
      <c r="G743" t="s">
        <v>44</v>
      </c>
      <c r="H743" t="s">
        <v>78</v>
      </c>
      <c r="I743" t="s">
        <v>79</v>
      </c>
      <c r="J743">
        <v>1</v>
      </c>
      <c r="K743">
        <v>22000</v>
      </c>
      <c r="L743">
        <v>0</v>
      </c>
      <c r="N743">
        <v>2.6</v>
      </c>
      <c r="Q743" t="s">
        <v>79</v>
      </c>
    </row>
    <row r="744" spans="1:17" x14ac:dyDescent="0.3">
      <c r="A744" t="s">
        <v>1244</v>
      </c>
      <c r="B744" s="2">
        <v>45954</v>
      </c>
      <c r="C744" t="s">
        <v>26</v>
      </c>
      <c r="D744" t="s">
        <v>126</v>
      </c>
      <c r="E744" t="s">
        <v>20</v>
      </c>
      <c r="F744" t="s">
        <v>896</v>
      </c>
      <c r="G744" t="s">
        <v>30</v>
      </c>
      <c r="J744">
        <v>0</v>
      </c>
      <c r="K744">
        <v>0</v>
      </c>
      <c r="L744">
        <v>0</v>
      </c>
      <c r="M744">
        <v>1</v>
      </c>
      <c r="N744">
        <v>2.4</v>
      </c>
      <c r="O744">
        <v>10.4</v>
      </c>
      <c r="P744">
        <v>4.5</v>
      </c>
      <c r="Q744" t="s">
        <v>39</v>
      </c>
    </row>
    <row r="745" spans="1:17" x14ac:dyDescent="0.3">
      <c r="A745" t="s">
        <v>1245</v>
      </c>
      <c r="B745" s="2">
        <v>46211</v>
      </c>
      <c r="C745" t="s">
        <v>18</v>
      </c>
      <c r="D745" t="s">
        <v>41</v>
      </c>
      <c r="E745" t="s">
        <v>37</v>
      </c>
      <c r="F745" t="s">
        <v>1201</v>
      </c>
      <c r="G745" t="s">
        <v>44</v>
      </c>
      <c r="H745" t="s">
        <v>23</v>
      </c>
      <c r="I745" t="s">
        <v>55</v>
      </c>
      <c r="J745">
        <v>1</v>
      </c>
      <c r="K745">
        <v>15800</v>
      </c>
      <c r="L745">
        <v>0</v>
      </c>
      <c r="N745">
        <v>22.5</v>
      </c>
      <c r="Q745" t="s">
        <v>55</v>
      </c>
    </row>
    <row r="746" spans="1:17" x14ac:dyDescent="0.3">
      <c r="A746" t="s">
        <v>1246</v>
      </c>
      <c r="B746" s="2">
        <v>46022</v>
      </c>
      <c r="C746" t="s">
        <v>18</v>
      </c>
      <c r="D746" t="s">
        <v>19</v>
      </c>
      <c r="E746" t="s">
        <v>20</v>
      </c>
      <c r="F746" t="s">
        <v>510</v>
      </c>
      <c r="G746" t="s">
        <v>22</v>
      </c>
      <c r="H746" t="s">
        <v>78</v>
      </c>
      <c r="I746" t="s">
        <v>89</v>
      </c>
      <c r="J746">
        <v>1</v>
      </c>
      <c r="K746">
        <v>14100</v>
      </c>
      <c r="L746">
        <v>0</v>
      </c>
      <c r="N746">
        <v>9.4</v>
      </c>
      <c r="Q746" t="s">
        <v>89</v>
      </c>
    </row>
    <row r="747" spans="1:17" x14ac:dyDescent="0.3">
      <c r="A747" t="s">
        <v>1247</v>
      </c>
      <c r="B747" s="2">
        <v>46100</v>
      </c>
      <c r="C747" t="s">
        <v>26</v>
      </c>
      <c r="D747" t="s">
        <v>33</v>
      </c>
      <c r="E747" t="s">
        <v>37</v>
      </c>
      <c r="F747" t="s">
        <v>907</v>
      </c>
      <c r="G747" t="s">
        <v>30</v>
      </c>
      <c r="J747">
        <v>0</v>
      </c>
      <c r="K747">
        <v>0</v>
      </c>
      <c r="L747">
        <v>0</v>
      </c>
      <c r="M747">
        <v>1</v>
      </c>
      <c r="N747">
        <v>8.1999999999999993</v>
      </c>
      <c r="O747">
        <v>4.0999999999999996</v>
      </c>
      <c r="P747">
        <v>3.9</v>
      </c>
      <c r="Q747" t="s">
        <v>31</v>
      </c>
    </row>
    <row r="748" spans="1:17" x14ac:dyDescent="0.3">
      <c r="A748" t="s">
        <v>1248</v>
      </c>
      <c r="B748" s="2">
        <v>45901</v>
      </c>
      <c r="C748" t="s">
        <v>18</v>
      </c>
      <c r="D748" t="s">
        <v>105</v>
      </c>
      <c r="E748" t="s">
        <v>20</v>
      </c>
      <c r="F748" t="s">
        <v>1249</v>
      </c>
      <c r="G748" t="s">
        <v>22</v>
      </c>
      <c r="H748" t="s">
        <v>23</v>
      </c>
      <c r="I748" t="s">
        <v>24</v>
      </c>
      <c r="J748">
        <v>1</v>
      </c>
      <c r="K748">
        <v>22700</v>
      </c>
      <c r="L748">
        <v>22700</v>
      </c>
      <c r="N748">
        <v>9.4</v>
      </c>
      <c r="Q748" t="s">
        <v>24</v>
      </c>
    </row>
    <row r="749" spans="1:17" x14ac:dyDescent="0.3">
      <c r="A749" t="s">
        <v>1250</v>
      </c>
      <c r="B749" s="2">
        <v>46112</v>
      </c>
      <c r="C749" t="s">
        <v>18</v>
      </c>
      <c r="D749" t="s">
        <v>105</v>
      </c>
      <c r="E749" t="s">
        <v>20</v>
      </c>
      <c r="F749" t="s">
        <v>138</v>
      </c>
      <c r="G749" t="s">
        <v>44</v>
      </c>
      <c r="H749" t="s">
        <v>23</v>
      </c>
      <c r="I749" t="s">
        <v>79</v>
      </c>
      <c r="J749">
        <v>1</v>
      </c>
      <c r="K749">
        <v>17400</v>
      </c>
      <c r="L749">
        <v>0</v>
      </c>
      <c r="N749">
        <v>5</v>
      </c>
      <c r="Q749" t="s">
        <v>79</v>
      </c>
    </row>
    <row r="750" spans="1:17" x14ac:dyDescent="0.3">
      <c r="A750" t="s">
        <v>1251</v>
      </c>
      <c r="B750" s="2">
        <v>46163</v>
      </c>
      <c r="C750" t="s">
        <v>26</v>
      </c>
      <c r="D750" t="s">
        <v>114</v>
      </c>
      <c r="E750" t="s">
        <v>20</v>
      </c>
      <c r="F750" t="s">
        <v>805</v>
      </c>
      <c r="G750" t="s">
        <v>22</v>
      </c>
      <c r="J750">
        <v>0</v>
      </c>
      <c r="K750">
        <v>0</v>
      </c>
      <c r="L750">
        <v>0</v>
      </c>
      <c r="M750">
        <v>1</v>
      </c>
      <c r="N750">
        <v>7</v>
      </c>
      <c r="O750">
        <v>2.1</v>
      </c>
      <c r="P750">
        <v>4.3</v>
      </c>
      <c r="Q750" t="s">
        <v>39</v>
      </c>
    </row>
    <row r="751" spans="1:17" x14ac:dyDescent="0.3">
      <c r="A751" t="s">
        <v>1252</v>
      </c>
      <c r="B751" s="2">
        <v>46156</v>
      </c>
      <c r="C751" t="s">
        <v>26</v>
      </c>
      <c r="D751" t="s">
        <v>69</v>
      </c>
      <c r="E751" t="s">
        <v>20</v>
      </c>
      <c r="F751" t="s">
        <v>912</v>
      </c>
      <c r="G751" t="s">
        <v>50</v>
      </c>
      <c r="J751">
        <v>0</v>
      </c>
      <c r="K751">
        <v>0</v>
      </c>
      <c r="L751">
        <v>0</v>
      </c>
      <c r="M751">
        <v>1</v>
      </c>
      <c r="N751">
        <v>1.3</v>
      </c>
      <c r="O751">
        <v>3.2</v>
      </c>
      <c r="P751">
        <v>5</v>
      </c>
      <c r="Q751" t="s">
        <v>225</v>
      </c>
    </row>
    <row r="752" spans="1:17" x14ac:dyDescent="0.3">
      <c r="A752" t="s">
        <v>1253</v>
      </c>
      <c r="B752" s="2">
        <v>46218</v>
      </c>
      <c r="C752" t="s">
        <v>18</v>
      </c>
      <c r="D752" t="s">
        <v>117</v>
      </c>
      <c r="E752" t="s">
        <v>20</v>
      </c>
      <c r="F752" t="s">
        <v>1254</v>
      </c>
      <c r="G752" t="s">
        <v>50</v>
      </c>
      <c r="H752" t="s">
        <v>54</v>
      </c>
      <c r="I752" t="s">
        <v>24</v>
      </c>
      <c r="J752">
        <v>1</v>
      </c>
      <c r="K752">
        <v>49000</v>
      </c>
      <c r="L752">
        <v>49000</v>
      </c>
      <c r="N752">
        <v>6.4</v>
      </c>
      <c r="Q752" t="s">
        <v>24</v>
      </c>
    </row>
    <row r="753" spans="1:17" x14ac:dyDescent="0.3">
      <c r="A753" t="s">
        <v>1255</v>
      </c>
      <c r="B753" s="2">
        <v>46035</v>
      </c>
      <c r="C753" t="s">
        <v>26</v>
      </c>
      <c r="D753" t="s">
        <v>36</v>
      </c>
      <c r="E753" t="s">
        <v>48</v>
      </c>
      <c r="F753" t="s">
        <v>280</v>
      </c>
      <c r="G753" t="s">
        <v>22</v>
      </c>
      <c r="J753">
        <v>0</v>
      </c>
      <c r="K753">
        <v>0</v>
      </c>
      <c r="L753">
        <v>0</v>
      </c>
      <c r="M753">
        <v>1</v>
      </c>
      <c r="N753">
        <v>2.2999999999999998</v>
      </c>
      <c r="O753">
        <v>3.3</v>
      </c>
      <c r="P753">
        <v>3.9</v>
      </c>
      <c r="Q753" t="s">
        <v>62</v>
      </c>
    </row>
    <row r="754" spans="1:17" x14ac:dyDescent="0.3">
      <c r="A754" t="s">
        <v>1256</v>
      </c>
      <c r="B754" s="2">
        <v>46227</v>
      </c>
      <c r="C754" t="s">
        <v>26</v>
      </c>
      <c r="D754" t="s">
        <v>126</v>
      </c>
      <c r="E754" t="s">
        <v>20</v>
      </c>
      <c r="F754" t="s">
        <v>1257</v>
      </c>
      <c r="G754" t="s">
        <v>30</v>
      </c>
      <c r="J754">
        <v>0</v>
      </c>
      <c r="K754">
        <v>0</v>
      </c>
      <c r="L754">
        <v>0</v>
      </c>
      <c r="M754">
        <v>1</v>
      </c>
      <c r="N754">
        <v>1.7</v>
      </c>
      <c r="O754">
        <v>9.1</v>
      </c>
      <c r="P754">
        <v>5</v>
      </c>
      <c r="Q754" t="s">
        <v>39</v>
      </c>
    </row>
    <row r="755" spans="1:17" x14ac:dyDescent="0.3">
      <c r="A755" t="s">
        <v>1258</v>
      </c>
      <c r="B755" s="2">
        <v>46084</v>
      </c>
      <c r="C755" t="s">
        <v>18</v>
      </c>
      <c r="D755" t="s">
        <v>117</v>
      </c>
      <c r="E755" t="s">
        <v>20</v>
      </c>
      <c r="F755" t="s">
        <v>1121</v>
      </c>
      <c r="G755" t="s">
        <v>22</v>
      </c>
      <c r="H755" t="s">
        <v>23</v>
      </c>
      <c r="I755" t="s">
        <v>79</v>
      </c>
      <c r="J755">
        <v>1</v>
      </c>
      <c r="K755">
        <v>40500</v>
      </c>
      <c r="L755">
        <v>0</v>
      </c>
      <c r="N755">
        <v>21</v>
      </c>
      <c r="Q755" t="s">
        <v>79</v>
      </c>
    </row>
    <row r="756" spans="1:17" x14ac:dyDescent="0.3">
      <c r="A756" t="s">
        <v>1259</v>
      </c>
      <c r="B756" s="2">
        <v>46131</v>
      </c>
      <c r="C756" t="s">
        <v>18</v>
      </c>
      <c r="D756" t="s">
        <v>64</v>
      </c>
      <c r="E756" t="s">
        <v>28</v>
      </c>
      <c r="F756" t="s">
        <v>174</v>
      </c>
      <c r="G756" t="s">
        <v>50</v>
      </c>
      <c r="H756" t="s">
        <v>23</v>
      </c>
      <c r="I756" t="s">
        <v>24</v>
      </c>
      <c r="J756">
        <v>1</v>
      </c>
      <c r="K756">
        <v>20100</v>
      </c>
      <c r="L756">
        <v>20100</v>
      </c>
      <c r="N756">
        <v>10.8</v>
      </c>
      <c r="Q756" t="s">
        <v>24</v>
      </c>
    </row>
    <row r="757" spans="1:17" x14ac:dyDescent="0.3">
      <c r="A757" t="s">
        <v>1260</v>
      </c>
      <c r="B757" s="2">
        <v>46064</v>
      </c>
      <c r="C757" t="s">
        <v>26</v>
      </c>
      <c r="D757" t="s">
        <v>36</v>
      </c>
      <c r="E757" t="s">
        <v>20</v>
      </c>
      <c r="F757" t="s">
        <v>658</v>
      </c>
      <c r="G757" t="s">
        <v>44</v>
      </c>
      <c r="J757">
        <v>0</v>
      </c>
      <c r="K757">
        <v>0</v>
      </c>
      <c r="L757">
        <v>0</v>
      </c>
      <c r="M757">
        <v>1</v>
      </c>
      <c r="N757">
        <v>10.1</v>
      </c>
      <c r="O757">
        <v>20.100000000000001</v>
      </c>
      <c r="P757">
        <v>4.8</v>
      </c>
      <c r="Q757" t="s">
        <v>39</v>
      </c>
    </row>
    <row r="758" spans="1:17" x14ac:dyDescent="0.3">
      <c r="A758" t="s">
        <v>1261</v>
      </c>
      <c r="B758" s="2">
        <v>46197</v>
      </c>
      <c r="C758" t="s">
        <v>26</v>
      </c>
      <c r="D758" t="s">
        <v>114</v>
      </c>
      <c r="E758" t="s">
        <v>20</v>
      </c>
      <c r="F758" t="s">
        <v>766</v>
      </c>
      <c r="G758" t="s">
        <v>30</v>
      </c>
      <c r="J758">
        <v>0</v>
      </c>
      <c r="K758">
        <v>0</v>
      </c>
      <c r="L758">
        <v>0</v>
      </c>
      <c r="M758">
        <v>1</v>
      </c>
      <c r="N758">
        <v>3</v>
      </c>
      <c r="O758">
        <v>8.6</v>
      </c>
      <c r="P758">
        <v>5</v>
      </c>
      <c r="Q758" t="s">
        <v>31</v>
      </c>
    </row>
    <row r="759" spans="1:17" x14ac:dyDescent="0.3">
      <c r="A759" t="s">
        <v>1262</v>
      </c>
      <c r="B759" s="2">
        <v>46143</v>
      </c>
      <c r="C759" t="s">
        <v>18</v>
      </c>
      <c r="D759" t="s">
        <v>64</v>
      </c>
      <c r="E759" t="s">
        <v>20</v>
      </c>
      <c r="F759" t="s">
        <v>376</v>
      </c>
      <c r="G759" t="s">
        <v>30</v>
      </c>
      <c r="H759" t="s">
        <v>78</v>
      </c>
      <c r="I759" t="s">
        <v>89</v>
      </c>
      <c r="J759">
        <v>1</v>
      </c>
      <c r="K759">
        <v>10400</v>
      </c>
      <c r="L759">
        <v>0</v>
      </c>
      <c r="N759">
        <v>1.2</v>
      </c>
      <c r="Q759" t="s">
        <v>89</v>
      </c>
    </row>
    <row r="760" spans="1:17" x14ac:dyDescent="0.3">
      <c r="A760" t="s">
        <v>1263</v>
      </c>
      <c r="B760" s="2">
        <v>46046</v>
      </c>
      <c r="C760" t="s">
        <v>26</v>
      </c>
      <c r="D760" t="s">
        <v>72</v>
      </c>
      <c r="E760" t="s">
        <v>42</v>
      </c>
      <c r="F760" t="s">
        <v>1264</v>
      </c>
      <c r="G760" t="s">
        <v>30</v>
      </c>
      <c r="J760">
        <v>0</v>
      </c>
      <c r="K760">
        <v>0</v>
      </c>
      <c r="L760">
        <v>0</v>
      </c>
      <c r="M760">
        <v>1</v>
      </c>
      <c r="N760">
        <v>1</v>
      </c>
      <c r="O760">
        <v>2</v>
      </c>
      <c r="P760">
        <v>4.5</v>
      </c>
      <c r="Q760" t="s">
        <v>225</v>
      </c>
    </row>
    <row r="761" spans="1:17" x14ac:dyDescent="0.3">
      <c r="A761" t="s">
        <v>1265</v>
      </c>
      <c r="B761" s="2">
        <v>46239</v>
      </c>
      <c r="C761" t="s">
        <v>26</v>
      </c>
      <c r="D761" t="s">
        <v>27</v>
      </c>
      <c r="E761" t="s">
        <v>37</v>
      </c>
      <c r="F761" t="s">
        <v>1266</v>
      </c>
      <c r="G761" t="s">
        <v>30</v>
      </c>
      <c r="J761">
        <v>0</v>
      </c>
      <c r="K761">
        <v>0</v>
      </c>
      <c r="L761">
        <v>0</v>
      </c>
      <c r="M761">
        <v>1</v>
      </c>
      <c r="N761">
        <v>10.9</v>
      </c>
      <c r="O761">
        <v>6.5</v>
      </c>
      <c r="P761">
        <v>3.3</v>
      </c>
      <c r="Q761" t="s">
        <v>62</v>
      </c>
    </row>
    <row r="762" spans="1:17" x14ac:dyDescent="0.3">
      <c r="A762" t="s">
        <v>1267</v>
      </c>
      <c r="B762" s="2">
        <v>46089</v>
      </c>
      <c r="C762" t="s">
        <v>18</v>
      </c>
      <c r="D762" t="s">
        <v>47</v>
      </c>
      <c r="E762" t="s">
        <v>20</v>
      </c>
      <c r="F762" t="s">
        <v>1081</v>
      </c>
      <c r="G762" t="s">
        <v>30</v>
      </c>
      <c r="H762" t="s">
        <v>78</v>
      </c>
      <c r="I762" t="s">
        <v>24</v>
      </c>
      <c r="J762">
        <v>1</v>
      </c>
      <c r="K762">
        <v>25900</v>
      </c>
      <c r="L762">
        <v>25900</v>
      </c>
      <c r="N762">
        <v>4.7</v>
      </c>
      <c r="Q762" t="s">
        <v>24</v>
      </c>
    </row>
    <row r="763" spans="1:17" x14ac:dyDescent="0.3">
      <c r="A763" t="s">
        <v>1268</v>
      </c>
      <c r="B763" s="2">
        <v>46147</v>
      </c>
      <c r="C763" t="s">
        <v>18</v>
      </c>
      <c r="D763" t="s">
        <v>105</v>
      </c>
      <c r="E763" t="s">
        <v>20</v>
      </c>
      <c r="F763" t="s">
        <v>1269</v>
      </c>
      <c r="G763" t="s">
        <v>44</v>
      </c>
      <c r="H763" t="s">
        <v>23</v>
      </c>
      <c r="I763" t="s">
        <v>79</v>
      </c>
      <c r="J763">
        <v>1</v>
      </c>
      <c r="K763">
        <v>57900</v>
      </c>
      <c r="L763">
        <v>0</v>
      </c>
      <c r="N763">
        <v>2.8</v>
      </c>
      <c r="Q763" t="s">
        <v>79</v>
      </c>
    </row>
    <row r="764" spans="1:17" x14ac:dyDescent="0.3">
      <c r="A764" t="s">
        <v>1270</v>
      </c>
      <c r="B764" s="2">
        <v>46209</v>
      </c>
      <c r="C764" t="s">
        <v>18</v>
      </c>
      <c r="D764" t="s">
        <v>95</v>
      </c>
      <c r="E764" t="s">
        <v>28</v>
      </c>
      <c r="F764" t="s">
        <v>180</v>
      </c>
      <c r="G764" t="s">
        <v>30</v>
      </c>
      <c r="H764" t="s">
        <v>86</v>
      </c>
      <c r="I764" t="s">
        <v>89</v>
      </c>
      <c r="J764">
        <v>1</v>
      </c>
      <c r="K764">
        <v>9300</v>
      </c>
      <c r="L764">
        <v>0</v>
      </c>
      <c r="N764">
        <v>13</v>
      </c>
      <c r="Q764" t="s">
        <v>89</v>
      </c>
    </row>
    <row r="765" spans="1:17" x14ac:dyDescent="0.3">
      <c r="A765" t="s">
        <v>1271</v>
      </c>
      <c r="B765" s="2">
        <v>45959</v>
      </c>
      <c r="C765" t="s">
        <v>26</v>
      </c>
      <c r="D765" t="s">
        <v>114</v>
      </c>
      <c r="E765" t="s">
        <v>20</v>
      </c>
      <c r="F765" t="s">
        <v>626</v>
      </c>
      <c r="G765" t="s">
        <v>30</v>
      </c>
      <c r="J765">
        <v>0</v>
      </c>
      <c r="K765">
        <v>0</v>
      </c>
      <c r="L765">
        <v>0</v>
      </c>
      <c r="M765">
        <v>1</v>
      </c>
      <c r="N765">
        <v>0.2</v>
      </c>
      <c r="O765">
        <v>19.100000000000001</v>
      </c>
      <c r="P765">
        <v>3.4</v>
      </c>
      <c r="Q765" t="s">
        <v>225</v>
      </c>
    </row>
    <row r="766" spans="1:17" x14ac:dyDescent="0.3">
      <c r="A766" t="s">
        <v>1272</v>
      </c>
      <c r="B766" s="2">
        <v>46248</v>
      </c>
      <c r="C766" t="s">
        <v>18</v>
      </c>
      <c r="D766" t="s">
        <v>19</v>
      </c>
      <c r="E766" t="s">
        <v>28</v>
      </c>
      <c r="F766" t="s">
        <v>1273</v>
      </c>
      <c r="G766" t="s">
        <v>30</v>
      </c>
      <c r="H766" t="s">
        <v>23</v>
      </c>
      <c r="I766" t="s">
        <v>24</v>
      </c>
      <c r="J766">
        <v>1</v>
      </c>
      <c r="K766">
        <v>43300</v>
      </c>
      <c r="L766">
        <v>43300</v>
      </c>
      <c r="N766">
        <v>14.8</v>
      </c>
      <c r="Q766" t="s">
        <v>24</v>
      </c>
    </row>
    <row r="767" spans="1:17" x14ac:dyDescent="0.3">
      <c r="A767" t="s">
        <v>1274</v>
      </c>
      <c r="B767" s="2">
        <v>45999</v>
      </c>
      <c r="C767" t="s">
        <v>26</v>
      </c>
      <c r="D767" t="s">
        <v>232</v>
      </c>
      <c r="E767" t="s">
        <v>20</v>
      </c>
      <c r="F767" t="s">
        <v>1166</v>
      </c>
      <c r="G767" t="s">
        <v>22</v>
      </c>
      <c r="J767">
        <v>0</v>
      </c>
      <c r="K767">
        <v>0</v>
      </c>
      <c r="L767">
        <v>0</v>
      </c>
      <c r="M767">
        <v>1</v>
      </c>
      <c r="N767">
        <v>6.1</v>
      </c>
      <c r="O767">
        <v>3.9</v>
      </c>
      <c r="P767">
        <v>3.8</v>
      </c>
      <c r="Q767" t="s">
        <v>39</v>
      </c>
    </row>
    <row r="768" spans="1:17" x14ac:dyDescent="0.3">
      <c r="A768" t="s">
        <v>1275</v>
      </c>
      <c r="B768" s="2">
        <v>46243</v>
      </c>
      <c r="C768" t="s">
        <v>26</v>
      </c>
      <c r="D768" t="s">
        <v>126</v>
      </c>
      <c r="E768" t="s">
        <v>28</v>
      </c>
      <c r="F768" t="s">
        <v>789</v>
      </c>
      <c r="G768" t="s">
        <v>50</v>
      </c>
      <c r="J768">
        <v>0</v>
      </c>
      <c r="K768">
        <v>0</v>
      </c>
      <c r="L768">
        <v>0</v>
      </c>
      <c r="M768">
        <v>1</v>
      </c>
      <c r="N768">
        <v>4.0999999999999996</v>
      </c>
      <c r="O768">
        <v>8.3000000000000007</v>
      </c>
      <c r="P768">
        <v>3.5</v>
      </c>
      <c r="Q768" t="s">
        <v>62</v>
      </c>
    </row>
    <row r="769" spans="1:17" x14ac:dyDescent="0.3">
      <c r="A769" t="s">
        <v>1276</v>
      </c>
      <c r="B769" s="2">
        <v>46180</v>
      </c>
      <c r="C769" t="s">
        <v>26</v>
      </c>
      <c r="D769" t="s">
        <v>114</v>
      </c>
      <c r="E769" t="s">
        <v>42</v>
      </c>
      <c r="F769" t="s">
        <v>1008</v>
      </c>
      <c r="G769" t="s">
        <v>22</v>
      </c>
      <c r="J769">
        <v>0</v>
      </c>
      <c r="K769">
        <v>0</v>
      </c>
      <c r="L769">
        <v>0</v>
      </c>
      <c r="M769">
        <v>1</v>
      </c>
      <c r="N769">
        <v>7</v>
      </c>
      <c r="O769">
        <v>4.3</v>
      </c>
      <c r="P769">
        <v>3.1</v>
      </c>
      <c r="Q769" t="s">
        <v>31</v>
      </c>
    </row>
    <row r="770" spans="1:17" x14ac:dyDescent="0.3">
      <c r="A770" t="s">
        <v>1277</v>
      </c>
      <c r="B770" s="2">
        <v>46225</v>
      </c>
      <c r="C770" t="s">
        <v>18</v>
      </c>
      <c r="D770" t="s">
        <v>105</v>
      </c>
      <c r="E770" t="s">
        <v>48</v>
      </c>
      <c r="F770" t="s">
        <v>1278</v>
      </c>
      <c r="G770" t="s">
        <v>30</v>
      </c>
      <c r="H770" t="s">
        <v>54</v>
      </c>
      <c r="I770" t="s">
        <v>45</v>
      </c>
      <c r="J770">
        <v>1</v>
      </c>
      <c r="K770">
        <v>23100</v>
      </c>
      <c r="L770">
        <v>0</v>
      </c>
      <c r="N770">
        <v>9.4</v>
      </c>
      <c r="Q770" t="s">
        <v>45</v>
      </c>
    </row>
    <row r="771" spans="1:17" x14ac:dyDescent="0.3">
      <c r="A771" t="s">
        <v>1279</v>
      </c>
      <c r="B771" s="2">
        <v>46096</v>
      </c>
      <c r="C771" t="s">
        <v>26</v>
      </c>
      <c r="D771" t="s">
        <v>72</v>
      </c>
      <c r="E771" t="s">
        <v>42</v>
      </c>
      <c r="F771" t="s">
        <v>101</v>
      </c>
      <c r="G771" t="s">
        <v>44</v>
      </c>
      <c r="J771">
        <v>0</v>
      </c>
      <c r="K771">
        <v>0</v>
      </c>
      <c r="L771">
        <v>0</v>
      </c>
      <c r="M771">
        <v>1</v>
      </c>
      <c r="N771">
        <v>11.5</v>
      </c>
      <c r="O771">
        <v>5.9</v>
      </c>
      <c r="P771">
        <v>2.9</v>
      </c>
      <c r="Q771" t="s">
        <v>39</v>
      </c>
    </row>
    <row r="772" spans="1:17" x14ac:dyDescent="0.3">
      <c r="A772" t="s">
        <v>1280</v>
      </c>
      <c r="B772" s="2">
        <v>46031</v>
      </c>
      <c r="C772" t="s">
        <v>18</v>
      </c>
      <c r="D772" t="s">
        <v>95</v>
      </c>
      <c r="E772" t="s">
        <v>20</v>
      </c>
      <c r="F772" t="s">
        <v>1281</v>
      </c>
      <c r="G772" t="s">
        <v>22</v>
      </c>
      <c r="H772" t="s">
        <v>23</v>
      </c>
      <c r="I772" t="s">
        <v>55</v>
      </c>
      <c r="J772">
        <v>1</v>
      </c>
      <c r="K772">
        <v>37600</v>
      </c>
      <c r="L772">
        <v>0</v>
      </c>
      <c r="N772">
        <v>7.8</v>
      </c>
      <c r="Q772" t="s">
        <v>55</v>
      </c>
    </row>
    <row r="773" spans="1:17" x14ac:dyDescent="0.3">
      <c r="A773" t="s">
        <v>1282</v>
      </c>
      <c r="B773" s="2">
        <v>45951</v>
      </c>
      <c r="C773" t="s">
        <v>26</v>
      </c>
      <c r="D773" t="s">
        <v>33</v>
      </c>
      <c r="E773" t="s">
        <v>37</v>
      </c>
      <c r="F773" t="s">
        <v>984</v>
      </c>
      <c r="G773" t="s">
        <v>50</v>
      </c>
      <c r="J773">
        <v>0</v>
      </c>
      <c r="K773">
        <v>0</v>
      </c>
      <c r="L773">
        <v>0</v>
      </c>
      <c r="M773">
        <v>1</v>
      </c>
      <c r="N773">
        <v>0.5</v>
      </c>
      <c r="O773">
        <v>2.4</v>
      </c>
      <c r="P773">
        <v>4.0999999999999996</v>
      </c>
      <c r="Q773" t="s">
        <v>39</v>
      </c>
    </row>
    <row r="774" spans="1:17" x14ac:dyDescent="0.3">
      <c r="A774" t="s">
        <v>1283</v>
      </c>
      <c r="B774" s="2">
        <v>46128</v>
      </c>
      <c r="C774" t="s">
        <v>18</v>
      </c>
      <c r="D774" t="s">
        <v>95</v>
      </c>
      <c r="E774" t="s">
        <v>20</v>
      </c>
      <c r="F774" t="s">
        <v>1284</v>
      </c>
      <c r="G774" t="s">
        <v>22</v>
      </c>
      <c r="H774" t="s">
        <v>78</v>
      </c>
      <c r="I774" t="s">
        <v>89</v>
      </c>
      <c r="J774">
        <v>1</v>
      </c>
      <c r="K774">
        <v>10600</v>
      </c>
      <c r="L774">
        <v>0</v>
      </c>
      <c r="N774">
        <v>4.7</v>
      </c>
      <c r="Q774" t="s">
        <v>89</v>
      </c>
    </row>
    <row r="775" spans="1:17" x14ac:dyDescent="0.3">
      <c r="A775" t="s">
        <v>1285</v>
      </c>
      <c r="B775" s="2">
        <v>46125</v>
      </c>
      <c r="C775" t="s">
        <v>18</v>
      </c>
      <c r="D775" t="s">
        <v>47</v>
      </c>
      <c r="E775" t="s">
        <v>48</v>
      </c>
      <c r="F775" t="s">
        <v>1286</v>
      </c>
      <c r="G775" t="s">
        <v>44</v>
      </c>
      <c r="H775" t="s">
        <v>23</v>
      </c>
      <c r="I775" t="s">
        <v>24</v>
      </c>
      <c r="J775">
        <v>1</v>
      </c>
      <c r="K775">
        <v>84900</v>
      </c>
      <c r="L775">
        <v>84900</v>
      </c>
      <c r="N775">
        <v>3.2</v>
      </c>
      <c r="Q775" t="s">
        <v>24</v>
      </c>
    </row>
    <row r="776" spans="1:17" x14ac:dyDescent="0.3">
      <c r="A776" t="s">
        <v>1287</v>
      </c>
      <c r="B776" s="2">
        <v>46143</v>
      </c>
      <c r="C776" t="s">
        <v>26</v>
      </c>
      <c r="D776" t="s">
        <v>33</v>
      </c>
      <c r="E776" t="s">
        <v>20</v>
      </c>
      <c r="F776" t="s">
        <v>456</v>
      </c>
      <c r="G776" t="s">
        <v>22</v>
      </c>
      <c r="J776">
        <v>0</v>
      </c>
      <c r="K776">
        <v>0</v>
      </c>
      <c r="L776">
        <v>0</v>
      </c>
      <c r="M776">
        <v>1</v>
      </c>
      <c r="N776">
        <v>7.7</v>
      </c>
      <c r="O776">
        <v>6.8</v>
      </c>
      <c r="P776">
        <v>4.4000000000000004</v>
      </c>
      <c r="Q776" t="s">
        <v>39</v>
      </c>
    </row>
    <row r="777" spans="1:17" x14ac:dyDescent="0.3">
      <c r="A777" t="s">
        <v>1288</v>
      </c>
      <c r="B777" s="2">
        <v>46115</v>
      </c>
      <c r="C777" t="s">
        <v>18</v>
      </c>
      <c r="D777" t="s">
        <v>41</v>
      </c>
      <c r="E777" t="s">
        <v>37</v>
      </c>
      <c r="F777" t="s">
        <v>748</v>
      </c>
      <c r="G777" t="s">
        <v>30</v>
      </c>
      <c r="H777" t="s">
        <v>78</v>
      </c>
      <c r="I777" t="s">
        <v>79</v>
      </c>
      <c r="J777">
        <v>1</v>
      </c>
      <c r="K777">
        <v>17600</v>
      </c>
      <c r="L777">
        <v>0</v>
      </c>
      <c r="N777">
        <v>14.9</v>
      </c>
      <c r="Q777" t="s">
        <v>79</v>
      </c>
    </row>
    <row r="778" spans="1:17" x14ac:dyDescent="0.3">
      <c r="A778" t="s">
        <v>1289</v>
      </c>
      <c r="B778" s="2">
        <v>46015</v>
      </c>
      <c r="C778" t="s">
        <v>18</v>
      </c>
      <c r="D778" t="s">
        <v>52</v>
      </c>
      <c r="E778" t="s">
        <v>20</v>
      </c>
      <c r="F778" t="s">
        <v>1290</v>
      </c>
      <c r="G778" t="s">
        <v>22</v>
      </c>
      <c r="H778" t="s">
        <v>23</v>
      </c>
      <c r="I778" t="s">
        <v>79</v>
      </c>
      <c r="J778">
        <v>1</v>
      </c>
      <c r="K778">
        <v>13700</v>
      </c>
      <c r="L778">
        <v>0</v>
      </c>
      <c r="N778">
        <v>17.399999999999999</v>
      </c>
      <c r="Q778" t="s">
        <v>79</v>
      </c>
    </row>
    <row r="779" spans="1:17" x14ac:dyDescent="0.3">
      <c r="A779" t="s">
        <v>1291</v>
      </c>
      <c r="B779" s="2">
        <v>46118</v>
      </c>
      <c r="C779" t="s">
        <v>26</v>
      </c>
      <c r="D779" t="s">
        <v>36</v>
      </c>
      <c r="E779" t="s">
        <v>48</v>
      </c>
      <c r="F779" t="s">
        <v>182</v>
      </c>
      <c r="G779" t="s">
        <v>22</v>
      </c>
      <c r="J779">
        <v>0</v>
      </c>
      <c r="K779">
        <v>0</v>
      </c>
      <c r="L779">
        <v>0</v>
      </c>
      <c r="M779">
        <v>1</v>
      </c>
      <c r="N779">
        <v>3.1</v>
      </c>
      <c r="O779">
        <v>12.2</v>
      </c>
      <c r="P779">
        <v>4.8</v>
      </c>
      <c r="Q779" t="s">
        <v>39</v>
      </c>
    </row>
    <row r="780" spans="1:17" x14ac:dyDescent="0.3">
      <c r="A780" t="s">
        <v>1292</v>
      </c>
      <c r="B780" s="2">
        <v>45976</v>
      </c>
      <c r="C780" t="s">
        <v>26</v>
      </c>
      <c r="D780" t="s">
        <v>33</v>
      </c>
      <c r="E780" t="s">
        <v>20</v>
      </c>
      <c r="F780" t="s">
        <v>233</v>
      </c>
      <c r="G780" t="s">
        <v>50</v>
      </c>
      <c r="J780">
        <v>0</v>
      </c>
      <c r="K780">
        <v>0</v>
      </c>
      <c r="L780">
        <v>0</v>
      </c>
      <c r="M780">
        <v>1</v>
      </c>
      <c r="N780">
        <v>11.3</v>
      </c>
      <c r="O780">
        <v>11.7</v>
      </c>
      <c r="P780">
        <v>3.8</v>
      </c>
      <c r="Q780" t="s">
        <v>39</v>
      </c>
    </row>
    <row r="781" spans="1:17" x14ac:dyDescent="0.3">
      <c r="A781" t="s">
        <v>1293</v>
      </c>
      <c r="B781" s="2">
        <v>46244</v>
      </c>
      <c r="C781" t="s">
        <v>26</v>
      </c>
      <c r="D781" t="s">
        <v>114</v>
      </c>
      <c r="E781" t="s">
        <v>48</v>
      </c>
      <c r="F781" t="s">
        <v>59</v>
      </c>
      <c r="G781" t="s">
        <v>22</v>
      </c>
      <c r="J781">
        <v>0</v>
      </c>
      <c r="K781">
        <v>0</v>
      </c>
      <c r="L781">
        <v>0</v>
      </c>
      <c r="M781">
        <v>1</v>
      </c>
      <c r="N781">
        <v>5.2</v>
      </c>
      <c r="O781">
        <v>3.9</v>
      </c>
      <c r="P781">
        <v>3.3</v>
      </c>
      <c r="Q781" t="s">
        <v>31</v>
      </c>
    </row>
    <row r="782" spans="1:17" x14ac:dyDescent="0.3">
      <c r="A782" t="s">
        <v>1294</v>
      </c>
      <c r="B782" s="2">
        <v>46121</v>
      </c>
      <c r="C782" t="s">
        <v>26</v>
      </c>
      <c r="D782" t="s">
        <v>27</v>
      </c>
      <c r="E782" t="s">
        <v>37</v>
      </c>
      <c r="F782" t="s">
        <v>1295</v>
      </c>
      <c r="G782" t="s">
        <v>50</v>
      </c>
      <c r="J782">
        <v>0</v>
      </c>
      <c r="K782">
        <v>0</v>
      </c>
      <c r="L782">
        <v>0</v>
      </c>
      <c r="M782">
        <v>1</v>
      </c>
      <c r="N782">
        <v>3.5</v>
      </c>
      <c r="O782">
        <v>3.7</v>
      </c>
      <c r="P782">
        <v>4.5</v>
      </c>
      <c r="Q782" t="s">
        <v>225</v>
      </c>
    </row>
    <row r="783" spans="1:17" x14ac:dyDescent="0.3">
      <c r="A783" t="s">
        <v>1296</v>
      </c>
      <c r="B783" s="2">
        <v>46070</v>
      </c>
      <c r="C783" t="s">
        <v>18</v>
      </c>
      <c r="D783" t="s">
        <v>47</v>
      </c>
      <c r="E783" t="s">
        <v>20</v>
      </c>
      <c r="F783" t="s">
        <v>1297</v>
      </c>
      <c r="G783" t="s">
        <v>30</v>
      </c>
      <c r="H783" t="s">
        <v>78</v>
      </c>
      <c r="I783" t="s">
        <v>89</v>
      </c>
      <c r="J783">
        <v>1</v>
      </c>
      <c r="K783">
        <v>10200</v>
      </c>
      <c r="L783">
        <v>0</v>
      </c>
      <c r="N783">
        <v>12</v>
      </c>
      <c r="Q783" t="s">
        <v>89</v>
      </c>
    </row>
    <row r="784" spans="1:17" x14ac:dyDescent="0.3">
      <c r="A784" t="s">
        <v>1298</v>
      </c>
      <c r="B784" s="2">
        <v>46019</v>
      </c>
      <c r="C784" t="s">
        <v>18</v>
      </c>
      <c r="D784" t="s">
        <v>105</v>
      </c>
      <c r="E784" t="s">
        <v>20</v>
      </c>
      <c r="F784" t="s">
        <v>1201</v>
      </c>
      <c r="G784" t="s">
        <v>22</v>
      </c>
      <c r="H784" t="s">
        <v>78</v>
      </c>
      <c r="I784" t="s">
        <v>45</v>
      </c>
      <c r="J784">
        <v>1</v>
      </c>
      <c r="K784">
        <v>15900</v>
      </c>
      <c r="L784">
        <v>0</v>
      </c>
      <c r="N784">
        <v>18.899999999999999</v>
      </c>
      <c r="Q784" t="s">
        <v>45</v>
      </c>
    </row>
    <row r="785" spans="1:17" x14ac:dyDescent="0.3">
      <c r="A785" t="s">
        <v>1299</v>
      </c>
      <c r="B785" s="2">
        <v>46049</v>
      </c>
      <c r="C785" t="s">
        <v>18</v>
      </c>
      <c r="D785" t="s">
        <v>117</v>
      </c>
      <c r="E785" t="s">
        <v>37</v>
      </c>
      <c r="F785" t="s">
        <v>1300</v>
      </c>
      <c r="G785" t="s">
        <v>30</v>
      </c>
      <c r="H785" t="s">
        <v>78</v>
      </c>
      <c r="I785" t="s">
        <v>67</v>
      </c>
      <c r="J785">
        <v>1</v>
      </c>
      <c r="K785">
        <v>17500</v>
      </c>
      <c r="L785">
        <v>0</v>
      </c>
      <c r="N785">
        <v>7.2</v>
      </c>
      <c r="Q785" t="s">
        <v>67</v>
      </c>
    </row>
    <row r="786" spans="1:17" x14ac:dyDescent="0.3">
      <c r="A786" t="s">
        <v>1301</v>
      </c>
      <c r="B786" s="2">
        <v>45953</v>
      </c>
      <c r="C786" t="s">
        <v>18</v>
      </c>
      <c r="D786" t="s">
        <v>41</v>
      </c>
      <c r="E786" t="s">
        <v>20</v>
      </c>
      <c r="F786" t="s">
        <v>1302</v>
      </c>
      <c r="G786" t="s">
        <v>44</v>
      </c>
      <c r="H786" t="s">
        <v>54</v>
      </c>
      <c r="I786" t="s">
        <v>24</v>
      </c>
      <c r="J786">
        <v>1</v>
      </c>
      <c r="K786">
        <v>17200</v>
      </c>
      <c r="L786">
        <v>17200</v>
      </c>
      <c r="N786">
        <v>16</v>
      </c>
      <c r="Q786" t="s">
        <v>24</v>
      </c>
    </row>
    <row r="787" spans="1:17" x14ac:dyDescent="0.3">
      <c r="A787" t="s">
        <v>1303</v>
      </c>
      <c r="B787" s="2">
        <v>45907</v>
      </c>
      <c r="C787" t="s">
        <v>26</v>
      </c>
      <c r="D787" t="s">
        <v>72</v>
      </c>
      <c r="E787" t="s">
        <v>20</v>
      </c>
      <c r="F787" t="s">
        <v>1304</v>
      </c>
      <c r="G787" t="s">
        <v>30</v>
      </c>
      <c r="J787">
        <v>0</v>
      </c>
      <c r="K787">
        <v>0</v>
      </c>
      <c r="L787">
        <v>0</v>
      </c>
      <c r="M787">
        <v>1</v>
      </c>
      <c r="N787">
        <v>4.7</v>
      </c>
      <c r="O787">
        <v>4.7</v>
      </c>
      <c r="P787">
        <v>4.3</v>
      </c>
      <c r="Q787" t="s">
        <v>39</v>
      </c>
    </row>
    <row r="788" spans="1:17" x14ac:dyDescent="0.3">
      <c r="A788" t="s">
        <v>1305</v>
      </c>
      <c r="B788" s="2">
        <v>45914</v>
      </c>
      <c r="C788" t="s">
        <v>26</v>
      </c>
      <c r="D788" t="s">
        <v>72</v>
      </c>
      <c r="E788" t="s">
        <v>42</v>
      </c>
      <c r="F788" t="s">
        <v>783</v>
      </c>
      <c r="G788" t="s">
        <v>30</v>
      </c>
      <c r="J788">
        <v>0</v>
      </c>
      <c r="K788">
        <v>0</v>
      </c>
      <c r="L788">
        <v>0</v>
      </c>
      <c r="M788">
        <v>1</v>
      </c>
      <c r="N788">
        <v>3.5</v>
      </c>
      <c r="O788">
        <v>3.4</v>
      </c>
      <c r="P788">
        <v>4.7</v>
      </c>
      <c r="Q788" t="s">
        <v>39</v>
      </c>
    </row>
    <row r="789" spans="1:17" x14ac:dyDescent="0.3">
      <c r="A789" t="s">
        <v>1306</v>
      </c>
      <c r="B789" s="2">
        <v>46081</v>
      </c>
      <c r="C789" t="s">
        <v>18</v>
      </c>
      <c r="D789" t="s">
        <v>105</v>
      </c>
      <c r="E789" t="s">
        <v>37</v>
      </c>
      <c r="F789" t="s">
        <v>1307</v>
      </c>
      <c r="G789" t="s">
        <v>30</v>
      </c>
      <c r="H789" t="s">
        <v>23</v>
      </c>
      <c r="I789" t="s">
        <v>45</v>
      </c>
      <c r="J789">
        <v>1</v>
      </c>
      <c r="K789">
        <v>8500</v>
      </c>
      <c r="L789">
        <v>0</v>
      </c>
      <c r="N789">
        <v>5.2</v>
      </c>
      <c r="Q789" t="s">
        <v>45</v>
      </c>
    </row>
    <row r="790" spans="1:17" x14ac:dyDescent="0.3">
      <c r="A790" t="s">
        <v>1308</v>
      </c>
      <c r="B790" s="2">
        <v>46095</v>
      </c>
      <c r="C790" t="s">
        <v>18</v>
      </c>
      <c r="D790" t="s">
        <v>117</v>
      </c>
      <c r="E790" t="s">
        <v>42</v>
      </c>
      <c r="F790" t="s">
        <v>1309</v>
      </c>
      <c r="G790" t="s">
        <v>22</v>
      </c>
      <c r="H790" t="s">
        <v>23</v>
      </c>
      <c r="I790" t="s">
        <v>55</v>
      </c>
      <c r="J790">
        <v>1</v>
      </c>
      <c r="K790">
        <v>18700</v>
      </c>
      <c r="L790">
        <v>0</v>
      </c>
      <c r="N790">
        <v>6.8</v>
      </c>
      <c r="Q790" t="s">
        <v>55</v>
      </c>
    </row>
    <row r="791" spans="1:17" x14ac:dyDescent="0.3">
      <c r="A791" t="s">
        <v>1310</v>
      </c>
      <c r="B791" s="2">
        <v>45983</v>
      </c>
      <c r="C791" t="s">
        <v>26</v>
      </c>
      <c r="D791" t="s">
        <v>33</v>
      </c>
      <c r="E791" t="s">
        <v>20</v>
      </c>
      <c r="F791" t="s">
        <v>1311</v>
      </c>
      <c r="G791" t="s">
        <v>22</v>
      </c>
      <c r="J791">
        <v>0</v>
      </c>
      <c r="K791">
        <v>0</v>
      </c>
      <c r="L791">
        <v>0</v>
      </c>
      <c r="M791">
        <v>1</v>
      </c>
      <c r="N791">
        <v>9.6999999999999993</v>
      </c>
      <c r="O791">
        <v>5.4</v>
      </c>
      <c r="P791">
        <v>4.4000000000000004</v>
      </c>
      <c r="Q791" t="s">
        <v>31</v>
      </c>
    </row>
    <row r="792" spans="1:17" x14ac:dyDescent="0.3">
      <c r="A792" t="s">
        <v>1312</v>
      </c>
      <c r="B792" s="2">
        <v>45915</v>
      </c>
      <c r="C792" t="s">
        <v>18</v>
      </c>
      <c r="D792" t="s">
        <v>64</v>
      </c>
      <c r="E792" t="s">
        <v>37</v>
      </c>
      <c r="F792" t="s">
        <v>1141</v>
      </c>
      <c r="G792" t="s">
        <v>30</v>
      </c>
      <c r="H792" t="s">
        <v>86</v>
      </c>
      <c r="I792" t="s">
        <v>24</v>
      </c>
      <c r="J792">
        <v>1</v>
      </c>
      <c r="K792">
        <v>19200</v>
      </c>
      <c r="L792">
        <v>19200</v>
      </c>
      <c r="N792">
        <v>10</v>
      </c>
      <c r="Q792" t="s">
        <v>24</v>
      </c>
    </row>
    <row r="793" spans="1:17" x14ac:dyDescent="0.3">
      <c r="A793" t="s">
        <v>1313</v>
      </c>
      <c r="B793" s="2">
        <v>46182</v>
      </c>
      <c r="C793" t="s">
        <v>26</v>
      </c>
      <c r="D793" t="s">
        <v>232</v>
      </c>
      <c r="E793" t="s">
        <v>48</v>
      </c>
      <c r="F793" t="s">
        <v>499</v>
      </c>
      <c r="G793" t="s">
        <v>50</v>
      </c>
      <c r="J793">
        <v>0</v>
      </c>
      <c r="K793">
        <v>0</v>
      </c>
      <c r="L793">
        <v>0</v>
      </c>
      <c r="M793">
        <v>1</v>
      </c>
      <c r="N793">
        <v>5.9</v>
      </c>
      <c r="O793">
        <v>4.7</v>
      </c>
      <c r="P793">
        <v>3.7</v>
      </c>
      <c r="Q793" t="s">
        <v>39</v>
      </c>
    </row>
    <row r="794" spans="1:17" x14ac:dyDescent="0.3">
      <c r="A794" t="s">
        <v>1314</v>
      </c>
      <c r="B794" s="2">
        <v>46230</v>
      </c>
      <c r="C794" t="s">
        <v>18</v>
      </c>
      <c r="D794" t="s">
        <v>105</v>
      </c>
      <c r="E794" t="s">
        <v>28</v>
      </c>
      <c r="F794" t="s">
        <v>759</v>
      </c>
      <c r="G794" t="s">
        <v>50</v>
      </c>
      <c r="H794" t="s">
        <v>66</v>
      </c>
      <c r="I794" t="s">
        <v>55</v>
      </c>
      <c r="J794">
        <v>1</v>
      </c>
      <c r="K794">
        <v>25800</v>
      </c>
      <c r="L794">
        <v>0</v>
      </c>
      <c r="N794">
        <v>6</v>
      </c>
      <c r="Q794" t="s">
        <v>55</v>
      </c>
    </row>
    <row r="795" spans="1:17" x14ac:dyDescent="0.3">
      <c r="A795" t="s">
        <v>1315</v>
      </c>
      <c r="B795" s="2">
        <v>45972</v>
      </c>
      <c r="C795" t="s">
        <v>26</v>
      </c>
      <c r="D795" t="s">
        <v>69</v>
      </c>
      <c r="E795" t="s">
        <v>42</v>
      </c>
      <c r="F795" t="s">
        <v>1316</v>
      </c>
      <c r="G795" t="s">
        <v>30</v>
      </c>
      <c r="J795">
        <v>0</v>
      </c>
      <c r="K795">
        <v>0</v>
      </c>
      <c r="L795">
        <v>0</v>
      </c>
      <c r="M795">
        <v>1</v>
      </c>
      <c r="N795">
        <v>7.8</v>
      </c>
      <c r="O795">
        <v>7.6</v>
      </c>
      <c r="P795">
        <v>4.3</v>
      </c>
      <c r="Q795" t="s">
        <v>62</v>
      </c>
    </row>
    <row r="796" spans="1:17" x14ac:dyDescent="0.3">
      <c r="A796" t="s">
        <v>1317</v>
      </c>
      <c r="B796" s="2">
        <v>45960</v>
      </c>
      <c r="C796" t="s">
        <v>18</v>
      </c>
      <c r="D796" t="s">
        <v>95</v>
      </c>
      <c r="E796" t="s">
        <v>48</v>
      </c>
      <c r="F796" t="s">
        <v>609</v>
      </c>
      <c r="G796" t="s">
        <v>30</v>
      </c>
      <c r="H796" t="s">
        <v>23</v>
      </c>
      <c r="I796" t="s">
        <v>45</v>
      </c>
      <c r="J796">
        <v>1</v>
      </c>
      <c r="K796">
        <v>29700</v>
      </c>
      <c r="L796">
        <v>0</v>
      </c>
      <c r="N796">
        <v>13.2</v>
      </c>
      <c r="Q796" t="s">
        <v>45</v>
      </c>
    </row>
    <row r="797" spans="1:17" x14ac:dyDescent="0.3">
      <c r="A797" t="s">
        <v>1318</v>
      </c>
      <c r="B797" s="2">
        <v>46137</v>
      </c>
      <c r="C797" t="s">
        <v>26</v>
      </c>
      <c r="D797" t="s">
        <v>33</v>
      </c>
      <c r="E797" t="s">
        <v>20</v>
      </c>
      <c r="F797" t="s">
        <v>29</v>
      </c>
      <c r="G797" t="s">
        <v>44</v>
      </c>
      <c r="J797">
        <v>0</v>
      </c>
      <c r="K797">
        <v>0</v>
      </c>
      <c r="L797">
        <v>0</v>
      </c>
      <c r="M797">
        <v>1</v>
      </c>
      <c r="N797">
        <v>5.5</v>
      </c>
      <c r="O797">
        <v>20.100000000000001</v>
      </c>
      <c r="P797">
        <v>3.9</v>
      </c>
      <c r="Q797" t="s">
        <v>31</v>
      </c>
    </row>
    <row r="798" spans="1:17" x14ac:dyDescent="0.3">
      <c r="A798" t="s">
        <v>1319</v>
      </c>
      <c r="B798" s="2">
        <v>46233</v>
      </c>
      <c r="C798" t="s">
        <v>26</v>
      </c>
      <c r="D798" t="s">
        <v>36</v>
      </c>
      <c r="E798" t="s">
        <v>20</v>
      </c>
      <c r="F798" t="s">
        <v>445</v>
      </c>
      <c r="G798" t="s">
        <v>30</v>
      </c>
      <c r="J798">
        <v>0</v>
      </c>
      <c r="K798">
        <v>0</v>
      </c>
      <c r="L798">
        <v>0</v>
      </c>
      <c r="M798">
        <v>1</v>
      </c>
      <c r="N798">
        <v>6</v>
      </c>
      <c r="O798">
        <v>10</v>
      </c>
      <c r="P798">
        <v>5</v>
      </c>
      <c r="Q798" t="s">
        <v>62</v>
      </c>
    </row>
    <row r="799" spans="1:17" x14ac:dyDescent="0.3">
      <c r="A799" t="s">
        <v>1320</v>
      </c>
      <c r="B799" s="2">
        <v>46150</v>
      </c>
      <c r="C799" t="s">
        <v>26</v>
      </c>
      <c r="D799" t="s">
        <v>27</v>
      </c>
      <c r="E799" t="s">
        <v>20</v>
      </c>
      <c r="F799" t="s">
        <v>1321</v>
      </c>
      <c r="G799" t="s">
        <v>30</v>
      </c>
      <c r="J799">
        <v>0</v>
      </c>
      <c r="K799">
        <v>0</v>
      </c>
      <c r="L799">
        <v>0</v>
      </c>
      <c r="M799">
        <v>1</v>
      </c>
      <c r="N799">
        <v>2.8</v>
      </c>
      <c r="O799">
        <v>2.2999999999999998</v>
      </c>
      <c r="P799">
        <v>3.9</v>
      </c>
      <c r="Q799" t="s">
        <v>39</v>
      </c>
    </row>
    <row r="800" spans="1:17" x14ac:dyDescent="0.3">
      <c r="A800" t="s">
        <v>1322</v>
      </c>
      <c r="B800" s="2">
        <v>46044</v>
      </c>
      <c r="C800" t="s">
        <v>26</v>
      </c>
      <c r="D800" t="s">
        <v>69</v>
      </c>
      <c r="E800" t="s">
        <v>42</v>
      </c>
      <c r="F800" t="s">
        <v>1323</v>
      </c>
      <c r="G800" t="s">
        <v>30</v>
      </c>
      <c r="J800">
        <v>0</v>
      </c>
      <c r="K800">
        <v>0</v>
      </c>
      <c r="L800">
        <v>0</v>
      </c>
      <c r="M800">
        <v>1</v>
      </c>
      <c r="N800">
        <v>0.5</v>
      </c>
      <c r="O800">
        <v>51.2</v>
      </c>
      <c r="P800">
        <v>5</v>
      </c>
      <c r="Q800" t="s">
        <v>62</v>
      </c>
    </row>
    <row r="801" spans="1:17" x14ac:dyDescent="0.3">
      <c r="A801" t="s">
        <v>1324</v>
      </c>
      <c r="B801" s="2">
        <v>46066</v>
      </c>
      <c r="C801" t="s">
        <v>26</v>
      </c>
      <c r="D801" t="s">
        <v>72</v>
      </c>
      <c r="E801" t="s">
        <v>20</v>
      </c>
      <c r="F801" t="s">
        <v>158</v>
      </c>
      <c r="G801" t="s">
        <v>22</v>
      </c>
      <c r="J801">
        <v>0</v>
      </c>
      <c r="K801">
        <v>0</v>
      </c>
      <c r="L801">
        <v>0</v>
      </c>
      <c r="M801">
        <v>1</v>
      </c>
      <c r="N801">
        <v>0.9</v>
      </c>
      <c r="O801">
        <v>7.7</v>
      </c>
      <c r="P801">
        <v>4</v>
      </c>
      <c r="Q801" t="s">
        <v>62</v>
      </c>
    </row>
    <row r="802" spans="1:17" x14ac:dyDescent="0.3">
      <c r="A802" t="s">
        <v>1325</v>
      </c>
      <c r="B802" s="2">
        <v>45967</v>
      </c>
      <c r="C802" t="s">
        <v>26</v>
      </c>
      <c r="D802" t="s">
        <v>232</v>
      </c>
      <c r="E802" t="s">
        <v>20</v>
      </c>
      <c r="F802" t="s">
        <v>1326</v>
      </c>
      <c r="G802" t="s">
        <v>30</v>
      </c>
      <c r="J802">
        <v>0</v>
      </c>
      <c r="K802">
        <v>0</v>
      </c>
      <c r="L802">
        <v>0</v>
      </c>
      <c r="M802">
        <v>1</v>
      </c>
      <c r="N802">
        <v>1.9</v>
      </c>
      <c r="O802">
        <v>12.7</v>
      </c>
      <c r="P802">
        <v>3</v>
      </c>
      <c r="Q802" t="s">
        <v>31</v>
      </c>
    </row>
    <row r="803" spans="1:17" x14ac:dyDescent="0.3">
      <c r="A803" t="s">
        <v>1327</v>
      </c>
      <c r="B803" s="2">
        <v>45943</v>
      </c>
      <c r="C803" t="s">
        <v>18</v>
      </c>
      <c r="D803" t="s">
        <v>19</v>
      </c>
      <c r="E803" t="s">
        <v>20</v>
      </c>
      <c r="F803" t="s">
        <v>978</v>
      </c>
      <c r="G803" t="s">
        <v>30</v>
      </c>
      <c r="H803" t="s">
        <v>54</v>
      </c>
      <c r="I803" t="s">
        <v>24</v>
      </c>
      <c r="J803">
        <v>1</v>
      </c>
      <c r="K803">
        <v>18900</v>
      </c>
      <c r="L803">
        <v>18900</v>
      </c>
      <c r="N803">
        <v>7.8</v>
      </c>
      <c r="Q803" t="s">
        <v>24</v>
      </c>
    </row>
    <row r="804" spans="1:17" x14ac:dyDescent="0.3">
      <c r="A804" t="s">
        <v>1328</v>
      </c>
      <c r="B804" s="2">
        <v>45939</v>
      </c>
      <c r="C804" t="s">
        <v>26</v>
      </c>
      <c r="D804" t="s">
        <v>232</v>
      </c>
      <c r="E804" t="s">
        <v>20</v>
      </c>
      <c r="F804" t="s">
        <v>1290</v>
      </c>
      <c r="G804" t="s">
        <v>44</v>
      </c>
      <c r="J804">
        <v>0</v>
      </c>
      <c r="K804">
        <v>0</v>
      </c>
      <c r="L804">
        <v>0</v>
      </c>
      <c r="M804">
        <v>1</v>
      </c>
      <c r="N804">
        <v>3.2</v>
      </c>
      <c r="O804">
        <v>6.1</v>
      </c>
      <c r="P804">
        <v>4.0999999999999996</v>
      </c>
      <c r="Q804" t="s">
        <v>62</v>
      </c>
    </row>
    <row r="805" spans="1:17" x14ac:dyDescent="0.3">
      <c r="A805" t="s">
        <v>1329</v>
      </c>
      <c r="B805" s="2">
        <v>45967</v>
      </c>
      <c r="C805" t="s">
        <v>26</v>
      </c>
      <c r="D805" t="s">
        <v>69</v>
      </c>
      <c r="E805" t="s">
        <v>20</v>
      </c>
      <c r="F805" t="s">
        <v>1330</v>
      </c>
      <c r="G805" t="s">
        <v>30</v>
      </c>
      <c r="J805">
        <v>0</v>
      </c>
      <c r="K805">
        <v>0</v>
      </c>
      <c r="L805">
        <v>0</v>
      </c>
      <c r="M805">
        <v>1</v>
      </c>
      <c r="N805">
        <v>4.3</v>
      </c>
      <c r="O805">
        <v>10.7</v>
      </c>
      <c r="P805">
        <v>5</v>
      </c>
      <c r="Q805" t="s">
        <v>62</v>
      </c>
    </row>
    <row r="806" spans="1:17" x14ac:dyDescent="0.3">
      <c r="A806" t="s">
        <v>1331</v>
      </c>
      <c r="B806" s="2">
        <v>46008</v>
      </c>
      <c r="C806" t="s">
        <v>18</v>
      </c>
      <c r="D806" t="s">
        <v>47</v>
      </c>
      <c r="E806" t="s">
        <v>48</v>
      </c>
      <c r="F806" t="s">
        <v>1332</v>
      </c>
      <c r="G806" t="s">
        <v>22</v>
      </c>
      <c r="H806" t="s">
        <v>78</v>
      </c>
      <c r="I806" t="s">
        <v>24</v>
      </c>
      <c r="J806">
        <v>1</v>
      </c>
      <c r="K806">
        <v>13900</v>
      </c>
      <c r="L806">
        <v>13900</v>
      </c>
      <c r="N806">
        <v>16.100000000000001</v>
      </c>
      <c r="Q806" t="s">
        <v>24</v>
      </c>
    </row>
    <row r="807" spans="1:17" x14ac:dyDescent="0.3">
      <c r="A807" t="s">
        <v>1333</v>
      </c>
      <c r="B807" s="2">
        <v>46017</v>
      </c>
      <c r="C807" t="s">
        <v>26</v>
      </c>
      <c r="D807" t="s">
        <v>27</v>
      </c>
      <c r="E807" t="s">
        <v>37</v>
      </c>
      <c r="F807" t="s">
        <v>1334</v>
      </c>
      <c r="G807" t="s">
        <v>44</v>
      </c>
      <c r="J807">
        <v>0</v>
      </c>
      <c r="K807">
        <v>0</v>
      </c>
      <c r="L807">
        <v>0</v>
      </c>
      <c r="M807">
        <v>1</v>
      </c>
      <c r="N807">
        <v>10.6</v>
      </c>
      <c r="O807">
        <v>2</v>
      </c>
      <c r="P807">
        <v>4.8</v>
      </c>
      <c r="Q807" t="s">
        <v>31</v>
      </c>
    </row>
    <row r="808" spans="1:17" x14ac:dyDescent="0.3">
      <c r="A808" t="s">
        <v>1335</v>
      </c>
      <c r="B808" s="2">
        <v>46187</v>
      </c>
      <c r="C808" t="s">
        <v>26</v>
      </c>
      <c r="D808" t="s">
        <v>27</v>
      </c>
      <c r="E808" t="s">
        <v>37</v>
      </c>
      <c r="F808" t="s">
        <v>1336</v>
      </c>
      <c r="G808" t="s">
        <v>44</v>
      </c>
      <c r="J808">
        <v>0</v>
      </c>
      <c r="K808">
        <v>0</v>
      </c>
      <c r="L808">
        <v>0</v>
      </c>
      <c r="M808">
        <v>1</v>
      </c>
      <c r="N808">
        <v>7.5</v>
      </c>
      <c r="O808">
        <v>3.6</v>
      </c>
      <c r="P808">
        <v>4.0999999999999996</v>
      </c>
      <c r="Q808" t="s">
        <v>225</v>
      </c>
    </row>
    <row r="809" spans="1:17" x14ac:dyDescent="0.3">
      <c r="A809" t="s">
        <v>1337</v>
      </c>
      <c r="B809" s="2">
        <v>45913</v>
      </c>
      <c r="C809" t="s">
        <v>26</v>
      </c>
      <c r="D809" t="s">
        <v>33</v>
      </c>
      <c r="E809" t="s">
        <v>20</v>
      </c>
      <c r="F809" t="s">
        <v>366</v>
      </c>
      <c r="G809" t="s">
        <v>30</v>
      </c>
      <c r="J809">
        <v>0</v>
      </c>
      <c r="K809">
        <v>0</v>
      </c>
      <c r="L809">
        <v>0</v>
      </c>
      <c r="M809">
        <v>1</v>
      </c>
      <c r="N809">
        <v>11.7</v>
      </c>
      <c r="O809">
        <v>6.7</v>
      </c>
      <c r="P809">
        <v>4.5999999999999996</v>
      </c>
      <c r="Q809" t="s">
        <v>39</v>
      </c>
    </row>
    <row r="810" spans="1:17" x14ac:dyDescent="0.3">
      <c r="A810" t="s">
        <v>1338</v>
      </c>
      <c r="B810" s="2">
        <v>45943</v>
      </c>
      <c r="C810" t="s">
        <v>18</v>
      </c>
      <c r="D810" t="s">
        <v>95</v>
      </c>
      <c r="E810" t="s">
        <v>20</v>
      </c>
      <c r="F810" t="s">
        <v>923</v>
      </c>
      <c r="G810" t="s">
        <v>22</v>
      </c>
      <c r="H810" t="s">
        <v>23</v>
      </c>
      <c r="I810" t="s">
        <v>89</v>
      </c>
      <c r="J810">
        <v>1</v>
      </c>
      <c r="K810">
        <v>5700</v>
      </c>
      <c r="L810">
        <v>0</v>
      </c>
      <c r="N810">
        <v>17.8</v>
      </c>
      <c r="Q810" t="s">
        <v>89</v>
      </c>
    </row>
    <row r="811" spans="1:17" x14ac:dyDescent="0.3">
      <c r="A811" t="s">
        <v>1339</v>
      </c>
      <c r="B811" s="2">
        <v>46220</v>
      </c>
      <c r="C811" t="s">
        <v>18</v>
      </c>
      <c r="D811" t="s">
        <v>64</v>
      </c>
      <c r="E811" t="s">
        <v>48</v>
      </c>
      <c r="F811" t="s">
        <v>340</v>
      </c>
      <c r="G811" t="s">
        <v>44</v>
      </c>
      <c r="H811" t="s">
        <v>66</v>
      </c>
      <c r="I811" t="s">
        <v>24</v>
      </c>
      <c r="J811">
        <v>1</v>
      </c>
      <c r="K811">
        <v>34500</v>
      </c>
      <c r="L811">
        <v>34500</v>
      </c>
      <c r="N811">
        <v>20.100000000000001</v>
      </c>
      <c r="Q811" t="s">
        <v>24</v>
      </c>
    </row>
    <row r="812" spans="1:17" x14ac:dyDescent="0.3">
      <c r="A812" t="s">
        <v>1340</v>
      </c>
      <c r="B812" s="2">
        <v>45954</v>
      </c>
      <c r="C812" t="s">
        <v>26</v>
      </c>
      <c r="D812" t="s">
        <v>126</v>
      </c>
      <c r="E812" t="s">
        <v>28</v>
      </c>
      <c r="F812" t="s">
        <v>1186</v>
      </c>
      <c r="G812" t="s">
        <v>22</v>
      </c>
      <c r="J812">
        <v>0</v>
      </c>
      <c r="K812">
        <v>0</v>
      </c>
      <c r="L812">
        <v>0</v>
      </c>
      <c r="M812">
        <v>1</v>
      </c>
      <c r="N812">
        <v>2.6</v>
      </c>
      <c r="O812">
        <v>5.7</v>
      </c>
      <c r="P812">
        <v>3.6</v>
      </c>
      <c r="Q812" t="s">
        <v>225</v>
      </c>
    </row>
    <row r="813" spans="1:17" x14ac:dyDescent="0.3">
      <c r="A813" t="s">
        <v>1341</v>
      </c>
      <c r="B813" s="2">
        <v>46248</v>
      </c>
      <c r="C813" t="s">
        <v>26</v>
      </c>
      <c r="D813" t="s">
        <v>126</v>
      </c>
      <c r="E813" t="s">
        <v>20</v>
      </c>
      <c r="F813" t="s">
        <v>1342</v>
      </c>
      <c r="G813" t="s">
        <v>22</v>
      </c>
      <c r="J813">
        <v>0</v>
      </c>
      <c r="K813">
        <v>0</v>
      </c>
      <c r="L813">
        <v>0</v>
      </c>
      <c r="M813">
        <v>1</v>
      </c>
      <c r="N813">
        <v>0.4</v>
      </c>
      <c r="O813">
        <v>8.8000000000000007</v>
      </c>
      <c r="P813">
        <v>4.0999999999999996</v>
      </c>
      <c r="Q813" t="s">
        <v>31</v>
      </c>
    </row>
    <row r="814" spans="1:17" x14ac:dyDescent="0.3">
      <c r="A814" t="s">
        <v>1343</v>
      </c>
      <c r="B814" s="2">
        <v>45959</v>
      </c>
      <c r="C814" t="s">
        <v>18</v>
      </c>
      <c r="D814" t="s">
        <v>47</v>
      </c>
      <c r="E814" t="s">
        <v>48</v>
      </c>
      <c r="F814" t="s">
        <v>857</v>
      </c>
      <c r="G814" t="s">
        <v>22</v>
      </c>
      <c r="H814" t="s">
        <v>66</v>
      </c>
      <c r="I814" t="s">
        <v>79</v>
      </c>
      <c r="J814">
        <v>1</v>
      </c>
      <c r="K814">
        <v>6200</v>
      </c>
      <c r="L814">
        <v>0</v>
      </c>
      <c r="N814">
        <v>5.9</v>
      </c>
      <c r="Q814" t="s">
        <v>79</v>
      </c>
    </row>
    <row r="815" spans="1:17" x14ac:dyDescent="0.3">
      <c r="A815" t="s">
        <v>1344</v>
      </c>
      <c r="B815" s="2">
        <v>46132</v>
      </c>
      <c r="C815" t="s">
        <v>26</v>
      </c>
      <c r="D815" t="s">
        <v>232</v>
      </c>
      <c r="E815" t="s">
        <v>28</v>
      </c>
      <c r="F815" t="s">
        <v>696</v>
      </c>
      <c r="G815" t="s">
        <v>44</v>
      </c>
      <c r="J815">
        <v>0</v>
      </c>
      <c r="K815">
        <v>0</v>
      </c>
      <c r="L815">
        <v>0</v>
      </c>
      <c r="M815">
        <v>1</v>
      </c>
      <c r="N815">
        <v>3.9</v>
      </c>
      <c r="O815">
        <v>3.4</v>
      </c>
      <c r="P815">
        <v>3.9</v>
      </c>
      <c r="Q815" t="s">
        <v>39</v>
      </c>
    </row>
    <row r="816" spans="1:17" x14ac:dyDescent="0.3">
      <c r="A816" t="s">
        <v>1345</v>
      </c>
      <c r="B816" s="2">
        <v>46179</v>
      </c>
      <c r="C816" t="s">
        <v>26</v>
      </c>
      <c r="D816" t="s">
        <v>72</v>
      </c>
      <c r="E816" t="s">
        <v>48</v>
      </c>
      <c r="F816" t="s">
        <v>467</v>
      </c>
      <c r="G816" t="s">
        <v>22</v>
      </c>
      <c r="J816">
        <v>0</v>
      </c>
      <c r="K816">
        <v>0</v>
      </c>
      <c r="L816">
        <v>0</v>
      </c>
      <c r="M816">
        <v>1</v>
      </c>
      <c r="N816">
        <v>8.1</v>
      </c>
      <c r="O816">
        <v>4.5999999999999996</v>
      </c>
      <c r="P816">
        <v>4.4000000000000004</v>
      </c>
      <c r="Q816" t="s">
        <v>39</v>
      </c>
    </row>
    <row r="817" spans="1:17" x14ac:dyDescent="0.3">
      <c r="A817" t="s">
        <v>1346</v>
      </c>
      <c r="B817" s="2">
        <v>46012</v>
      </c>
      <c r="C817" t="s">
        <v>18</v>
      </c>
      <c r="D817" t="s">
        <v>105</v>
      </c>
      <c r="E817" t="s">
        <v>20</v>
      </c>
      <c r="F817" t="s">
        <v>579</v>
      </c>
      <c r="G817" t="s">
        <v>22</v>
      </c>
      <c r="H817" t="s">
        <v>78</v>
      </c>
      <c r="I817" t="s">
        <v>24</v>
      </c>
      <c r="J817">
        <v>1</v>
      </c>
      <c r="K817">
        <v>5000</v>
      </c>
      <c r="L817">
        <v>5000</v>
      </c>
      <c r="N817">
        <v>4</v>
      </c>
      <c r="Q817" t="s">
        <v>24</v>
      </c>
    </row>
    <row r="818" spans="1:17" x14ac:dyDescent="0.3">
      <c r="A818" t="s">
        <v>1347</v>
      </c>
      <c r="B818" s="2">
        <v>46010</v>
      </c>
      <c r="C818" t="s">
        <v>26</v>
      </c>
      <c r="D818" t="s">
        <v>126</v>
      </c>
      <c r="E818" t="s">
        <v>28</v>
      </c>
      <c r="F818" t="s">
        <v>870</v>
      </c>
      <c r="G818" t="s">
        <v>22</v>
      </c>
      <c r="J818">
        <v>0</v>
      </c>
      <c r="K818">
        <v>0</v>
      </c>
      <c r="L818">
        <v>0</v>
      </c>
      <c r="M818">
        <v>1</v>
      </c>
      <c r="N818">
        <v>6.3</v>
      </c>
      <c r="O818">
        <v>9.9</v>
      </c>
      <c r="P818">
        <v>4</v>
      </c>
      <c r="Q818" t="s">
        <v>62</v>
      </c>
    </row>
    <row r="819" spans="1:17" x14ac:dyDescent="0.3">
      <c r="A819" t="s">
        <v>1348</v>
      </c>
      <c r="B819" s="2">
        <v>45971</v>
      </c>
      <c r="C819" t="s">
        <v>18</v>
      </c>
      <c r="D819" t="s">
        <v>95</v>
      </c>
      <c r="E819" t="s">
        <v>28</v>
      </c>
      <c r="F819" t="s">
        <v>1349</v>
      </c>
      <c r="G819" t="s">
        <v>44</v>
      </c>
      <c r="H819" t="s">
        <v>54</v>
      </c>
      <c r="I819" t="s">
        <v>67</v>
      </c>
      <c r="J819">
        <v>1</v>
      </c>
      <c r="K819">
        <v>11000</v>
      </c>
      <c r="L819">
        <v>0</v>
      </c>
      <c r="N819">
        <v>8.9</v>
      </c>
      <c r="Q819" t="s">
        <v>67</v>
      </c>
    </row>
    <row r="820" spans="1:17" x14ac:dyDescent="0.3">
      <c r="A820" t="s">
        <v>1350</v>
      </c>
      <c r="B820" s="2">
        <v>46060</v>
      </c>
      <c r="C820" t="s">
        <v>18</v>
      </c>
      <c r="D820" t="s">
        <v>117</v>
      </c>
      <c r="E820" t="s">
        <v>20</v>
      </c>
      <c r="F820" t="s">
        <v>1351</v>
      </c>
      <c r="G820" t="s">
        <v>22</v>
      </c>
      <c r="H820" t="s">
        <v>54</v>
      </c>
      <c r="I820" t="s">
        <v>79</v>
      </c>
      <c r="J820">
        <v>1</v>
      </c>
      <c r="K820">
        <v>12600</v>
      </c>
      <c r="L820">
        <v>0</v>
      </c>
      <c r="N820">
        <v>10.3</v>
      </c>
      <c r="Q820" t="s">
        <v>79</v>
      </c>
    </row>
    <row r="821" spans="1:17" x14ac:dyDescent="0.3">
      <c r="A821" t="s">
        <v>1352</v>
      </c>
      <c r="B821" s="2">
        <v>46188</v>
      </c>
      <c r="C821" t="s">
        <v>18</v>
      </c>
      <c r="D821" t="s">
        <v>47</v>
      </c>
      <c r="E821" t="s">
        <v>20</v>
      </c>
      <c r="F821" t="s">
        <v>889</v>
      </c>
      <c r="G821" t="s">
        <v>22</v>
      </c>
      <c r="H821" t="s">
        <v>23</v>
      </c>
      <c r="I821" t="s">
        <v>45</v>
      </c>
      <c r="J821">
        <v>1</v>
      </c>
      <c r="K821">
        <v>30100</v>
      </c>
      <c r="L821">
        <v>0</v>
      </c>
      <c r="N821">
        <v>17.399999999999999</v>
      </c>
      <c r="Q821" t="s">
        <v>45</v>
      </c>
    </row>
    <row r="822" spans="1:17" x14ac:dyDescent="0.3">
      <c r="A822" t="s">
        <v>1353</v>
      </c>
      <c r="B822" s="2">
        <v>46218</v>
      </c>
      <c r="C822" t="s">
        <v>26</v>
      </c>
      <c r="D822" t="s">
        <v>72</v>
      </c>
      <c r="E822" t="s">
        <v>28</v>
      </c>
      <c r="F822" t="s">
        <v>1354</v>
      </c>
      <c r="G822" t="s">
        <v>22</v>
      </c>
      <c r="J822">
        <v>0</v>
      </c>
      <c r="K822">
        <v>0</v>
      </c>
      <c r="L822">
        <v>0</v>
      </c>
      <c r="M822">
        <v>1</v>
      </c>
      <c r="N822">
        <v>3.6</v>
      </c>
      <c r="O822">
        <v>11.2</v>
      </c>
      <c r="P822">
        <v>4.5999999999999996</v>
      </c>
      <c r="Q822" t="s">
        <v>39</v>
      </c>
    </row>
    <row r="823" spans="1:17" x14ac:dyDescent="0.3">
      <c r="A823" t="s">
        <v>1355</v>
      </c>
      <c r="B823" s="2">
        <v>46041</v>
      </c>
      <c r="C823" t="s">
        <v>18</v>
      </c>
      <c r="D823" t="s">
        <v>117</v>
      </c>
      <c r="E823" t="s">
        <v>28</v>
      </c>
      <c r="F823" t="s">
        <v>241</v>
      </c>
      <c r="G823" t="s">
        <v>22</v>
      </c>
      <c r="H823" t="s">
        <v>86</v>
      </c>
      <c r="I823" t="s">
        <v>24</v>
      </c>
      <c r="J823">
        <v>1</v>
      </c>
      <c r="K823">
        <v>25500</v>
      </c>
      <c r="L823">
        <v>25500</v>
      </c>
      <c r="N823">
        <v>10.8</v>
      </c>
      <c r="Q823" t="s">
        <v>24</v>
      </c>
    </row>
    <row r="824" spans="1:17" x14ac:dyDescent="0.3">
      <c r="A824" t="s">
        <v>1356</v>
      </c>
      <c r="B824" s="2">
        <v>46049</v>
      </c>
      <c r="C824" t="s">
        <v>18</v>
      </c>
      <c r="D824" t="s">
        <v>19</v>
      </c>
      <c r="E824" t="s">
        <v>20</v>
      </c>
      <c r="F824" t="s">
        <v>732</v>
      </c>
      <c r="G824" t="s">
        <v>22</v>
      </c>
      <c r="H824" t="s">
        <v>78</v>
      </c>
      <c r="I824" t="s">
        <v>79</v>
      </c>
      <c r="J824">
        <v>1</v>
      </c>
      <c r="K824">
        <v>33000</v>
      </c>
      <c r="L824">
        <v>0</v>
      </c>
      <c r="N824">
        <v>10.9</v>
      </c>
      <c r="Q824" t="s">
        <v>79</v>
      </c>
    </row>
    <row r="825" spans="1:17" x14ac:dyDescent="0.3">
      <c r="A825" t="s">
        <v>1357</v>
      </c>
      <c r="B825" s="2">
        <v>46019</v>
      </c>
      <c r="C825" t="s">
        <v>18</v>
      </c>
      <c r="D825" t="s">
        <v>95</v>
      </c>
      <c r="E825" t="s">
        <v>20</v>
      </c>
      <c r="F825" t="s">
        <v>696</v>
      </c>
      <c r="G825" t="s">
        <v>30</v>
      </c>
      <c r="H825" t="s">
        <v>23</v>
      </c>
      <c r="I825" t="s">
        <v>89</v>
      </c>
      <c r="J825">
        <v>1</v>
      </c>
      <c r="K825">
        <v>31200</v>
      </c>
      <c r="L825">
        <v>0</v>
      </c>
      <c r="N825">
        <v>19.899999999999999</v>
      </c>
      <c r="Q825" t="s">
        <v>89</v>
      </c>
    </row>
    <row r="826" spans="1:17" x14ac:dyDescent="0.3">
      <c r="A826" t="s">
        <v>1358</v>
      </c>
      <c r="B826" s="2">
        <v>45914</v>
      </c>
      <c r="C826" t="s">
        <v>18</v>
      </c>
      <c r="D826" t="s">
        <v>95</v>
      </c>
      <c r="E826" t="s">
        <v>28</v>
      </c>
      <c r="F826" t="s">
        <v>1359</v>
      </c>
      <c r="G826" t="s">
        <v>30</v>
      </c>
      <c r="H826" t="s">
        <v>54</v>
      </c>
      <c r="I826" t="s">
        <v>79</v>
      </c>
      <c r="J826">
        <v>1</v>
      </c>
      <c r="K826">
        <v>33200</v>
      </c>
      <c r="L826">
        <v>0</v>
      </c>
      <c r="N826">
        <v>3.6</v>
      </c>
      <c r="Q826" t="s">
        <v>79</v>
      </c>
    </row>
    <row r="827" spans="1:17" x14ac:dyDescent="0.3">
      <c r="A827" t="s">
        <v>1360</v>
      </c>
      <c r="B827" s="2">
        <v>46075</v>
      </c>
      <c r="C827" t="s">
        <v>26</v>
      </c>
      <c r="D827" t="s">
        <v>69</v>
      </c>
      <c r="E827" t="s">
        <v>20</v>
      </c>
      <c r="F827" t="s">
        <v>170</v>
      </c>
      <c r="G827" t="s">
        <v>30</v>
      </c>
      <c r="J827">
        <v>0</v>
      </c>
      <c r="K827">
        <v>0</v>
      </c>
      <c r="L827">
        <v>0</v>
      </c>
      <c r="M827">
        <v>1</v>
      </c>
      <c r="N827">
        <v>1.9</v>
      </c>
      <c r="O827">
        <v>5.6</v>
      </c>
      <c r="P827">
        <v>4.4000000000000004</v>
      </c>
      <c r="Q827" t="s">
        <v>31</v>
      </c>
    </row>
    <row r="828" spans="1:17" x14ac:dyDescent="0.3">
      <c r="A828" t="s">
        <v>1361</v>
      </c>
      <c r="B828" s="2">
        <v>46245</v>
      </c>
      <c r="C828" t="s">
        <v>18</v>
      </c>
      <c r="D828" t="s">
        <v>95</v>
      </c>
      <c r="E828" t="s">
        <v>20</v>
      </c>
      <c r="F828" t="s">
        <v>1362</v>
      </c>
      <c r="G828" t="s">
        <v>44</v>
      </c>
      <c r="H828" t="s">
        <v>54</v>
      </c>
      <c r="I828" t="s">
        <v>24</v>
      </c>
      <c r="J828">
        <v>1</v>
      </c>
      <c r="K828">
        <v>13700</v>
      </c>
      <c r="L828">
        <v>13700</v>
      </c>
      <c r="N828">
        <v>6.9</v>
      </c>
      <c r="Q828" t="s">
        <v>24</v>
      </c>
    </row>
    <row r="829" spans="1:17" x14ac:dyDescent="0.3">
      <c r="A829" t="s">
        <v>1363</v>
      </c>
      <c r="B829" s="2">
        <v>45995</v>
      </c>
      <c r="C829" t="s">
        <v>18</v>
      </c>
      <c r="D829" t="s">
        <v>95</v>
      </c>
      <c r="E829" t="s">
        <v>28</v>
      </c>
      <c r="F829" t="s">
        <v>1364</v>
      </c>
      <c r="G829" t="s">
        <v>22</v>
      </c>
      <c r="H829" t="s">
        <v>23</v>
      </c>
      <c r="I829" t="s">
        <v>67</v>
      </c>
      <c r="J829">
        <v>1</v>
      </c>
      <c r="K829">
        <v>17600</v>
      </c>
      <c r="L829">
        <v>0</v>
      </c>
      <c r="N829">
        <v>2.2999999999999998</v>
      </c>
      <c r="Q829" t="s">
        <v>67</v>
      </c>
    </row>
    <row r="830" spans="1:17" x14ac:dyDescent="0.3">
      <c r="A830" t="s">
        <v>1365</v>
      </c>
      <c r="B830" s="2">
        <v>46211</v>
      </c>
      <c r="C830" t="s">
        <v>26</v>
      </c>
      <c r="D830" t="s">
        <v>126</v>
      </c>
      <c r="E830" t="s">
        <v>20</v>
      </c>
      <c r="F830" t="s">
        <v>1061</v>
      </c>
      <c r="G830" t="s">
        <v>44</v>
      </c>
      <c r="J830">
        <v>0</v>
      </c>
      <c r="K830">
        <v>0</v>
      </c>
      <c r="L830">
        <v>0</v>
      </c>
      <c r="M830">
        <v>1</v>
      </c>
      <c r="N830">
        <v>9.1</v>
      </c>
      <c r="O830">
        <v>17.8</v>
      </c>
      <c r="P830">
        <v>5</v>
      </c>
      <c r="Q830" t="s">
        <v>62</v>
      </c>
    </row>
    <row r="831" spans="1:17" x14ac:dyDescent="0.3">
      <c r="A831" t="s">
        <v>1366</v>
      </c>
      <c r="B831" s="2">
        <v>46036</v>
      </c>
      <c r="C831" t="s">
        <v>18</v>
      </c>
      <c r="D831" t="s">
        <v>52</v>
      </c>
      <c r="E831" t="s">
        <v>20</v>
      </c>
      <c r="F831" t="s">
        <v>254</v>
      </c>
      <c r="G831" t="s">
        <v>44</v>
      </c>
      <c r="H831" t="s">
        <v>86</v>
      </c>
      <c r="I831" t="s">
        <v>79</v>
      </c>
      <c r="J831">
        <v>1</v>
      </c>
      <c r="K831">
        <v>118500</v>
      </c>
      <c r="L831">
        <v>0</v>
      </c>
      <c r="N831">
        <v>20</v>
      </c>
      <c r="Q831" t="s">
        <v>79</v>
      </c>
    </row>
    <row r="832" spans="1:17" x14ac:dyDescent="0.3">
      <c r="A832" t="s">
        <v>1367</v>
      </c>
      <c r="B832" s="2">
        <v>46141</v>
      </c>
      <c r="C832" t="s">
        <v>18</v>
      </c>
      <c r="D832" t="s">
        <v>105</v>
      </c>
      <c r="E832" t="s">
        <v>37</v>
      </c>
      <c r="F832" t="s">
        <v>529</v>
      </c>
      <c r="G832" t="s">
        <v>44</v>
      </c>
      <c r="H832" t="s">
        <v>86</v>
      </c>
      <c r="I832" t="s">
        <v>67</v>
      </c>
      <c r="J832">
        <v>1</v>
      </c>
      <c r="K832">
        <v>5000</v>
      </c>
      <c r="L832">
        <v>0</v>
      </c>
      <c r="N832">
        <v>17.5</v>
      </c>
      <c r="Q832" t="s">
        <v>67</v>
      </c>
    </row>
    <row r="833" spans="1:17" x14ac:dyDescent="0.3">
      <c r="A833" t="s">
        <v>1368</v>
      </c>
      <c r="B833" s="2">
        <v>46150</v>
      </c>
      <c r="C833" t="s">
        <v>18</v>
      </c>
      <c r="D833" t="s">
        <v>41</v>
      </c>
      <c r="E833" t="s">
        <v>48</v>
      </c>
      <c r="F833" t="s">
        <v>1201</v>
      </c>
      <c r="G833" t="s">
        <v>50</v>
      </c>
      <c r="H833" t="s">
        <v>23</v>
      </c>
      <c r="I833" t="s">
        <v>45</v>
      </c>
      <c r="J833">
        <v>1</v>
      </c>
      <c r="K833">
        <v>13900</v>
      </c>
      <c r="L833">
        <v>0</v>
      </c>
      <c r="N833">
        <v>16.2</v>
      </c>
      <c r="Q833" t="s">
        <v>45</v>
      </c>
    </row>
    <row r="834" spans="1:17" x14ac:dyDescent="0.3">
      <c r="A834" t="s">
        <v>1369</v>
      </c>
      <c r="B834" s="2">
        <v>46206</v>
      </c>
      <c r="C834" t="s">
        <v>18</v>
      </c>
      <c r="D834" t="s">
        <v>47</v>
      </c>
      <c r="E834" t="s">
        <v>37</v>
      </c>
      <c r="F834" t="s">
        <v>360</v>
      </c>
      <c r="G834" t="s">
        <v>30</v>
      </c>
      <c r="H834" t="s">
        <v>86</v>
      </c>
      <c r="I834" t="s">
        <v>45</v>
      </c>
      <c r="J834">
        <v>1</v>
      </c>
      <c r="K834">
        <v>15100</v>
      </c>
      <c r="L834">
        <v>0</v>
      </c>
      <c r="N834">
        <v>11.4</v>
      </c>
      <c r="Q834" t="s">
        <v>45</v>
      </c>
    </row>
    <row r="835" spans="1:17" x14ac:dyDescent="0.3">
      <c r="A835" t="s">
        <v>1370</v>
      </c>
      <c r="B835" s="2">
        <v>46088</v>
      </c>
      <c r="C835" t="s">
        <v>18</v>
      </c>
      <c r="D835" t="s">
        <v>19</v>
      </c>
      <c r="E835" t="s">
        <v>20</v>
      </c>
      <c r="F835" t="s">
        <v>1371</v>
      </c>
      <c r="G835" t="s">
        <v>22</v>
      </c>
      <c r="H835" t="s">
        <v>86</v>
      </c>
      <c r="I835" t="s">
        <v>89</v>
      </c>
      <c r="J835">
        <v>1</v>
      </c>
      <c r="K835">
        <v>6100</v>
      </c>
      <c r="L835">
        <v>0</v>
      </c>
      <c r="N835">
        <v>9.9</v>
      </c>
      <c r="Q835" t="s">
        <v>89</v>
      </c>
    </row>
    <row r="836" spans="1:17" x14ac:dyDescent="0.3">
      <c r="A836" t="s">
        <v>1372</v>
      </c>
      <c r="B836" s="2">
        <v>46243</v>
      </c>
      <c r="C836" t="s">
        <v>18</v>
      </c>
      <c r="D836" t="s">
        <v>19</v>
      </c>
      <c r="E836" t="s">
        <v>20</v>
      </c>
      <c r="F836" t="s">
        <v>1373</v>
      </c>
      <c r="G836" t="s">
        <v>22</v>
      </c>
      <c r="H836" t="s">
        <v>78</v>
      </c>
      <c r="I836" t="s">
        <v>24</v>
      </c>
      <c r="J836">
        <v>1</v>
      </c>
      <c r="K836">
        <v>30600</v>
      </c>
      <c r="L836">
        <v>30600</v>
      </c>
      <c r="N836">
        <v>20.5</v>
      </c>
      <c r="Q836" t="s">
        <v>24</v>
      </c>
    </row>
    <row r="837" spans="1:17" x14ac:dyDescent="0.3">
      <c r="A837" t="s">
        <v>1374</v>
      </c>
      <c r="B837" s="2">
        <v>46078</v>
      </c>
      <c r="C837" t="s">
        <v>18</v>
      </c>
      <c r="D837" t="s">
        <v>95</v>
      </c>
      <c r="E837" t="s">
        <v>20</v>
      </c>
      <c r="F837" t="s">
        <v>893</v>
      </c>
      <c r="G837" t="s">
        <v>30</v>
      </c>
      <c r="H837" t="s">
        <v>23</v>
      </c>
      <c r="I837" t="s">
        <v>24</v>
      </c>
      <c r="J837">
        <v>1</v>
      </c>
      <c r="K837">
        <v>24600</v>
      </c>
      <c r="L837">
        <v>24600</v>
      </c>
      <c r="N837">
        <v>4.9000000000000004</v>
      </c>
      <c r="Q837" t="s">
        <v>24</v>
      </c>
    </row>
    <row r="838" spans="1:17" x14ac:dyDescent="0.3">
      <c r="A838" t="s">
        <v>1375</v>
      </c>
      <c r="B838" s="2">
        <v>46050</v>
      </c>
      <c r="C838" t="s">
        <v>26</v>
      </c>
      <c r="D838" t="s">
        <v>36</v>
      </c>
      <c r="E838" t="s">
        <v>20</v>
      </c>
      <c r="F838" t="s">
        <v>1070</v>
      </c>
      <c r="G838" t="s">
        <v>30</v>
      </c>
      <c r="J838">
        <v>0</v>
      </c>
      <c r="K838">
        <v>0</v>
      </c>
      <c r="L838">
        <v>0</v>
      </c>
      <c r="M838">
        <v>1</v>
      </c>
      <c r="N838">
        <v>4.8</v>
      </c>
      <c r="O838">
        <v>4.5999999999999996</v>
      </c>
      <c r="P838">
        <v>5</v>
      </c>
      <c r="Q838" t="s">
        <v>225</v>
      </c>
    </row>
    <row r="839" spans="1:17" x14ac:dyDescent="0.3">
      <c r="A839" t="s">
        <v>1376</v>
      </c>
      <c r="B839" s="2">
        <v>46152</v>
      </c>
      <c r="C839" t="s">
        <v>18</v>
      </c>
      <c r="D839" t="s">
        <v>47</v>
      </c>
      <c r="E839" t="s">
        <v>37</v>
      </c>
      <c r="F839" t="s">
        <v>222</v>
      </c>
      <c r="G839" t="s">
        <v>44</v>
      </c>
      <c r="H839" t="s">
        <v>78</v>
      </c>
      <c r="I839" t="s">
        <v>24</v>
      </c>
      <c r="J839">
        <v>1</v>
      </c>
      <c r="K839">
        <v>14800</v>
      </c>
      <c r="L839">
        <v>14800</v>
      </c>
      <c r="N839">
        <v>15.5</v>
      </c>
      <c r="Q839" t="s">
        <v>24</v>
      </c>
    </row>
    <row r="840" spans="1:17" x14ac:dyDescent="0.3">
      <c r="A840" t="s">
        <v>1377</v>
      </c>
      <c r="B840" s="2">
        <v>45911</v>
      </c>
      <c r="C840" t="s">
        <v>26</v>
      </c>
      <c r="D840" t="s">
        <v>27</v>
      </c>
      <c r="E840" t="s">
        <v>48</v>
      </c>
      <c r="F840" t="s">
        <v>905</v>
      </c>
      <c r="G840" t="s">
        <v>44</v>
      </c>
      <c r="J840">
        <v>0</v>
      </c>
      <c r="K840">
        <v>0</v>
      </c>
      <c r="L840">
        <v>0</v>
      </c>
      <c r="M840">
        <v>1</v>
      </c>
      <c r="N840">
        <v>10</v>
      </c>
      <c r="O840">
        <v>26.6</v>
      </c>
      <c r="P840">
        <v>4.2</v>
      </c>
      <c r="Q840" t="s">
        <v>39</v>
      </c>
    </row>
    <row r="841" spans="1:17" x14ac:dyDescent="0.3">
      <c r="A841" t="s">
        <v>1378</v>
      </c>
      <c r="B841" s="2">
        <v>46079</v>
      </c>
      <c r="C841" t="s">
        <v>26</v>
      </c>
      <c r="D841" t="s">
        <v>72</v>
      </c>
      <c r="E841" t="s">
        <v>37</v>
      </c>
      <c r="F841" t="s">
        <v>445</v>
      </c>
      <c r="G841" t="s">
        <v>30</v>
      </c>
      <c r="J841">
        <v>0</v>
      </c>
      <c r="K841">
        <v>0</v>
      </c>
      <c r="L841">
        <v>0</v>
      </c>
      <c r="M841">
        <v>1</v>
      </c>
      <c r="N841">
        <v>1.2</v>
      </c>
      <c r="O841">
        <v>2</v>
      </c>
      <c r="P841">
        <v>4.9000000000000004</v>
      </c>
      <c r="Q841" t="s">
        <v>39</v>
      </c>
    </row>
    <row r="842" spans="1:17" x14ac:dyDescent="0.3">
      <c r="A842" t="s">
        <v>1379</v>
      </c>
      <c r="B842" s="2">
        <v>45979</v>
      </c>
      <c r="C842" t="s">
        <v>18</v>
      </c>
      <c r="D842" t="s">
        <v>41</v>
      </c>
      <c r="E842" t="s">
        <v>20</v>
      </c>
      <c r="F842" t="s">
        <v>1380</v>
      </c>
      <c r="G842" t="s">
        <v>30</v>
      </c>
      <c r="H842" t="s">
        <v>86</v>
      </c>
      <c r="I842" t="s">
        <v>67</v>
      </c>
      <c r="J842">
        <v>1</v>
      </c>
      <c r="K842">
        <v>9400</v>
      </c>
      <c r="L842">
        <v>0</v>
      </c>
      <c r="N842">
        <v>3.3</v>
      </c>
      <c r="Q842" t="s">
        <v>67</v>
      </c>
    </row>
    <row r="843" spans="1:17" x14ac:dyDescent="0.3">
      <c r="A843" t="s">
        <v>1381</v>
      </c>
      <c r="B843" s="2">
        <v>46061</v>
      </c>
      <c r="C843" t="s">
        <v>26</v>
      </c>
      <c r="D843" t="s">
        <v>114</v>
      </c>
      <c r="E843" t="s">
        <v>20</v>
      </c>
      <c r="F843" t="s">
        <v>742</v>
      </c>
      <c r="G843" t="s">
        <v>44</v>
      </c>
      <c r="J843">
        <v>0</v>
      </c>
      <c r="K843">
        <v>0</v>
      </c>
      <c r="L843">
        <v>0</v>
      </c>
      <c r="M843">
        <v>1</v>
      </c>
      <c r="N843">
        <v>11</v>
      </c>
      <c r="O843">
        <v>8.1</v>
      </c>
      <c r="P843">
        <v>3.9</v>
      </c>
      <c r="Q843" t="s">
        <v>62</v>
      </c>
    </row>
    <row r="844" spans="1:17" x14ac:dyDescent="0.3">
      <c r="A844" t="s">
        <v>1382</v>
      </c>
      <c r="B844" s="2">
        <v>46250</v>
      </c>
      <c r="C844" t="s">
        <v>18</v>
      </c>
      <c r="D844" t="s">
        <v>52</v>
      </c>
      <c r="E844" t="s">
        <v>20</v>
      </c>
      <c r="F844" t="s">
        <v>807</v>
      </c>
      <c r="G844" t="s">
        <v>50</v>
      </c>
      <c r="H844" t="s">
        <v>23</v>
      </c>
      <c r="I844" t="s">
        <v>45</v>
      </c>
      <c r="J844">
        <v>1</v>
      </c>
      <c r="K844">
        <v>18600</v>
      </c>
      <c r="L844">
        <v>0</v>
      </c>
      <c r="N844">
        <v>7.7</v>
      </c>
      <c r="Q844" t="s">
        <v>45</v>
      </c>
    </row>
    <row r="845" spans="1:17" x14ac:dyDescent="0.3">
      <c r="A845" t="s">
        <v>1383</v>
      </c>
      <c r="B845" s="2">
        <v>45942</v>
      </c>
      <c r="C845" t="s">
        <v>26</v>
      </c>
      <c r="D845" t="s">
        <v>33</v>
      </c>
      <c r="E845" t="s">
        <v>28</v>
      </c>
      <c r="F845" t="s">
        <v>754</v>
      </c>
      <c r="G845" t="s">
        <v>22</v>
      </c>
      <c r="J845">
        <v>0</v>
      </c>
      <c r="K845">
        <v>0</v>
      </c>
      <c r="L845">
        <v>0</v>
      </c>
      <c r="M845">
        <v>1</v>
      </c>
      <c r="N845">
        <v>12</v>
      </c>
      <c r="O845">
        <v>4.0999999999999996</v>
      </c>
      <c r="P845">
        <v>2.7</v>
      </c>
      <c r="Q845" t="s">
        <v>225</v>
      </c>
    </row>
    <row r="846" spans="1:17" x14ac:dyDescent="0.3">
      <c r="A846" t="s">
        <v>1384</v>
      </c>
      <c r="B846" s="2">
        <v>46146</v>
      </c>
      <c r="C846" t="s">
        <v>18</v>
      </c>
      <c r="D846" t="s">
        <v>95</v>
      </c>
      <c r="E846" t="s">
        <v>48</v>
      </c>
      <c r="F846" t="s">
        <v>1385</v>
      </c>
      <c r="G846" t="s">
        <v>30</v>
      </c>
      <c r="H846" t="s">
        <v>78</v>
      </c>
      <c r="I846" t="s">
        <v>67</v>
      </c>
      <c r="J846">
        <v>1</v>
      </c>
      <c r="K846">
        <v>44500</v>
      </c>
      <c r="L846">
        <v>0</v>
      </c>
      <c r="N846">
        <v>23.6</v>
      </c>
      <c r="Q846" t="s">
        <v>67</v>
      </c>
    </row>
    <row r="847" spans="1:17" x14ac:dyDescent="0.3">
      <c r="A847" t="s">
        <v>1386</v>
      </c>
      <c r="B847" s="2">
        <v>46164</v>
      </c>
      <c r="C847" t="s">
        <v>18</v>
      </c>
      <c r="D847" t="s">
        <v>52</v>
      </c>
      <c r="E847" t="s">
        <v>20</v>
      </c>
      <c r="F847" t="s">
        <v>600</v>
      </c>
      <c r="G847" t="s">
        <v>44</v>
      </c>
      <c r="H847" t="s">
        <v>78</v>
      </c>
      <c r="I847" t="s">
        <v>45</v>
      </c>
      <c r="J847">
        <v>1</v>
      </c>
      <c r="K847">
        <v>63800</v>
      </c>
      <c r="L847">
        <v>0</v>
      </c>
      <c r="N847">
        <v>12.7</v>
      </c>
      <c r="Q847" t="s">
        <v>45</v>
      </c>
    </row>
    <row r="848" spans="1:17" x14ac:dyDescent="0.3">
      <c r="A848" t="s">
        <v>1387</v>
      </c>
      <c r="B848" s="2">
        <v>46256</v>
      </c>
      <c r="C848" t="s">
        <v>18</v>
      </c>
      <c r="D848" t="s">
        <v>52</v>
      </c>
      <c r="E848" t="s">
        <v>42</v>
      </c>
      <c r="F848" t="s">
        <v>372</v>
      </c>
      <c r="G848" t="s">
        <v>22</v>
      </c>
      <c r="H848" t="s">
        <v>78</v>
      </c>
      <c r="I848" t="s">
        <v>24</v>
      </c>
      <c r="J848">
        <v>1</v>
      </c>
      <c r="K848">
        <v>32500</v>
      </c>
      <c r="L848">
        <v>32500</v>
      </c>
      <c r="N848">
        <v>17.2</v>
      </c>
      <c r="Q848" t="s">
        <v>24</v>
      </c>
    </row>
    <row r="849" spans="1:17" x14ac:dyDescent="0.3">
      <c r="A849" t="s">
        <v>1388</v>
      </c>
      <c r="B849" s="2">
        <v>45946</v>
      </c>
      <c r="C849" t="s">
        <v>26</v>
      </c>
      <c r="D849" t="s">
        <v>33</v>
      </c>
      <c r="E849" t="s">
        <v>20</v>
      </c>
      <c r="F849" t="s">
        <v>193</v>
      </c>
      <c r="G849" t="s">
        <v>44</v>
      </c>
      <c r="J849">
        <v>0</v>
      </c>
      <c r="K849">
        <v>0</v>
      </c>
      <c r="L849">
        <v>0</v>
      </c>
      <c r="M849">
        <v>1</v>
      </c>
      <c r="N849">
        <v>4.8</v>
      </c>
      <c r="O849">
        <v>0.9</v>
      </c>
      <c r="P849">
        <v>4</v>
      </c>
      <c r="Q849" t="s">
        <v>39</v>
      </c>
    </row>
    <row r="850" spans="1:17" x14ac:dyDescent="0.3">
      <c r="A850" t="s">
        <v>1389</v>
      </c>
      <c r="B850" s="2">
        <v>46041</v>
      </c>
      <c r="C850" t="s">
        <v>18</v>
      </c>
      <c r="D850" t="s">
        <v>52</v>
      </c>
      <c r="E850" t="s">
        <v>42</v>
      </c>
      <c r="F850" t="s">
        <v>696</v>
      </c>
      <c r="G850" t="s">
        <v>30</v>
      </c>
      <c r="H850" t="s">
        <v>23</v>
      </c>
      <c r="I850" t="s">
        <v>55</v>
      </c>
      <c r="J850">
        <v>1</v>
      </c>
      <c r="K850">
        <v>29600</v>
      </c>
      <c r="L850">
        <v>0</v>
      </c>
      <c r="N850">
        <v>16</v>
      </c>
      <c r="Q850" t="s">
        <v>55</v>
      </c>
    </row>
    <row r="851" spans="1:17" x14ac:dyDescent="0.3">
      <c r="A851" t="s">
        <v>1390</v>
      </c>
      <c r="B851" s="2">
        <v>46052</v>
      </c>
      <c r="C851" t="s">
        <v>26</v>
      </c>
      <c r="D851" t="s">
        <v>27</v>
      </c>
      <c r="E851" t="s">
        <v>37</v>
      </c>
      <c r="F851" t="s">
        <v>581</v>
      </c>
      <c r="G851" t="s">
        <v>44</v>
      </c>
      <c r="J851">
        <v>0</v>
      </c>
      <c r="K851">
        <v>0</v>
      </c>
      <c r="L851">
        <v>0</v>
      </c>
      <c r="M851">
        <v>1</v>
      </c>
      <c r="N851">
        <v>8.6999999999999993</v>
      </c>
      <c r="O851">
        <v>3.6</v>
      </c>
      <c r="P851">
        <v>3.6</v>
      </c>
      <c r="Q851" t="s">
        <v>39</v>
      </c>
    </row>
    <row r="852" spans="1:17" x14ac:dyDescent="0.3">
      <c r="A852" t="s">
        <v>1391</v>
      </c>
      <c r="B852" s="2">
        <v>46127</v>
      </c>
      <c r="C852" t="s">
        <v>18</v>
      </c>
      <c r="D852" t="s">
        <v>41</v>
      </c>
      <c r="E852" t="s">
        <v>28</v>
      </c>
      <c r="F852" t="s">
        <v>1392</v>
      </c>
      <c r="G852" t="s">
        <v>50</v>
      </c>
      <c r="H852" t="s">
        <v>78</v>
      </c>
      <c r="I852" t="s">
        <v>89</v>
      </c>
      <c r="J852">
        <v>1</v>
      </c>
      <c r="K852">
        <v>9000</v>
      </c>
      <c r="L852">
        <v>0</v>
      </c>
      <c r="N852">
        <v>2.2000000000000002</v>
      </c>
      <c r="Q852" t="s">
        <v>89</v>
      </c>
    </row>
    <row r="853" spans="1:17" x14ac:dyDescent="0.3">
      <c r="A853" t="s">
        <v>1393</v>
      </c>
      <c r="B853" s="2">
        <v>46210</v>
      </c>
      <c r="C853" t="s">
        <v>26</v>
      </c>
      <c r="D853" t="s">
        <v>72</v>
      </c>
      <c r="E853" t="s">
        <v>48</v>
      </c>
      <c r="F853" t="s">
        <v>1394</v>
      </c>
      <c r="G853" t="s">
        <v>22</v>
      </c>
      <c r="J853">
        <v>0</v>
      </c>
      <c r="K853">
        <v>0</v>
      </c>
      <c r="L853">
        <v>0</v>
      </c>
      <c r="M853">
        <v>1</v>
      </c>
      <c r="N853">
        <v>5.5</v>
      </c>
      <c r="O853">
        <v>20.3</v>
      </c>
      <c r="P853">
        <v>5</v>
      </c>
      <c r="Q853" t="s">
        <v>62</v>
      </c>
    </row>
    <row r="854" spans="1:17" x14ac:dyDescent="0.3">
      <c r="A854" t="s">
        <v>1395</v>
      </c>
      <c r="B854" s="2">
        <v>46251</v>
      </c>
      <c r="C854" t="s">
        <v>18</v>
      </c>
      <c r="D854" t="s">
        <v>19</v>
      </c>
      <c r="E854" t="s">
        <v>20</v>
      </c>
      <c r="F854" t="s">
        <v>451</v>
      </c>
      <c r="G854" t="s">
        <v>50</v>
      </c>
      <c r="H854" t="s">
        <v>78</v>
      </c>
      <c r="I854" t="s">
        <v>24</v>
      </c>
      <c r="J854">
        <v>1</v>
      </c>
      <c r="K854">
        <v>24000</v>
      </c>
      <c r="L854">
        <v>24000</v>
      </c>
      <c r="N854">
        <v>10.7</v>
      </c>
      <c r="Q854" t="s">
        <v>24</v>
      </c>
    </row>
    <row r="855" spans="1:17" x14ac:dyDescent="0.3">
      <c r="A855" t="s">
        <v>1396</v>
      </c>
      <c r="B855" s="2">
        <v>46021</v>
      </c>
      <c r="C855" t="s">
        <v>26</v>
      </c>
      <c r="D855" t="s">
        <v>232</v>
      </c>
      <c r="E855" t="s">
        <v>37</v>
      </c>
      <c r="F855" t="s">
        <v>730</v>
      </c>
      <c r="G855" t="s">
        <v>30</v>
      </c>
      <c r="J855">
        <v>0</v>
      </c>
      <c r="K855">
        <v>0</v>
      </c>
      <c r="L855">
        <v>0</v>
      </c>
      <c r="M855">
        <v>1</v>
      </c>
      <c r="N855">
        <v>6.5</v>
      </c>
      <c r="O855">
        <v>5.5</v>
      </c>
      <c r="P855">
        <v>2.6</v>
      </c>
      <c r="Q855" t="s">
        <v>39</v>
      </c>
    </row>
    <row r="856" spans="1:17" x14ac:dyDescent="0.3">
      <c r="A856" t="s">
        <v>1397</v>
      </c>
      <c r="B856" s="2">
        <v>45962</v>
      </c>
      <c r="C856" t="s">
        <v>18</v>
      </c>
      <c r="D856" t="s">
        <v>105</v>
      </c>
      <c r="E856" t="s">
        <v>20</v>
      </c>
      <c r="F856" t="s">
        <v>1286</v>
      </c>
      <c r="G856" t="s">
        <v>50</v>
      </c>
      <c r="H856" t="s">
        <v>86</v>
      </c>
      <c r="I856" t="s">
        <v>45</v>
      </c>
      <c r="J856">
        <v>1</v>
      </c>
      <c r="K856">
        <v>38600</v>
      </c>
      <c r="L856">
        <v>0</v>
      </c>
      <c r="N856">
        <v>9.6999999999999993</v>
      </c>
      <c r="Q856" t="s">
        <v>45</v>
      </c>
    </row>
    <row r="857" spans="1:17" x14ac:dyDescent="0.3">
      <c r="A857" t="s">
        <v>1398</v>
      </c>
      <c r="B857" s="2">
        <v>46105</v>
      </c>
      <c r="C857" t="s">
        <v>18</v>
      </c>
      <c r="D857" t="s">
        <v>64</v>
      </c>
      <c r="E857" t="s">
        <v>37</v>
      </c>
      <c r="F857" t="s">
        <v>1399</v>
      </c>
      <c r="G857" t="s">
        <v>50</v>
      </c>
      <c r="H857" t="s">
        <v>54</v>
      </c>
      <c r="I857" t="s">
        <v>89</v>
      </c>
      <c r="J857">
        <v>1</v>
      </c>
      <c r="K857">
        <v>27500</v>
      </c>
      <c r="L857">
        <v>0</v>
      </c>
      <c r="N857">
        <v>13.1</v>
      </c>
      <c r="Q857" t="s">
        <v>89</v>
      </c>
    </row>
    <row r="858" spans="1:17" x14ac:dyDescent="0.3">
      <c r="A858" t="s">
        <v>1400</v>
      </c>
      <c r="B858" s="2">
        <v>46088</v>
      </c>
      <c r="C858" t="s">
        <v>18</v>
      </c>
      <c r="D858" t="s">
        <v>52</v>
      </c>
      <c r="E858" t="s">
        <v>48</v>
      </c>
      <c r="F858" t="s">
        <v>417</v>
      </c>
      <c r="G858" t="s">
        <v>30</v>
      </c>
      <c r="H858" t="s">
        <v>86</v>
      </c>
      <c r="I858" t="s">
        <v>24</v>
      </c>
      <c r="J858">
        <v>1</v>
      </c>
      <c r="K858">
        <v>18800</v>
      </c>
      <c r="L858">
        <v>18800</v>
      </c>
      <c r="N858">
        <v>15</v>
      </c>
      <c r="Q858" t="s">
        <v>24</v>
      </c>
    </row>
    <row r="859" spans="1:17" x14ac:dyDescent="0.3">
      <c r="A859" t="s">
        <v>1401</v>
      </c>
      <c r="B859" s="2">
        <v>45960</v>
      </c>
      <c r="C859" t="s">
        <v>18</v>
      </c>
      <c r="D859" t="s">
        <v>52</v>
      </c>
      <c r="E859" t="s">
        <v>48</v>
      </c>
      <c r="F859" t="s">
        <v>1402</v>
      </c>
      <c r="G859" t="s">
        <v>44</v>
      </c>
      <c r="H859" t="s">
        <v>78</v>
      </c>
      <c r="I859" t="s">
        <v>45</v>
      </c>
      <c r="J859">
        <v>1</v>
      </c>
      <c r="K859">
        <v>5000</v>
      </c>
      <c r="L859">
        <v>0</v>
      </c>
      <c r="N859">
        <v>8.8000000000000007</v>
      </c>
      <c r="Q859" t="s">
        <v>45</v>
      </c>
    </row>
    <row r="860" spans="1:17" x14ac:dyDescent="0.3">
      <c r="A860" t="s">
        <v>1403</v>
      </c>
      <c r="B860" s="2">
        <v>46261</v>
      </c>
      <c r="C860" t="s">
        <v>26</v>
      </c>
      <c r="D860" t="s">
        <v>232</v>
      </c>
      <c r="E860" t="s">
        <v>20</v>
      </c>
      <c r="F860" t="s">
        <v>1297</v>
      </c>
      <c r="G860" t="s">
        <v>22</v>
      </c>
      <c r="J860">
        <v>0</v>
      </c>
      <c r="K860">
        <v>0</v>
      </c>
      <c r="L860">
        <v>0</v>
      </c>
      <c r="M860">
        <v>1</v>
      </c>
      <c r="N860">
        <v>6</v>
      </c>
      <c r="O860">
        <v>7.1</v>
      </c>
      <c r="P860">
        <v>4.0999999999999996</v>
      </c>
      <c r="Q860" t="s">
        <v>31</v>
      </c>
    </row>
    <row r="861" spans="1:17" x14ac:dyDescent="0.3">
      <c r="A861" t="s">
        <v>1404</v>
      </c>
      <c r="B861" s="2">
        <v>46161</v>
      </c>
      <c r="C861" t="s">
        <v>18</v>
      </c>
      <c r="D861" t="s">
        <v>117</v>
      </c>
      <c r="E861" t="s">
        <v>20</v>
      </c>
      <c r="F861" t="s">
        <v>1405</v>
      </c>
      <c r="G861" t="s">
        <v>22</v>
      </c>
      <c r="H861" t="s">
        <v>54</v>
      </c>
      <c r="I861" t="s">
        <v>79</v>
      </c>
      <c r="J861">
        <v>1</v>
      </c>
      <c r="K861">
        <v>9500</v>
      </c>
      <c r="L861">
        <v>0</v>
      </c>
      <c r="N861">
        <v>12.2</v>
      </c>
      <c r="Q861" t="s">
        <v>79</v>
      </c>
    </row>
    <row r="862" spans="1:17" x14ac:dyDescent="0.3">
      <c r="A862" t="s">
        <v>1406</v>
      </c>
      <c r="B862" s="2">
        <v>45942</v>
      </c>
      <c r="C862" t="s">
        <v>26</v>
      </c>
      <c r="D862" t="s">
        <v>33</v>
      </c>
      <c r="E862" t="s">
        <v>28</v>
      </c>
      <c r="F862" t="s">
        <v>1407</v>
      </c>
      <c r="G862" t="s">
        <v>22</v>
      </c>
      <c r="J862">
        <v>0</v>
      </c>
      <c r="K862">
        <v>0</v>
      </c>
      <c r="L862">
        <v>0</v>
      </c>
      <c r="M862">
        <v>1</v>
      </c>
      <c r="N862">
        <v>3.5</v>
      </c>
      <c r="O862">
        <v>11.6</v>
      </c>
      <c r="P862">
        <v>3.6</v>
      </c>
      <c r="Q862" t="s">
        <v>39</v>
      </c>
    </row>
    <row r="863" spans="1:17" x14ac:dyDescent="0.3">
      <c r="A863" t="s">
        <v>1408</v>
      </c>
      <c r="B863" s="2">
        <v>46173</v>
      </c>
      <c r="C863" t="s">
        <v>18</v>
      </c>
      <c r="D863" t="s">
        <v>117</v>
      </c>
      <c r="E863" t="s">
        <v>20</v>
      </c>
      <c r="F863" t="s">
        <v>1359</v>
      </c>
      <c r="G863" t="s">
        <v>44</v>
      </c>
      <c r="H863" t="s">
        <v>23</v>
      </c>
      <c r="I863" t="s">
        <v>67</v>
      </c>
      <c r="J863">
        <v>1</v>
      </c>
      <c r="K863">
        <v>15800</v>
      </c>
      <c r="L863">
        <v>0</v>
      </c>
      <c r="N863">
        <v>0.6</v>
      </c>
      <c r="Q863" t="s">
        <v>67</v>
      </c>
    </row>
    <row r="864" spans="1:17" x14ac:dyDescent="0.3">
      <c r="A864" t="s">
        <v>1409</v>
      </c>
      <c r="B864" s="2">
        <v>46093</v>
      </c>
      <c r="C864" t="s">
        <v>18</v>
      </c>
      <c r="D864" t="s">
        <v>52</v>
      </c>
      <c r="E864" t="s">
        <v>20</v>
      </c>
      <c r="F864" t="s">
        <v>1085</v>
      </c>
      <c r="G864" t="s">
        <v>44</v>
      </c>
      <c r="H864" t="s">
        <v>54</v>
      </c>
      <c r="I864" t="s">
        <v>24</v>
      </c>
      <c r="J864">
        <v>1</v>
      </c>
      <c r="K864">
        <v>37800</v>
      </c>
      <c r="L864">
        <v>37800</v>
      </c>
      <c r="N864">
        <v>22.7</v>
      </c>
      <c r="Q864" t="s">
        <v>24</v>
      </c>
    </row>
    <row r="865" spans="1:17" x14ac:dyDescent="0.3">
      <c r="A865" t="s">
        <v>1410</v>
      </c>
      <c r="B865" s="2">
        <v>46192</v>
      </c>
      <c r="C865" t="s">
        <v>18</v>
      </c>
      <c r="D865" t="s">
        <v>19</v>
      </c>
      <c r="E865" t="s">
        <v>48</v>
      </c>
      <c r="F865" t="s">
        <v>332</v>
      </c>
      <c r="G865" t="s">
        <v>22</v>
      </c>
      <c r="H865" t="s">
        <v>66</v>
      </c>
      <c r="I865" t="s">
        <v>67</v>
      </c>
      <c r="J865">
        <v>1</v>
      </c>
      <c r="K865">
        <v>86200</v>
      </c>
      <c r="L865">
        <v>0</v>
      </c>
      <c r="N865">
        <v>16.600000000000001</v>
      </c>
      <c r="Q865" t="s">
        <v>67</v>
      </c>
    </row>
    <row r="866" spans="1:17" x14ac:dyDescent="0.3">
      <c r="A866" t="s">
        <v>1411</v>
      </c>
      <c r="B866" s="2">
        <v>46175</v>
      </c>
      <c r="C866" t="s">
        <v>18</v>
      </c>
      <c r="D866" t="s">
        <v>52</v>
      </c>
      <c r="E866" t="s">
        <v>20</v>
      </c>
      <c r="F866" t="s">
        <v>340</v>
      </c>
      <c r="G866" t="s">
        <v>22</v>
      </c>
      <c r="H866" t="s">
        <v>66</v>
      </c>
      <c r="I866" t="s">
        <v>45</v>
      </c>
      <c r="J866">
        <v>1</v>
      </c>
      <c r="K866">
        <v>42400</v>
      </c>
      <c r="L866">
        <v>0</v>
      </c>
      <c r="N866">
        <v>20.399999999999999</v>
      </c>
      <c r="Q866" t="s">
        <v>45</v>
      </c>
    </row>
    <row r="867" spans="1:17" x14ac:dyDescent="0.3">
      <c r="A867" t="s">
        <v>1412</v>
      </c>
      <c r="B867" s="2">
        <v>46009</v>
      </c>
      <c r="C867" t="s">
        <v>26</v>
      </c>
      <c r="D867" t="s">
        <v>69</v>
      </c>
      <c r="E867" t="s">
        <v>37</v>
      </c>
      <c r="F867" t="s">
        <v>358</v>
      </c>
      <c r="G867" t="s">
        <v>30</v>
      </c>
      <c r="J867">
        <v>0</v>
      </c>
      <c r="K867">
        <v>0</v>
      </c>
      <c r="L867">
        <v>0</v>
      </c>
      <c r="M867">
        <v>1</v>
      </c>
      <c r="N867">
        <v>3.6</v>
      </c>
      <c r="O867">
        <v>6.5</v>
      </c>
      <c r="P867">
        <v>4.2</v>
      </c>
      <c r="Q867" t="s">
        <v>62</v>
      </c>
    </row>
    <row r="868" spans="1:17" x14ac:dyDescent="0.3">
      <c r="A868" t="s">
        <v>1413</v>
      </c>
      <c r="B868" s="2">
        <v>45911</v>
      </c>
      <c r="C868" t="s">
        <v>18</v>
      </c>
      <c r="D868" t="s">
        <v>64</v>
      </c>
      <c r="E868" t="s">
        <v>28</v>
      </c>
      <c r="F868" t="s">
        <v>1414</v>
      </c>
      <c r="G868" t="s">
        <v>30</v>
      </c>
      <c r="H868" t="s">
        <v>86</v>
      </c>
      <c r="I868" t="s">
        <v>55</v>
      </c>
      <c r="J868">
        <v>1</v>
      </c>
      <c r="K868">
        <v>58000</v>
      </c>
      <c r="L868">
        <v>0</v>
      </c>
      <c r="N868">
        <v>22.3</v>
      </c>
      <c r="Q868" t="s">
        <v>55</v>
      </c>
    </row>
    <row r="869" spans="1:17" x14ac:dyDescent="0.3">
      <c r="A869" t="s">
        <v>1415</v>
      </c>
      <c r="B869" s="2">
        <v>46076</v>
      </c>
      <c r="C869" t="s">
        <v>18</v>
      </c>
      <c r="D869" t="s">
        <v>64</v>
      </c>
      <c r="E869" t="s">
        <v>20</v>
      </c>
      <c r="F869" t="s">
        <v>1416</v>
      </c>
      <c r="G869" t="s">
        <v>30</v>
      </c>
      <c r="H869" t="s">
        <v>23</v>
      </c>
      <c r="I869" t="s">
        <v>45</v>
      </c>
      <c r="J869">
        <v>1</v>
      </c>
      <c r="K869">
        <v>18500</v>
      </c>
      <c r="L869">
        <v>0</v>
      </c>
      <c r="N869">
        <v>0.8</v>
      </c>
      <c r="Q869" t="s">
        <v>45</v>
      </c>
    </row>
    <row r="870" spans="1:17" x14ac:dyDescent="0.3">
      <c r="A870" t="s">
        <v>1417</v>
      </c>
      <c r="B870" s="2">
        <v>46242</v>
      </c>
      <c r="C870" t="s">
        <v>26</v>
      </c>
      <c r="D870" t="s">
        <v>27</v>
      </c>
      <c r="E870" t="s">
        <v>37</v>
      </c>
      <c r="F870" t="s">
        <v>122</v>
      </c>
      <c r="G870" t="s">
        <v>30</v>
      </c>
      <c r="J870">
        <v>0</v>
      </c>
      <c r="K870">
        <v>0</v>
      </c>
      <c r="L870">
        <v>0</v>
      </c>
      <c r="M870">
        <v>1</v>
      </c>
      <c r="N870">
        <v>11</v>
      </c>
      <c r="O870">
        <v>1.1000000000000001</v>
      </c>
      <c r="P870">
        <v>3.3</v>
      </c>
      <c r="Q870" t="s">
        <v>39</v>
      </c>
    </row>
    <row r="871" spans="1:17" x14ac:dyDescent="0.3">
      <c r="A871" t="s">
        <v>1418</v>
      </c>
      <c r="B871" s="2">
        <v>46247</v>
      </c>
      <c r="C871" t="s">
        <v>26</v>
      </c>
      <c r="D871" t="s">
        <v>72</v>
      </c>
      <c r="E871" t="s">
        <v>20</v>
      </c>
      <c r="F871" t="s">
        <v>106</v>
      </c>
      <c r="G871" t="s">
        <v>22</v>
      </c>
      <c r="J871">
        <v>0</v>
      </c>
      <c r="K871">
        <v>0</v>
      </c>
      <c r="L871">
        <v>0</v>
      </c>
      <c r="M871">
        <v>1</v>
      </c>
      <c r="N871">
        <v>3.7</v>
      </c>
      <c r="O871">
        <v>4.5999999999999996</v>
      </c>
      <c r="P871">
        <v>3.6</v>
      </c>
      <c r="Q871" t="s">
        <v>39</v>
      </c>
    </row>
    <row r="872" spans="1:17" x14ac:dyDescent="0.3">
      <c r="A872" t="s">
        <v>1419</v>
      </c>
      <c r="B872" s="2">
        <v>45983</v>
      </c>
      <c r="C872" t="s">
        <v>18</v>
      </c>
      <c r="D872" t="s">
        <v>19</v>
      </c>
      <c r="E872" t="s">
        <v>42</v>
      </c>
      <c r="F872" t="s">
        <v>1394</v>
      </c>
      <c r="G872" t="s">
        <v>44</v>
      </c>
      <c r="H872" t="s">
        <v>23</v>
      </c>
      <c r="I872" t="s">
        <v>45</v>
      </c>
      <c r="J872">
        <v>1</v>
      </c>
      <c r="K872">
        <v>51100</v>
      </c>
      <c r="L872">
        <v>0</v>
      </c>
      <c r="N872">
        <v>8.3000000000000007</v>
      </c>
      <c r="Q872" t="s">
        <v>45</v>
      </c>
    </row>
    <row r="873" spans="1:17" x14ac:dyDescent="0.3">
      <c r="A873" t="s">
        <v>1420</v>
      </c>
      <c r="B873" s="2">
        <v>46020</v>
      </c>
      <c r="C873" t="s">
        <v>18</v>
      </c>
      <c r="D873" t="s">
        <v>64</v>
      </c>
      <c r="E873" t="s">
        <v>28</v>
      </c>
      <c r="F873" t="s">
        <v>280</v>
      </c>
      <c r="G873" t="s">
        <v>22</v>
      </c>
      <c r="H873" t="s">
        <v>23</v>
      </c>
      <c r="I873" t="s">
        <v>55</v>
      </c>
      <c r="J873">
        <v>1</v>
      </c>
      <c r="K873">
        <v>10300</v>
      </c>
      <c r="L873">
        <v>0</v>
      </c>
      <c r="N873">
        <v>12.8</v>
      </c>
      <c r="Q873" t="s">
        <v>55</v>
      </c>
    </row>
    <row r="874" spans="1:17" x14ac:dyDescent="0.3">
      <c r="A874" t="s">
        <v>1421</v>
      </c>
      <c r="B874" s="2">
        <v>45916</v>
      </c>
      <c r="C874" t="s">
        <v>26</v>
      </c>
      <c r="D874" t="s">
        <v>114</v>
      </c>
      <c r="E874" t="s">
        <v>20</v>
      </c>
      <c r="F874" t="s">
        <v>1422</v>
      </c>
      <c r="G874" t="s">
        <v>50</v>
      </c>
      <c r="J874">
        <v>0</v>
      </c>
      <c r="K874">
        <v>0</v>
      </c>
      <c r="L874">
        <v>0</v>
      </c>
      <c r="M874">
        <v>1</v>
      </c>
      <c r="N874">
        <v>7.8</v>
      </c>
      <c r="O874">
        <v>7.6</v>
      </c>
      <c r="P874">
        <v>3.3</v>
      </c>
      <c r="Q874" t="s">
        <v>31</v>
      </c>
    </row>
    <row r="875" spans="1:17" x14ac:dyDescent="0.3">
      <c r="A875" t="s">
        <v>1423</v>
      </c>
      <c r="B875" s="2">
        <v>46218</v>
      </c>
      <c r="C875" t="s">
        <v>18</v>
      </c>
      <c r="D875" t="s">
        <v>41</v>
      </c>
      <c r="E875" t="s">
        <v>20</v>
      </c>
      <c r="F875" t="s">
        <v>246</v>
      </c>
      <c r="G875" t="s">
        <v>30</v>
      </c>
      <c r="H875" t="s">
        <v>86</v>
      </c>
      <c r="I875" t="s">
        <v>24</v>
      </c>
      <c r="J875">
        <v>1</v>
      </c>
      <c r="K875">
        <v>45900</v>
      </c>
      <c r="L875">
        <v>45900</v>
      </c>
      <c r="N875">
        <v>10</v>
      </c>
      <c r="Q875" t="s">
        <v>24</v>
      </c>
    </row>
    <row r="876" spans="1:17" x14ac:dyDescent="0.3">
      <c r="A876" t="s">
        <v>1424</v>
      </c>
      <c r="B876" s="2">
        <v>46128</v>
      </c>
      <c r="C876" t="s">
        <v>18</v>
      </c>
      <c r="D876" t="s">
        <v>19</v>
      </c>
      <c r="E876" t="s">
        <v>28</v>
      </c>
      <c r="F876" t="s">
        <v>1425</v>
      </c>
      <c r="G876" t="s">
        <v>30</v>
      </c>
      <c r="H876" t="s">
        <v>78</v>
      </c>
      <c r="I876" t="s">
        <v>45</v>
      </c>
      <c r="J876">
        <v>1</v>
      </c>
      <c r="K876">
        <v>51400</v>
      </c>
      <c r="L876">
        <v>0</v>
      </c>
      <c r="N876">
        <v>0.9</v>
      </c>
      <c r="Q876" t="s">
        <v>45</v>
      </c>
    </row>
    <row r="877" spans="1:17" x14ac:dyDescent="0.3">
      <c r="A877" t="s">
        <v>1426</v>
      </c>
      <c r="B877" s="2">
        <v>45967</v>
      </c>
      <c r="C877" t="s">
        <v>18</v>
      </c>
      <c r="D877" t="s">
        <v>41</v>
      </c>
      <c r="E877" t="s">
        <v>42</v>
      </c>
      <c r="F877" t="s">
        <v>1427</v>
      </c>
      <c r="G877" t="s">
        <v>30</v>
      </c>
      <c r="H877" t="s">
        <v>23</v>
      </c>
      <c r="I877" t="s">
        <v>24</v>
      </c>
      <c r="J877">
        <v>1</v>
      </c>
      <c r="K877">
        <v>66000</v>
      </c>
      <c r="L877">
        <v>66000</v>
      </c>
      <c r="N877">
        <v>12.4</v>
      </c>
      <c r="Q877" t="s">
        <v>24</v>
      </c>
    </row>
    <row r="878" spans="1:17" x14ac:dyDescent="0.3">
      <c r="A878" t="s">
        <v>1428</v>
      </c>
      <c r="B878" s="2">
        <v>46001</v>
      </c>
      <c r="C878" t="s">
        <v>26</v>
      </c>
      <c r="D878" t="s">
        <v>232</v>
      </c>
      <c r="E878" t="s">
        <v>20</v>
      </c>
      <c r="F878" t="s">
        <v>1429</v>
      </c>
      <c r="G878" t="s">
        <v>30</v>
      </c>
      <c r="J878">
        <v>0</v>
      </c>
      <c r="K878">
        <v>0</v>
      </c>
      <c r="L878">
        <v>0</v>
      </c>
      <c r="M878">
        <v>1</v>
      </c>
      <c r="N878">
        <v>10.6</v>
      </c>
      <c r="O878">
        <v>4.8</v>
      </c>
      <c r="P878">
        <v>3</v>
      </c>
      <c r="Q878" t="s">
        <v>39</v>
      </c>
    </row>
    <row r="879" spans="1:17" x14ac:dyDescent="0.3">
      <c r="A879" t="s">
        <v>1430</v>
      </c>
      <c r="B879" s="2">
        <v>45996</v>
      </c>
      <c r="C879" t="s">
        <v>26</v>
      </c>
      <c r="D879" t="s">
        <v>33</v>
      </c>
      <c r="E879" t="s">
        <v>37</v>
      </c>
      <c r="F879" t="s">
        <v>1083</v>
      </c>
      <c r="G879" t="s">
        <v>22</v>
      </c>
      <c r="J879">
        <v>0</v>
      </c>
      <c r="K879">
        <v>0</v>
      </c>
      <c r="L879">
        <v>0</v>
      </c>
      <c r="M879">
        <v>1</v>
      </c>
      <c r="N879">
        <v>9.6999999999999993</v>
      </c>
      <c r="O879">
        <v>3.2</v>
      </c>
      <c r="P879">
        <v>5</v>
      </c>
      <c r="Q879" t="s">
        <v>225</v>
      </c>
    </row>
    <row r="880" spans="1:17" x14ac:dyDescent="0.3">
      <c r="A880" t="s">
        <v>1431</v>
      </c>
      <c r="B880" s="2">
        <v>46046</v>
      </c>
      <c r="C880" t="s">
        <v>18</v>
      </c>
      <c r="D880" t="s">
        <v>52</v>
      </c>
      <c r="E880" t="s">
        <v>48</v>
      </c>
      <c r="F880" t="s">
        <v>1432</v>
      </c>
      <c r="G880" t="s">
        <v>30</v>
      </c>
      <c r="H880" t="s">
        <v>66</v>
      </c>
      <c r="I880" t="s">
        <v>55</v>
      </c>
      <c r="J880">
        <v>1</v>
      </c>
      <c r="K880">
        <v>9200</v>
      </c>
      <c r="L880">
        <v>0</v>
      </c>
      <c r="N880">
        <v>21.8</v>
      </c>
      <c r="Q880" t="s">
        <v>55</v>
      </c>
    </row>
    <row r="881" spans="1:17" x14ac:dyDescent="0.3">
      <c r="A881" t="s">
        <v>1433</v>
      </c>
      <c r="B881" s="2">
        <v>46247</v>
      </c>
      <c r="C881" t="s">
        <v>18</v>
      </c>
      <c r="D881" t="s">
        <v>117</v>
      </c>
      <c r="E881" t="s">
        <v>37</v>
      </c>
      <c r="F881" t="s">
        <v>415</v>
      </c>
      <c r="G881" t="s">
        <v>30</v>
      </c>
      <c r="H881" t="s">
        <v>23</v>
      </c>
      <c r="I881" t="s">
        <v>79</v>
      </c>
      <c r="J881">
        <v>1</v>
      </c>
      <c r="K881">
        <v>7100</v>
      </c>
      <c r="L881">
        <v>0</v>
      </c>
      <c r="N881">
        <v>7.8</v>
      </c>
      <c r="Q881" t="s">
        <v>79</v>
      </c>
    </row>
    <row r="882" spans="1:17" x14ac:dyDescent="0.3">
      <c r="A882" t="s">
        <v>1434</v>
      </c>
      <c r="B882" s="2">
        <v>46010</v>
      </c>
      <c r="C882" t="s">
        <v>18</v>
      </c>
      <c r="D882" t="s">
        <v>117</v>
      </c>
      <c r="E882" t="s">
        <v>20</v>
      </c>
      <c r="F882" t="s">
        <v>1422</v>
      </c>
      <c r="G882" t="s">
        <v>30</v>
      </c>
      <c r="H882" t="s">
        <v>86</v>
      </c>
      <c r="I882" t="s">
        <v>45</v>
      </c>
      <c r="J882">
        <v>1</v>
      </c>
      <c r="K882">
        <v>34700</v>
      </c>
      <c r="L882">
        <v>0</v>
      </c>
      <c r="N882">
        <v>21.2</v>
      </c>
      <c r="Q882" t="s">
        <v>45</v>
      </c>
    </row>
    <row r="883" spans="1:17" x14ac:dyDescent="0.3">
      <c r="A883" t="s">
        <v>1435</v>
      </c>
      <c r="B883" s="2">
        <v>45957</v>
      </c>
      <c r="C883" t="s">
        <v>26</v>
      </c>
      <c r="D883" t="s">
        <v>69</v>
      </c>
      <c r="E883" t="s">
        <v>37</v>
      </c>
      <c r="F883" t="s">
        <v>1034</v>
      </c>
      <c r="G883" t="s">
        <v>22</v>
      </c>
      <c r="J883">
        <v>0</v>
      </c>
      <c r="K883">
        <v>0</v>
      </c>
      <c r="L883">
        <v>0</v>
      </c>
      <c r="M883">
        <v>1</v>
      </c>
      <c r="N883">
        <v>4.2</v>
      </c>
      <c r="O883">
        <v>6.3</v>
      </c>
      <c r="P883">
        <v>3</v>
      </c>
      <c r="Q883" t="s">
        <v>39</v>
      </c>
    </row>
    <row r="884" spans="1:17" x14ac:dyDescent="0.3">
      <c r="A884" t="s">
        <v>1436</v>
      </c>
      <c r="B884" s="2">
        <v>46229</v>
      </c>
      <c r="C884" t="s">
        <v>18</v>
      </c>
      <c r="D884" t="s">
        <v>47</v>
      </c>
      <c r="E884" t="s">
        <v>28</v>
      </c>
      <c r="F884" t="s">
        <v>334</v>
      </c>
      <c r="G884" t="s">
        <v>22</v>
      </c>
      <c r="H884" t="s">
        <v>86</v>
      </c>
      <c r="I884" t="s">
        <v>55</v>
      </c>
      <c r="J884">
        <v>1</v>
      </c>
      <c r="K884">
        <v>27900</v>
      </c>
      <c r="L884">
        <v>0</v>
      </c>
      <c r="N884">
        <v>13.3</v>
      </c>
      <c r="Q884" t="s">
        <v>55</v>
      </c>
    </row>
    <row r="885" spans="1:17" x14ac:dyDescent="0.3">
      <c r="A885" t="s">
        <v>1437</v>
      </c>
      <c r="B885" s="2">
        <v>46241</v>
      </c>
      <c r="C885" t="s">
        <v>18</v>
      </c>
      <c r="D885" t="s">
        <v>64</v>
      </c>
      <c r="E885" t="s">
        <v>20</v>
      </c>
      <c r="F885" t="s">
        <v>400</v>
      </c>
      <c r="G885" t="s">
        <v>44</v>
      </c>
      <c r="H885" t="s">
        <v>86</v>
      </c>
      <c r="I885" t="s">
        <v>89</v>
      </c>
      <c r="J885">
        <v>1</v>
      </c>
      <c r="K885">
        <v>10200</v>
      </c>
      <c r="L885">
        <v>0</v>
      </c>
      <c r="N885">
        <v>15.4</v>
      </c>
      <c r="Q885" t="s">
        <v>89</v>
      </c>
    </row>
    <row r="886" spans="1:17" x14ac:dyDescent="0.3">
      <c r="A886" t="s">
        <v>1438</v>
      </c>
      <c r="B886" s="2">
        <v>45942</v>
      </c>
      <c r="C886" t="s">
        <v>26</v>
      </c>
      <c r="D886" t="s">
        <v>33</v>
      </c>
      <c r="E886" t="s">
        <v>20</v>
      </c>
      <c r="F886" t="s">
        <v>962</v>
      </c>
      <c r="G886" t="s">
        <v>30</v>
      </c>
      <c r="J886">
        <v>0</v>
      </c>
      <c r="K886">
        <v>0</v>
      </c>
      <c r="L886">
        <v>0</v>
      </c>
      <c r="M886">
        <v>1</v>
      </c>
      <c r="N886">
        <v>6.8</v>
      </c>
      <c r="O886">
        <v>11</v>
      </c>
      <c r="P886">
        <v>5</v>
      </c>
      <c r="Q886" t="s">
        <v>39</v>
      </c>
    </row>
    <row r="887" spans="1:17" x14ac:dyDescent="0.3">
      <c r="A887" t="s">
        <v>1439</v>
      </c>
      <c r="B887" s="2">
        <v>46219</v>
      </c>
      <c r="C887" t="s">
        <v>18</v>
      </c>
      <c r="D887" t="s">
        <v>41</v>
      </c>
      <c r="E887" t="s">
        <v>20</v>
      </c>
      <c r="F887" t="s">
        <v>384</v>
      </c>
      <c r="G887" t="s">
        <v>30</v>
      </c>
      <c r="H887" t="s">
        <v>54</v>
      </c>
      <c r="I887" t="s">
        <v>67</v>
      </c>
      <c r="J887">
        <v>1</v>
      </c>
      <c r="K887">
        <v>26000</v>
      </c>
      <c r="L887">
        <v>0</v>
      </c>
      <c r="N887">
        <v>21.1</v>
      </c>
      <c r="Q887" t="s">
        <v>67</v>
      </c>
    </row>
    <row r="888" spans="1:17" x14ac:dyDescent="0.3">
      <c r="A888" t="s">
        <v>1440</v>
      </c>
      <c r="B888" s="2">
        <v>46100</v>
      </c>
      <c r="C888" t="s">
        <v>26</v>
      </c>
      <c r="D888" t="s">
        <v>232</v>
      </c>
      <c r="E888" t="s">
        <v>28</v>
      </c>
      <c r="F888" t="s">
        <v>1441</v>
      </c>
      <c r="G888" t="s">
        <v>22</v>
      </c>
      <c r="J888">
        <v>0</v>
      </c>
      <c r="K888">
        <v>0</v>
      </c>
      <c r="L888">
        <v>0</v>
      </c>
      <c r="M888">
        <v>1</v>
      </c>
      <c r="N888">
        <v>0.9</v>
      </c>
      <c r="O888">
        <v>10.9</v>
      </c>
      <c r="P888">
        <v>5</v>
      </c>
      <c r="Q888" t="s">
        <v>39</v>
      </c>
    </row>
    <row r="889" spans="1:17" x14ac:dyDescent="0.3">
      <c r="A889" t="s">
        <v>1442</v>
      </c>
      <c r="B889" s="2">
        <v>46148</v>
      </c>
      <c r="C889" t="s">
        <v>18</v>
      </c>
      <c r="D889" t="s">
        <v>19</v>
      </c>
      <c r="E889" t="s">
        <v>20</v>
      </c>
      <c r="F889" t="s">
        <v>809</v>
      </c>
      <c r="G889" t="s">
        <v>30</v>
      </c>
      <c r="H889" t="s">
        <v>23</v>
      </c>
      <c r="I889" t="s">
        <v>45</v>
      </c>
      <c r="J889">
        <v>1</v>
      </c>
      <c r="K889">
        <v>32400</v>
      </c>
      <c r="L889">
        <v>0</v>
      </c>
      <c r="N889">
        <v>7.6</v>
      </c>
      <c r="Q889" t="s">
        <v>45</v>
      </c>
    </row>
    <row r="890" spans="1:17" x14ac:dyDescent="0.3">
      <c r="A890" t="s">
        <v>1443</v>
      </c>
      <c r="B890" s="2">
        <v>46038</v>
      </c>
      <c r="C890" t="s">
        <v>18</v>
      </c>
      <c r="D890" t="s">
        <v>19</v>
      </c>
      <c r="E890" t="s">
        <v>20</v>
      </c>
      <c r="F890" t="s">
        <v>476</v>
      </c>
      <c r="G890" t="s">
        <v>22</v>
      </c>
      <c r="H890" t="s">
        <v>23</v>
      </c>
      <c r="I890" t="s">
        <v>67</v>
      </c>
      <c r="J890">
        <v>1</v>
      </c>
      <c r="K890">
        <v>5900</v>
      </c>
      <c r="L890">
        <v>0</v>
      </c>
      <c r="N890">
        <v>2.5</v>
      </c>
      <c r="Q890" t="s">
        <v>67</v>
      </c>
    </row>
    <row r="891" spans="1:17" x14ac:dyDescent="0.3">
      <c r="A891" t="s">
        <v>1444</v>
      </c>
      <c r="B891" s="2">
        <v>46210</v>
      </c>
      <c r="C891" t="s">
        <v>18</v>
      </c>
      <c r="D891" t="s">
        <v>52</v>
      </c>
      <c r="E891" t="s">
        <v>37</v>
      </c>
      <c r="F891" t="s">
        <v>827</v>
      </c>
      <c r="G891" t="s">
        <v>50</v>
      </c>
      <c r="H891" t="s">
        <v>78</v>
      </c>
      <c r="I891" t="s">
        <v>24</v>
      </c>
      <c r="J891">
        <v>1</v>
      </c>
      <c r="K891">
        <v>14900</v>
      </c>
      <c r="L891">
        <v>14900</v>
      </c>
      <c r="N891">
        <v>20.100000000000001</v>
      </c>
      <c r="Q891" t="s">
        <v>24</v>
      </c>
    </row>
    <row r="892" spans="1:17" x14ac:dyDescent="0.3">
      <c r="A892" t="s">
        <v>1445</v>
      </c>
      <c r="B892" s="2">
        <v>46227</v>
      </c>
      <c r="C892" t="s">
        <v>26</v>
      </c>
      <c r="D892" t="s">
        <v>72</v>
      </c>
      <c r="E892" t="s">
        <v>42</v>
      </c>
      <c r="F892" t="s">
        <v>619</v>
      </c>
      <c r="G892" t="s">
        <v>30</v>
      </c>
      <c r="J892">
        <v>0</v>
      </c>
      <c r="K892">
        <v>0</v>
      </c>
      <c r="L892">
        <v>0</v>
      </c>
      <c r="M892">
        <v>1</v>
      </c>
      <c r="N892">
        <v>11.8</v>
      </c>
      <c r="O892">
        <v>13.9</v>
      </c>
      <c r="P892">
        <v>4.4000000000000004</v>
      </c>
      <c r="Q892" t="s">
        <v>39</v>
      </c>
    </row>
    <row r="893" spans="1:17" x14ac:dyDescent="0.3">
      <c r="A893" t="s">
        <v>1446</v>
      </c>
      <c r="B893" s="2">
        <v>46110</v>
      </c>
      <c r="C893" t="s">
        <v>26</v>
      </c>
      <c r="D893" t="s">
        <v>114</v>
      </c>
      <c r="E893" t="s">
        <v>42</v>
      </c>
      <c r="F893" t="s">
        <v>554</v>
      </c>
      <c r="G893" t="s">
        <v>44</v>
      </c>
      <c r="J893">
        <v>0</v>
      </c>
      <c r="K893">
        <v>0</v>
      </c>
      <c r="L893">
        <v>0</v>
      </c>
      <c r="M893">
        <v>1</v>
      </c>
      <c r="N893">
        <v>12</v>
      </c>
      <c r="O893">
        <v>10.3</v>
      </c>
      <c r="P893">
        <v>5</v>
      </c>
      <c r="Q893" t="s">
        <v>225</v>
      </c>
    </row>
    <row r="894" spans="1:17" x14ac:dyDescent="0.3">
      <c r="A894" t="s">
        <v>1447</v>
      </c>
      <c r="B894" s="2">
        <v>46152</v>
      </c>
      <c r="C894" t="s">
        <v>26</v>
      </c>
      <c r="D894" t="s">
        <v>126</v>
      </c>
      <c r="E894" t="s">
        <v>20</v>
      </c>
      <c r="F894" t="s">
        <v>621</v>
      </c>
      <c r="G894" t="s">
        <v>30</v>
      </c>
      <c r="J894">
        <v>0</v>
      </c>
      <c r="K894">
        <v>0</v>
      </c>
      <c r="L894">
        <v>0</v>
      </c>
      <c r="M894">
        <v>1</v>
      </c>
      <c r="N894">
        <v>8.6</v>
      </c>
      <c r="O894">
        <v>7.6</v>
      </c>
      <c r="P894">
        <v>2.9</v>
      </c>
      <c r="Q894" t="s">
        <v>62</v>
      </c>
    </row>
    <row r="895" spans="1:17" x14ac:dyDescent="0.3">
      <c r="A895" t="s">
        <v>1448</v>
      </c>
      <c r="B895" s="2">
        <v>46142</v>
      </c>
      <c r="C895" t="s">
        <v>18</v>
      </c>
      <c r="D895" t="s">
        <v>41</v>
      </c>
      <c r="E895" t="s">
        <v>20</v>
      </c>
      <c r="F895" t="s">
        <v>1083</v>
      </c>
      <c r="G895" t="s">
        <v>30</v>
      </c>
      <c r="H895" t="s">
        <v>78</v>
      </c>
      <c r="I895" t="s">
        <v>55</v>
      </c>
      <c r="J895">
        <v>1</v>
      </c>
      <c r="K895">
        <v>19400</v>
      </c>
      <c r="L895">
        <v>0</v>
      </c>
      <c r="N895">
        <v>4.9000000000000004</v>
      </c>
      <c r="Q895" t="s">
        <v>55</v>
      </c>
    </row>
    <row r="896" spans="1:17" x14ac:dyDescent="0.3">
      <c r="A896" t="s">
        <v>1449</v>
      </c>
      <c r="B896" s="2">
        <v>46153</v>
      </c>
      <c r="C896" t="s">
        <v>26</v>
      </c>
      <c r="D896" t="s">
        <v>72</v>
      </c>
      <c r="E896" t="s">
        <v>20</v>
      </c>
      <c r="F896" t="s">
        <v>1450</v>
      </c>
      <c r="G896" t="s">
        <v>50</v>
      </c>
      <c r="J896">
        <v>0</v>
      </c>
      <c r="K896">
        <v>0</v>
      </c>
      <c r="L896">
        <v>0</v>
      </c>
      <c r="M896">
        <v>1</v>
      </c>
      <c r="N896">
        <v>8</v>
      </c>
      <c r="O896">
        <v>3.6</v>
      </c>
      <c r="P896">
        <v>5</v>
      </c>
      <c r="Q896" t="s">
        <v>39</v>
      </c>
    </row>
    <row r="897" spans="1:17" x14ac:dyDescent="0.3">
      <c r="A897" t="s">
        <v>1451</v>
      </c>
      <c r="B897" s="2">
        <v>46032</v>
      </c>
      <c r="C897" t="s">
        <v>18</v>
      </c>
      <c r="D897" t="s">
        <v>41</v>
      </c>
      <c r="E897" t="s">
        <v>48</v>
      </c>
      <c r="F897" t="s">
        <v>445</v>
      </c>
      <c r="G897" t="s">
        <v>50</v>
      </c>
      <c r="H897" t="s">
        <v>66</v>
      </c>
      <c r="I897" t="s">
        <v>79</v>
      </c>
      <c r="J897">
        <v>1</v>
      </c>
      <c r="K897">
        <v>5000</v>
      </c>
      <c r="L897">
        <v>0</v>
      </c>
      <c r="N897">
        <v>11.4</v>
      </c>
      <c r="Q897" t="s">
        <v>79</v>
      </c>
    </row>
    <row r="898" spans="1:17" x14ac:dyDescent="0.3">
      <c r="A898" t="s">
        <v>1452</v>
      </c>
      <c r="B898" s="2">
        <v>45972</v>
      </c>
      <c r="C898" t="s">
        <v>18</v>
      </c>
      <c r="D898" t="s">
        <v>95</v>
      </c>
      <c r="E898" t="s">
        <v>20</v>
      </c>
      <c r="F898" t="s">
        <v>1453</v>
      </c>
      <c r="G898" t="s">
        <v>44</v>
      </c>
      <c r="H898" t="s">
        <v>66</v>
      </c>
      <c r="I898" t="s">
        <v>79</v>
      </c>
      <c r="J898">
        <v>1</v>
      </c>
      <c r="K898">
        <v>25500</v>
      </c>
      <c r="L898">
        <v>0</v>
      </c>
      <c r="N898">
        <v>21.2</v>
      </c>
      <c r="Q898" t="s">
        <v>79</v>
      </c>
    </row>
    <row r="899" spans="1:17" x14ac:dyDescent="0.3">
      <c r="A899" t="s">
        <v>1454</v>
      </c>
      <c r="B899" s="2">
        <v>46165</v>
      </c>
      <c r="C899" t="s">
        <v>26</v>
      </c>
      <c r="D899" t="s">
        <v>72</v>
      </c>
      <c r="E899" t="s">
        <v>20</v>
      </c>
      <c r="F899" t="s">
        <v>138</v>
      </c>
      <c r="G899" t="s">
        <v>44</v>
      </c>
      <c r="J899">
        <v>0</v>
      </c>
      <c r="K899">
        <v>0</v>
      </c>
      <c r="L899">
        <v>0</v>
      </c>
      <c r="M899">
        <v>1</v>
      </c>
      <c r="N899">
        <v>2</v>
      </c>
      <c r="O899">
        <v>7.7</v>
      </c>
      <c r="P899">
        <v>5</v>
      </c>
      <c r="Q899" t="s">
        <v>39</v>
      </c>
    </row>
    <row r="900" spans="1:17" x14ac:dyDescent="0.3">
      <c r="A900" t="s">
        <v>1455</v>
      </c>
      <c r="B900" s="2">
        <v>46139</v>
      </c>
      <c r="C900" t="s">
        <v>18</v>
      </c>
      <c r="D900" t="s">
        <v>95</v>
      </c>
      <c r="E900" t="s">
        <v>20</v>
      </c>
      <c r="F900" t="s">
        <v>1456</v>
      </c>
      <c r="G900" t="s">
        <v>30</v>
      </c>
      <c r="H900" t="s">
        <v>54</v>
      </c>
      <c r="I900" t="s">
        <v>67</v>
      </c>
      <c r="J900">
        <v>1</v>
      </c>
      <c r="K900">
        <v>33500</v>
      </c>
      <c r="L900">
        <v>0</v>
      </c>
      <c r="N900">
        <v>5.5</v>
      </c>
      <c r="Q900" t="s">
        <v>67</v>
      </c>
    </row>
    <row r="901" spans="1:17" x14ac:dyDescent="0.3">
      <c r="A901" t="s">
        <v>1457</v>
      </c>
      <c r="B901" s="2">
        <v>46151</v>
      </c>
      <c r="C901" t="s">
        <v>18</v>
      </c>
      <c r="D901" t="s">
        <v>41</v>
      </c>
      <c r="E901" t="s">
        <v>37</v>
      </c>
      <c r="F901" t="s">
        <v>905</v>
      </c>
      <c r="G901" t="s">
        <v>30</v>
      </c>
      <c r="H901" t="s">
        <v>78</v>
      </c>
      <c r="I901" t="s">
        <v>55</v>
      </c>
      <c r="J901">
        <v>1</v>
      </c>
      <c r="K901">
        <v>20600</v>
      </c>
      <c r="L901">
        <v>0</v>
      </c>
      <c r="N901">
        <v>14.8</v>
      </c>
      <c r="Q901" t="s">
        <v>55</v>
      </c>
    </row>
    <row r="902" spans="1:17" x14ac:dyDescent="0.3">
      <c r="A902" t="s">
        <v>1458</v>
      </c>
      <c r="B902" s="2">
        <v>46002</v>
      </c>
      <c r="C902" t="s">
        <v>18</v>
      </c>
      <c r="D902" t="s">
        <v>117</v>
      </c>
      <c r="E902" t="s">
        <v>48</v>
      </c>
      <c r="F902" t="s">
        <v>180</v>
      </c>
      <c r="G902" t="s">
        <v>22</v>
      </c>
      <c r="H902" t="s">
        <v>23</v>
      </c>
      <c r="I902" t="s">
        <v>24</v>
      </c>
      <c r="J902">
        <v>1</v>
      </c>
      <c r="K902">
        <v>13000</v>
      </c>
      <c r="L902">
        <v>13000</v>
      </c>
      <c r="N902">
        <v>15.6</v>
      </c>
      <c r="Q902" t="s">
        <v>24</v>
      </c>
    </row>
    <row r="903" spans="1:17" x14ac:dyDescent="0.3">
      <c r="A903" t="s">
        <v>1459</v>
      </c>
      <c r="B903" s="2">
        <v>46016</v>
      </c>
      <c r="C903" t="s">
        <v>18</v>
      </c>
      <c r="D903" t="s">
        <v>105</v>
      </c>
      <c r="E903" t="s">
        <v>20</v>
      </c>
      <c r="F903" t="s">
        <v>1074</v>
      </c>
      <c r="G903" t="s">
        <v>44</v>
      </c>
      <c r="H903" t="s">
        <v>66</v>
      </c>
      <c r="I903" t="s">
        <v>55</v>
      </c>
      <c r="J903">
        <v>1</v>
      </c>
      <c r="K903">
        <v>12400</v>
      </c>
      <c r="L903">
        <v>0</v>
      </c>
      <c r="N903">
        <v>11.3</v>
      </c>
      <c r="Q903" t="s">
        <v>55</v>
      </c>
    </row>
    <row r="904" spans="1:17" x14ac:dyDescent="0.3">
      <c r="A904" t="s">
        <v>1460</v>
      </c>
      <c r="B904" s="2">
        <v>46104</v>
      </c>
      <c r="C904" t="s">
        <v>18</v>
      </c>
      <c r="D904" t="s">
        <v>117</v>
      </c>
      <c r="E904" t="s">
        <v>42</v>
      </c>
      <c r="F904" t="s">
        <v>1461</v>
      </c>
      <c r="G904" t="s">
        <v>44</v>
      </c>
      <c r="H904" t="s">
        <v>78</v>
      </c>
      <c r="I904" t="s">
        <v>79</v>
      </c>
      <c r="J904">
        <v>1</v>
      </c>
      <c r="K904">
        <v>15800</v>
      </c>
      <c r="L904">
        <v>0</v>
      </c>
      <c r="N904">
        <v>5.8</v>
      </c>
      <c r="Q904" t="s">
        <v>79</v>
      </c>
    </row>
    <row r="905" spans="1:17" x14ac:dyDescent="0.3">
      <c r="A905" t="s">
        <v>1462</v>
      </c>
      <c r="B905" s="2">
        <v>46189</v>
      </c>
      <c r="C905" t="s">
        <v>26</v>
      </c>
      <c r="D905" t="s">
        <v>126</v>
      </c>
      <c r="E905" t="s">
        <v>20</v>
      </c>
      <c r="F905" t="s">
        <v>1059</v>
      </c>
      <c r="G905" t="s">
        <v>44</v>
      </c>
      <c r="J905">
        <v>0</v>
      </c>
      <c r="K905">
        <v>0</v>
      </c>
      <c r="L905">
        <v>0</v>
      </c>
      <c r="M905">
        <v>1</v>
      </c>
      <c r="N905">
        <v>0.5</v>
      </c>
      <c r="O905">
        <v>3.3</v>
      </c>
      <c r="P905">
        <v>3.7</v>
      </c>
      <c r="Q905" t="s">
        <v>39</v>
      </c>
    </row>
    <row r="906" spans="1:17" x14ac:dyDescent="0.3">
      <c r="A906" t="s">
        <v>1463</v>
      </c>
      <c r="B906" s="2">
        <v>46120</v>
      </c>
      <c r="C906" t="s">
        <v>18</v>
      </c>
      <c r="D906" t="s">
        <v>105</v>
      </c>
      <c r="E906" t="s">
        <v>20</v>
      </c>
      <c r="F906" t="s">
        <v>188</v>
      </c>
      <c r="G906" t="s">
        <v>30</v>
      </c>
      <c r="H906" t="s">
        <v>78</v>
      </c>
      <c r="I906" t="s">
        <v>45</v>
      </c>
      <c r="J906">
        <v>1</v>
      </c>
      <c r="K906">
        <v>29100</v>
      </c>
      <c r="L906">
        <v>0</v>
      </c>
      <c r="N906">
        <v>19.899999999999999</v>
      </c>
      <c r="Q906" t="s">
        <v>45</v>
      </c>
    </row>
    <row r="907" spans="1:17" x14ac:dyDescent="0.3">
      <c r="A907" t="s">
        <v>1464</v>
      </c>
      <c r="B907" s="2">
        <v>45919</v>
      </c>
      <c r="C907" t="s">
        <v>26</v>
      </c>
      <c r="D907" t="s">
        <v>232</v>
      </c>
      <c r="E907" t="s">
        <v>20</v>
      </c>
      <c r="F907" t="s">
        <v>1284</v>
      </c>
      <c r="G907" t="s">
        <v>22</v>
      </c>
      <c r="J907">
        <v>0</v>
      </c>
      <c r="K907">
        <v>0</v>
      </c>
      <c r="L907">
        <v>0</v>
      </c>
      <c r="M907">
        <v>1</v>
      </c>
      <c r="N907">
        <v>11.2</v>
      </c>
      <c r="O907">
        <v>3.2</v>
      </c>
      <c r="P907">
        <v>4.5999999999999996</v>
      </c>
      <c r="Q907" t="s">
        <v>39</v>
      </c>
    </row>
    <row r="908" spans="1:17" x14ac:dyDescent="0.3">
      <c r="A908" t="s">
        <v>1465</v>
      </c>
      <c r="B908" s="2">
        <v>46006</v>
      </c>
      <c r="C908" t="s">
        <v>26</v>
      </c>
      <c r="D908" t="s">
        <v>232</v>
      </c>
      <c r="E908" t="s">
        <v>37</v>
      </c>
      <c r="F908" t="s">
        <v>671</v>
      </c>
      <c r="G908" t="s">
        <v>44</v>
      </c>
      <c r="J908">
        <v>0</v>
      </c>
      <c r="K908">
        <v>0</v>
      </c>
      <c r="L908">
        <v>0</v>
      </c>
      <c r="M908">
        <v>1</v>
      </c>
      <c r="N908">
        <v>1</v>
      </c>
      <c r="O908">
        <v>25.7</v>
      </c>
      <c r="P908">
        <v>4.4000000000000004</v>
      </c>
      <c r="Q908" t="s">
        <v>39</v>
      </c>
    </row>
    <row r="909" spans="1:17" x14ac:dyDescent="0.3">
      <c r="A909" t="s">
        <v>1466</v>
      </c>
      <c r="B909" s="2">
        <v>46136</v>
      </c>
      <c r="C909" t="s">
        <v>18</v>
      </c>
      <c r="D909" t="s">
        <v>52</v>
      </c>
      <c r="E909" t="s">
        <v>20</v>
      </c>
      <c r="F909" t="s">
        <v>1316</v>
      </c>
      <c r="G909" t="s">
        <v>30</v>
      </c>
      <c r="H909" t="s">
        <v>86</v>
      </c>
      <c r="I909" t="s">
        <v>45</v>
      </c>
      <c r="J909">
        <v>1</v>
      </c>
      <c r="K909">
        <v>35800</v>
      </c>
      <c r="L909">
        <v>0</v>
      </c>
      <c r="N909">
        <v>8.8000000000000007</v>
      </c>
      <c r="Q909" t="s">
        <v>45</v>
      </c>
    </row>
    <row r="910" spans="1:17" x14ac:dyDescent="0.3">
      <c r="A910" t="s">
        <v>1467</v>
      </c>
      <c r="B910" s="2">
        <v>46262</v>
      </c>
      <c r="C910" t="s">
        <v>18</v>
      </c>
      <c r="D910" t="s">
        <v>19</v>
      </c>
      <c r="E910" t="s">
        <v>37</v>
      </c>
      <c r="F910" t="s">
        <v>1468</v>
      </c>
      <c r="G910" t="s">
        <v>22</v>
      </c>
      <c r="H910" t="s">
        <v>23</v>
      </c>
      <c r="I910" t="s">
        <v>89</v>
      </c>
      <c r="J910">
        <v>1</v>
      </c>
      <c r="K910">
        <v>10300</v>
      </c>
      <c r="L910">
        <v>0</v>
      </c>
      <c r="N910">
        <v>13.4</v>
      </c>
      <c r="Q910" t="s">
        <v>89</v>
      </c>
    </row>
    <row r="911" spans="1:17" x14ac:dyDescent="0.3">
      <c r="A911" t="s">
        <v>1469</v>
      </c>
      <c r="B911" s="2">
        <v>46197</v>
      </c>
      <c r="C911" t="s">
        <v>18</v>
      </c>
      <c r="D911" t="s">
        <v>52</v>
      </c>
      <c r="E911" t="s">
        <v>20</v>
      </c>
      <c r="F911" t="s">
        <v>320</v>
      </c>
      <c r="G911" t="s">
        <v>22</v>
      </c>
      <c r="H911" t="s">
        <v>86</v>
      </c>
      <c r="I911" t="s">
        <v>45</v>
      </c>
      <c r="J911">
        <v>1</v>
      </c>
      <c r="K911">
        <v>53200</v>
      </c>
      <c r="L911">
        <v>0</v>
      </c>
      <c r="N911">
        <v>12.5</v>
      </c>
      <c r="Q911" t="s">
        <v>45</v>
      </c>
    </row>
    <row r="912" spans="1:17" x14ac:dyDescent="0.3">
      <c r="A912" t="s">
        <v>1470</v>
      </c>
      <c r="B912" s="2">
        <v>46068</v>
      </c>
      <c r="C912" t="s">
        <v>26</v>
      </c>
      <c r="D912" t="s">
        <v>72</v>
      </c>
      <c r="E912" t="s">
        <v>20</v>
      </c>
      <c r="F912" t="s">
        <v>306</v>
      </c>
      <c r="G912" t="s">
        <v>30</v>
      </c>
      <c r="J912">
        <v>0</v>
      </c>
      <c r="K912">
        <v>0</v>
      </c>
      <c r="L912">
        <v>0</v>
      </c>
      <c r="M912">
        <v>1</v>
      </c>
      <c r="N912">
        <v>6</v>
      </c>
      <c r="O912">
        <v>3.4</v>
      </c>
      <c r="P912">
        <v>3.7</v>
      </c>
      <c r="Q912" t="s">
        <v>39</v>
      </c>
    </row>
    <row r="913" spans="1:17" x14ac:dyDescent="0.3">
      <c r="A913" t="s">
        <v>1471</v>
      </c>
      <c r="B913" s="2">
        <v>45909</v>
      </c>
      <c r="C913" t="s">
        <v>18</v>
      </c>
      <c r="D913" t="s">
        <v>52</v>
      </c>
      <c r="E913" t="s">
        <v>48</v>
      </c>
      <c r="F913" t="s">
        <v>1067</v>
      </c>
      <c r="G913" t="s">
        <v>30</v>
      </c>
      <c r="H913" t="s">
        <v>78</v>
      </c>
      <c r="I913" t="s">
        <v>24</v>
      </c>
      <c r="J913">
        <v>1</v>
      </c>
      <c r="K913">
        <v>12700</v>
      </c>
      <c r="L913">
        <v>12700</v>
      </c>
      <c r="N913">
        <v>1</v>
      </c>
      <c r="Q913" t="s">
        <v>24</v>
      </c>
    </row>
    <row r="914" spans="1:17" x14ac:dyDescent="0.3">
      <c r="A914" t="s">
        <v>1472</v>
      </c>
      <c r="B914" s="2">
        <v>45952</v>
      </c>
      <c r="C914" t="s">
        <v>26</v>
      </c>
      <c r="D914" t="s">
        <v>114</v>
      </c>
      <c r="E914" t="s">
        <v>20</v>
      </c>
      <c r="F914" t="s">
        <v>1473</v>
      </c>
      <c r="G914" t="s">
        <v>30</v>
      </c>
      <c r="J914">
        <v>0</v>
      </c>
      <c r="K914">
        <v>0</v>
      </c>
      <c r="L914">
        <v>0</v>
      </c>
      <c r="M914">
        <v>1</v>
      </c>
      <c r="N914">
        <v>4.9000000000000004</v>
      </c>
      <c r="O914">
        <v>7.2</v>
      </c>
      <c r="P914">
        <v>4.4000000000000004</v>
      </c>
      <c r="Q914" t="s">
        <v>31</v>
      </c>
    </row>
    <row r="915" spans="1:17" x14ac:dyDescent="0.3">
      <c r="A915" t="s">
        <v>1474</v>
      </c>
      <c r="B915" s="2">
        <v>46257</v>
      </c>
      <c r="C915" t="s">
        <v>18</v>
      </c>
      <c r="D915" t="s">
        <v>52</v>
      </c>
      <c r="E915" t="s">
        <v>37</v>
      </c>
      <c r="F915" t="s">
        <v>635</v>
      </c>
      <c r="G915" t="s">
        <v>22</v>
      </c>
      <c r="H915" t="s">
        <v>86</v>
      </c>
      <c r="I915" t="s">
        <v>45</v>
      </c>
      <c r="J915">
        <v>1</v>
      </c>
      <c r="K915">
        <v>19300</v>
      </c>
      <c r="L915">
        <v>0</v>
      </c>
      <c r="N915">
        <v>17.899999999999999</v>
      </c>
      <c r="Q915" t="s">
        <v>45</v>
      </c>
    </row>
    <row r="916" spans="1:17" x14ac:dyDescent="0.3">
      <c r="A916" t="s">
        <v>1475</v>
      </c>
      <c r="B916" s="2">
        <v>46063</v>
      </c>
      <c r="C916" t="s">
        <v>26</v>
      </c>
      <c r="D916" t="s">
        <v>126</v>
      </c>
      <c r="E916" t="s">
        <v>28</v>
      </c>
      <c r="F916" t="s">
        <v>77</v>
      </c>
      <c r="G916" t="s">
        <v>22</v>
      </c>
      <c r="J916">
        <v>0</v>
      </c>
      <c r="K916">
        <v>0</v>
      </c>
      <c r="L916">
        <v>0</v>
      </c>
      <c r="M916">
        <v>1</v>
      </c>
      <c r="N916">
        <v>11.9</v>
      </c>
      <c r="O916">
        <v>3.6</v>
      </c>
      <c r="P916">
        <v>3.6</v>
      </c>
      <c r="Q916" t="s">
        <v>31</v>
      </c>
    </row>
    <row r="917" spans="1:17" x14ac:dyDescent="0.3">
      <c r="A917" t="s">
        <v>1476</v>
      </c>
      <c r="B917" s="2">
        <v>45967</v>
      </c>
      <c r="C917" t="s">
        <v>18</v>
      </c>
      <c r="D917" t="s">
        <v>64</v>
      </c>
      <c r="E917" t="s">
        <v>28</v>
      </c>
      <c r="F917" t="s">
        <v>566</v>
      </c>
      <c r="G917" t="s">
        <v>44</v>
      </c>
      <c r="H917" t="s">
        <v>86</v>
      </c>
      <c r="I917" t="s">
        <v>89</v>
      </c>
      <c r="J917">
        <v>1</v>
      </c>
      <c r="K917">
        <v>47900</v>
      </c>
      <c r="L917">
        <v>0</v>
      </c>
      <c r="N917">
        <v>16.2</v>
      </c>
      <c r="Q917" t="s">
        <v>89</v>
      </c>
    </row>
    <row r="918" spans="1:17" x14ac:dyDescent="0.3">
      <c r="A918" t="s">
        <v>1477</v>
      </c>
      <c r="B918" s="2">
        <v>46072</v>
      </c>
      <c r="C918" t="s">
        <v>18</v>
      </c>
      <c r="D918" t="s">
        <v>117</v>
      </c>
      <c r="E918" t="s">
        <v>48</v>
      </c>
      <c r="F918" t="s">
        <v>1478</v>
      </c>
      <c r="G918" t="s">
        <v>44</v>
      </c>
      <c r="H918" t="s">
        <v>78</v>
      </c>
      <c r="I918" t="s">
        <v>79</v>
      </c>
      <c r="J918">
        <v>1</v>
      </c>
      <c r="K918">
        <v>28500</v>
      </c>
      <c r="L918">
        <v>0</v>
      </c>
      <c r="N918">
        <v>12.5</v>
      </c>
      <c r="Q918" t="s">
        <v>79</v>
      </c>
    </row>
    <row r="919" spans="1:17" x14ac:dyDescent="0.3">
      <c r="A919" t="s">
        <v>1479</v>
      </c>
      <c r="B919" s="2">
        <v>45976</v>
      </c>
      <c r="C919" t="s">
        <v>26</v>
      </c>
      <c r="D919" t="s">
        <v>72</v>
      </c>
      <c r="E919" t="s">
        <v>20</v>
      </c>
      <c r="F919" t="s">
        <v>1020</v>
      </c>
      <c r="G919" t="s">
        <v>30</v>
      </c>
      <c r="J919">
        <v>0</v>
      </c>
      <c r="K919">
        <v>0</v>
      </c>
      <c r="L919">
        <v>0</v>
      </c>
      <c r="M919">
        <v>1</v>
      </c>
      <c r="N919">
        <v>6.8</v>
      </c>
      <c r="O919">
        <v>15.1</v>
      </c>
      <c r="P919">
        <v>2.6</v>
      </c>
      <c r="Q919" t="s">
        <v>62</v>
      </c>
    </row>
    <row r="920" spans="1:17" x14ac:dyDescent="0.3">
      <c r="A920" t="s">
        <v>1480</v>
      </c>
      <c r="B920" s="2">
        <v>46230</v>
      </c>
      <c r="C920" t="s">
        <v>26</v>
      </c>
      <c r="D920" t="s">
        <v>33</v>
      </c>
      <c r="E920" t="s">
        <v>28</v>
      </c>
      <c r="F920" t="s">
        <v>1481</v>
      </c>
      <c r="G920" t="s">
        <v>22</v>
      </c>
      <c r="J920">
        <v>0</v>
      </c>
      <c r="K920">
        <v>0</v>
      </c>
      <c r="L920">
        <v>0</v>
      </c>
      <c r="M920">
        <v>1</v>
      </c>
      <c r="N920">
        <v>9</v>
      </c>
      <c r="O920">
        <v>13.8</v>
      </c>
      <c r="P920">
        <v>4.5</v>
      </c>
      <c r="Q920" t="s">
        <v>39</v>
      </c>
    </row>
    <row r="921" spans="1:17" x14ac:dyDescent="0.3">
      <c r="A921" t="s">
        <v>1482</v>
      </c>
      <c r="B921" s="2">
        <v>45983</v>
      </c>
      <c r="C921" t="s">
        <v>18</v>
      </c>
      <c r="D921" t="s">
        <v>117</v>
      </c>
      <c r="E921" t="s">
        <v>20</v>
      </c>
      <c r="F921" t="s">
        <v>1143</v>
      </c>
      <c r="G921" t="s">
        <v>22</v>
      </c>
      <c r="H921" t="s">
        <v>78</v>
      </c>
      <c r="I921" t="s">
        <v>67</v>
      </c>
      <c r="J921">
        <v>1</v>
      </c>
      <c r="K921">
        <v>37400</v>
      </c>
      <c r="L921">
        <v>0</v>
      </c>
      <c r="N921">
        <v>14.3</v>
      </c>
      <c r="Q921" t="s">
        <v>67</v>
      </c>
    </row>
    <row r="922" spans="1:17" x14ac:dyDescent="0.3">
      <c r="A922" t="s">
        <v>1483</v>
      </c>
      <c r="B922" s="2">
        <v>45950</v>
      </c>
      <c r="C922" t="s">
        <v>26</v>
      </c>
      <c r="D922" t="s">
        <v>114</v>
      </c>
      <c r="E922" t="s">
        <v>20</v>
      </c>
      <c r="F922" t="s">
        <v>1425</v>
      </c>
      <c r="G922" t="s">
        <v>22</v>
      </c>
      <c r="J922">
        <v>0</v>
      </c>
      <c r="K922">
        <v>0</v>
      </c>
      <c r="L922">
        <v>0</v>
      </c>
      <c r="M922">
        <v>1</v>
      </c>
      <c r="N922">
        <v>11</v>
      </c>
      <c r="O922">
        <v>3.8</v>
      </c>
      <c r="P922">
        <v>2.2999999999999998</v>
      </c>
      <c r="Q922" t="s">
        <v>39</v>
      </c>
    </row>
    <row r="923" spans="1:17" x14ac:dyDescent="0.3">
      <c r="A923" t="s">
        <v>1484</v>
      </c>
      <c r="B923" s="2">
        <v>45990</v>
      </c>
      <c r="C923" t="s">
        <v>18</v>
      </c>
      <c r="D923" t="s">
        <v>19</v>
      </c>
      <c r="E923" t="s">
        <v>20</v>
      </c>
      <c r="F923" t="s">
        <v>101</v>
      </c>
      <c r="G923" t="s">
        <v>22</v>
      </c>
      <c r="H923" t="s">
        <v>54</v>
      </c>
      <c r="I923" t="s">
        <v>24</v>
      </c>
      <c r="J923">
        <v>1</v>
      </c>
      <c r="K923">
        <v>24500</v>
      </c>
      <c r="L923">
        <v>24500</v>
      </c>
      <c r="N923">
        <v>12.8</v>
      </c>
      <c r="Q923" t="s">
        <v>24</v>
      </c>
    </row>
    <row r="924" spans="1:17" x14ac:dyDescent="0.3">
      <c r="A924" t="s">
        <v>1485</v>
      </c>
      <c r="B924" s="2">
        <v>46207</v>
      </c>
      <c r="C924" t="s">
        <v>26</v>
      </c>
      <c r="D924" t="s">
        <v>114</v>
      </c>
      <c r="E924" t="s">
        <v>48</v>
      </c>
      <c r="F924" t="s">
        <v>485</v>
      </c>
      <c r="G924" t="s">
        <v>22</v>
      </c>
      <c r="J924">
        <v>0</v>
      </c>
      <c r="K924">
        <v>0</v>
      </c>
      <c r="L924">
        <v>0</v>
      </c>
      <c r="M924">
        <v>1</v>
      </c>
      <c r="N924">
        <v>6.1</v>
      </c>
      <c r="O924">
        <v>11.1</v>
      </c>
      <c r="P924">
        <v>4</v>
      </c>
      <c r="Q924" t="s">
        <v>62</v>
      </c>
    </row>
    <row r="925" spans="1:17" x14ac:dyDescent="0.3">
      <c r="A925" t="s">
        <v>1486</v>
      </c>
      <c r="B925" s="2">
        <v>45946</v>
      </c>
      <c r="C925" t="s">
        <v>26</v>
      </c>
      <c r="D925" t="s">
        <v>232</v>
      </c>
      <c r="E925" t="s">
        <v>42</v>
      </c>
      <c r="F925" t="s">
        <v>424</v>
      </c>
      <c r="G925" t="s">
        <v>30</v>
      </c>
      <c r="J925">
        <v>0</v>
      </c>
      <c r="K925">
        <v>0</v>
      </c>
      <c r="L925">
        <v>0</v>
      </c>
      <c r="M925">
        <v>1</v>
      </c>
      <c r="N925">
        <v>1.8</v>
      </c>
      <c r="O925">
        <v>11.1</v>
      </c>
      <c r="P925">
        <v>4.3</v>
      </c>
      <c r="Q925" t="s">
        <v>39</v>
      </c>
    </row>
    <row r="926" spans="1:17" x14ac:dyDescent="0.3">
      <c r="A926" t="s">
        <v>1487</v>
      </c>
      <c r="B926" s="2">
        <v>46086</v>
      </c>
      <c r="C926" t="s">
        <v>18</v>
      </c>
      <c r="D926" t="s">
        <v>117</v>
      </c>
      <c r="E926" t="s">
        <v>48</v>
      </c>
      <c r="F926" t="s">
        <v>1456</v>
      </c>
      <c r="G926" t="s">
        <v>22</v>
      </c>
      <c r="H926" t="s">
        <v>86</v>
      </c>
      <c r="I926" t="s">
        <v>24</v>
      </c>
      <c r="J926">
        <v>1</v>
      </c>
      <c r="K926">
        <v>9000</v>
      </c>
      <c r="L926">
        <v>9000</v>
      </c>
      <c r="N926">
        <v>19.100000000000001</v>
      </c>
      <c r="Q926" t="s">
        <v>24</v>
      </c>
    </row>
    <row r="927" spans="1:17" x14ac:dyDescent="0.3">
      <c r="A927" t="s">
        <v>1488</v>
      </c>
      <c r="B927" s="2">
        <v>46137</v>
      </c>
      <c r="C927" t="s">
        <v>18</v>
      </c>
      <c r="D927" t="s">
        <v>47</v>
      </c>
      <c r="E927" t="s">
        <v>20</v>
      </c>
      <c r="F927" t="s">
        <v>290</v>
      </c>
      <c r="G927" t="s">
        <v>22</v>
      </c>
      <c r="H927" t="s">
        <v>86</v>
      </c>
      <c r="I927" t="s">
        <v>79</v>
      </c>
      <c r="J927">
        <v>1</v>
      </c>
      <c r="K927">
        <v>15100</v>
      </c>
      <c r="L927">
        <v>0</v>
      </c>
      <c r="N927">
        <v>4.9000000000000004</v>
      </c>
      <c r="Q927" t="s">
        <v>79</v>
      </c>
    </row>
    <row r="928" spans="1:17" x14ac:dyDescent="0.3">
      <c r="A928" t="s">
        <v>1489</v>
      </c>
      <c r="B928" s="2">
        <v>45960</v>
      </c>
      <c r="C928" t="s">
        <v>18</v>
      </c>
      <c r="D928" t="s">
        <v>64</v>
      </c>
      <c r="E928" t="s">
        <v>20</v>
      </c>
      <c r="F928" t="s">
        <v>971</v>
      </c>
      <c r="G928" t="s">
        <v>22</v>
      </c>
      <c r="H928" t="s">
        <v>86</v>
      </c>
      <c r="I928" t="s">
        <v>24</v>
      </c>
      <c r="J928">
        <v>1</v>
      </c>
      <c r="K928">
        <v>33100</v>
      </c>
      <c r="L928">
        <v>33100</v>
      </c>
      <c r="N928">
        <v>10.6</v>
      </c>
      <c r="Q928" t="s">
        <v>24</v>
      </c>
    </row>
    <row r="929" spans="1:17" x14ac:dyDescent="0.3">
      <c r="A929" t="s">
        <v>1490</v>
      </c>
      <c r="B929" s="2">
        <v>45980</v>
      </c>
      <c r="C929" t="s">
        <v>18</v>
      </c>
      <c r="D929" t="s">
        <v>41</v>
      </c>
      <c r="E929" t="s">
        <v>37</v>
      </c>
      <c r="F929" t="s">
        <v>605</v>
      </c>
      <c r="G929" t="s">
        <v>30</v>
      </c>
      <c r="H929" t="s">
        <v>78</v>
      </c>
      <c r="I929" t="s">
        <v>55</v>
      </c>
      <c r="J929">
        <v>1</v>
      </c>
      <c r="K929">
        <v>9400</v>
      </c>
      <c r="L929">
        <v>0</v>
      </c>
      <c r="N929">
        <v>16.7</v>
      </c>
      <c r="Q929" t="s">
        <v>55</v>
      </c>
    </row>
    <row r="930" spans="1:17" x14ac:dyDescent="0.3">
      <c r="A930" t="s">
        <v>1491</v>
      </c>
      <c r="B930" s="2">
        <v>46082</v>
      </c>
      <c r="C930" t="s">
        <v>26</v>
      </c>
      <c r="D930" t="s">
        <v>36</v>
      </c>
      <c r="E930" t="s">
        <v>37</v>
      </c>
      <c r="F930" t="s">
        <v>1492</v>
      </c>
      <c r="G930" t="s">
        <v>50</v>
      </c>
      <c r="J930">
        <v>0</v>
      </c>
      <c r="K930">
        <v>0</v>
      </c>
      <c r="L930">
        <v>0</v>
      </c>
      <c r="M930">
        <v>1</v>
      </c>
      <c r="N930">
        <v>10.1</v>
      </c>
      <c r="O930">
        <v>3.1</v>
      </c>
      <c r="P930">
        <v>4.8</v>
      </c>
      <c r="Q930" t="s">
        <v>31</v>
      </c>
    </row>
    <row r="931" spans="1:17" x14ac:dyDescent="0.3">
      <c r="A931" t="s">
        <v>1493</v>
      </c>
      <c r="B931" s="2">
        <v>46096</v>
      </c>
      <c r="C931" t="s">
        <v>18</v>
      </c>
      <c r="D931" t="s">
        <v>19</v>
      </c>
      <c r="E931" t="s">
        <v>42</v>
      </c>
      <c r="F931" t="s">
        <v>386</v>
      </c>
      <c r="G931" t="s">
        <v>22</v>
      </c>
      <c r="H931" t="s">
        <v>66</v>
      </c>
      <c r="I931" t="s">
        <v>67</v>
      </c>
      <c r="J931">
        <v>1</v>
      </c>
      <c r="K931">
        <v>56100</v>
      </c>
      <c r="L931">
        <v>0</v>
      </c>
      <c r="N931">
        <v>22.2</v>
      </c>
      <c r="Q931" t="s">
        <v>67</v>
      </c>
    </row>
    <row r="932" spans="1:17" x14ac:dyDescent="0.3">
      <c r="A932" t="s">
        <v>1494</v>
      </c>
      <c r="B932" s="2">
        <v>46040</v>
      </c>
      <c r="C932" t="s">
        <v>18</v>
      </c>
      <c r="D932" t="s">
        <v>52</v>
      </c>
      <c r="E932" t="s">
        <v>37</v>
      </c>
      <c r="F932" t="s">
        <v>407</v>
      </c>
      <c r="G932" t="s">
        <v>44</v>
      </c>
      <c r="H932" t="s">
        <v>78</v>
      </c>
      <c r="I932" t="s">
        <v>55</v>
      </c>
      <c r="J932">
        <v>1</v>
      </c>
      <c r="K932">
        <v>11900</v>
      </c>
      <c r="L932">
        <v>0</v>
      </c>
      <c r="N932">
        <v>11.7</v>
      </c>
      <c r="Q932" t="s">
        <v>55</v>
      </c>
    </row>
    <row r="933" spans="1:17" x14ac:dyDescent="0.3">
      <c r="A933" t="s">
        <v>1495</v>
      </c>
      <c r="B933" s="2">
        <v>46013</v>
      </c>
      <c r="C933" t="s">
        <v>26</v>
      </c>
      <c r="D933" t="s">
        <v>69</v>
      </c>
      <c r="E933" t="s">
        <v>20</v>
      </c>
      <c r="F933" t="s">
        <v>1496</v>
      </c>
      <c r="G933" t="s">
        <v>44</v>
      </c>
      <c r="J933">
        <v>0</v>
      </c>
      <c r="K933">
        <v>0</v>
      </c>
      <c r="L933">
        <v>0</v>
      </c>
      <c r="M933">
        <v>1</v>
      </c>
      <c r="N933">
        <v>6.4</v>
      </c>
      <c r="O933">
        <v>2.5</v>
      </c>
      <c r="P933">
        <v>4.8</v>
      </c>
      <c r="Q933" t="s">
        <v>39</v>
      </c>
    </row>
    <row r="934" spans="1:17" x14ac:dyDescent="0.3">
      <c r="A934" t="s">
        <v>1497</v>
      </c>
      <c r="B934" s="2">
        <v>46256</v>
      </c>
      <c r="C934" t="s">
        <v>26</v>
      </c>
      <c r="D934" t="s">
        <v>114</v>
      </c>
      <c r="E934" t="s">
        <v>20</v>
      </c>
      <c r="F934" t="s">
        <v>1074</v>
      </c>
      <c r="G934" t="s">
        <v>44</v>
      </c>
      <c r="J934">
        <v>0</v>
      </c>
      <c r="K934">
        <v>0</v>
      </c>
      <c r="L934">
        <v>0</v>
      </c>
      <c r="M934">
        <v>1</v>
      </c>
      <c r="N934">
        <v>11.3</v>
      </c>
      <c r="O934">
        <v>20.100000000000001</v>
      </c>
      <c r="P934">
        <v>4.2</v>
      </c>
      <c r="Q934" t="s">
        <v>39</v>
      </c>
    </row>
    <row r="935" spans="1:17" x14ac:dyDescent="0.3">
      <c r="A935" t="s">
        <v>1498</v>
      </c>
      <c r="B935" s="2">
        <v>45927</v>
      </c>
      <c r="C935" t="s">
        <v>18</v>
      </c>
      <c r="D935" t="s">
        <v>41</v>
      </c>
      <c r="E935" t="s">
        <v>20</v>
      </c>
      <c r="F935" t="s">
        <v>549</v>
      </c>
      <c r="G935" t="s">
        <v>30</v>
      </c>
      <c r="H935" t="s">
        <v>23</v>
      </c>
      <c r="I935" t="s">
        <v>55</v>
      </c>
      <c r="J935">
        <v>1</v>
      </c>
      <c r="K935">
        <v>26400</v>
      </c>
      <c r="L935">
        <v>0</v>
      </c>
      <c r="N935">
        <v>6.7</v>
      </c>
      <c r="Q935" t="s">
        <v>55</v>
      </c>
    </row>
    <row r="936" spans="1:17" x14ac:dyDescent="0.3">
      <c r="A936" t="s">
        <v>1499</v>
      </c>
      <c r="B936" s="2">
        <v>45930</v>
      </c>
      <c r="C936" t="s">
        <v>18</v>
      </c>
      <c r="D936" t="s">
        <v>41</v>
      </c>
      <c r="E936" t="s">
        <v>37</v>
      </c>
      <c r="F936" t="s">
        <v>510</v>
      </c>
      <c r="G936" t="s">
        <v>22</v>
      </c>
      <c r="H936" t="s">
        <v>66</v>
      </c>
      <c r="I936" t="s">
        <v>55</v>
      </c>
      <c r="J936">
        <v>1</v>
      </c>
      <c r="K936">
        <v>38800</v>
      </c>
      <c r="L936">
        <v>0</v>
      </c>
      <c r="N936">
        <v>23.3</v>
      </c>
      <c r="Q936" t="s">
        <v>55</v>
      </c>
    </row>
    <row r="937" spans="1:17" x14ac:dyDescent="0.3">
      <c r="A937" t="s">
        <v>1500</v>
      </c>
      <c r="B937" s="2">
        <v>46014</v>
      </c>
      <c r="C937" t="s">
        <v>18</v>
      </c>
      <c r="D937" t="s">
        <v>41</v>
      </c>
      <c r="E937" t="s">
        <v>37</v>
      </c>
      <c r="F937" t="s">
        <v>754</v>
      </c>
      <c r="G937" t="s">
        <v>44</v>
      </c>
      <c r="H937" t="s">
        <v>86</v>
      </c>
      <c r="I937" t="s">
        <v>24</v>
      </c>
      <c r="J937">
        <v>1</v>
      </c>
      <c r="K937">
        <v>12900</v>
      </c>
      <c r="L937">
        <v>12900</v>
      </c>
      <c r="N937">
        <v>23.7</v>
      </c>
      <c r="Q937" t="s">
        <v>24</v>
      </c>
    </row>
    <row r="938" spans="1:17" x14ac:dyDescent="0.3">
      <c r="A938" t="s">
        <v>1501</v>
      </c>
      <c r="B938" s="2">
        <v>45943</v>
      </c>
      <c r="C938" t="s">
        <v>18</v>
      </c>
      <c r="D938" t="s">
        <v>19</v>
      </c>
      <c r="E938" t="s">
        <v>20</v>
      </c>
      <c r="F938" t="s">
        <v>1502</v>
      </c>
      <c r="G938" t="s">
        <v>22</v>
      </c>
      <c r="H938" t="s">
        <v>23</v>
      </c>
      <c r="I938" t="s">
        <v>89</v>
      </c>
      <c r="J938">
        <v>1</v>
      </c>
      <c r="K938">
        <v>28100</v>
      </c>
      <c r="L938">
        <v>0</v>
      </c>
      <c r="N938">
        <v>1</v>
      </c>
      <c r="Q938" t="s">
        <v>89</v>
      </c>
    </row>
    <row r="939" spans="1:17" x14ac:dyDescent="0.3">
      <c r="A939" t="s">
        <v>1503</v>
      </c>
      <c r="B939" s="2">
        <v>45990</v>
      </c>
      <c r="C939" t="s">
        <v>26</v>
      </c>
      <c r="D939" t="s">
        <v>72</v>
      </c>
      <c r="E939" t="s">
        <v>20</v>
      </c>
      <c r="F939" t="s">
        <v>981</v>
      </c>
      <c r="G939" t="s">
        <v>30</v>
      </c>
      <c r="J939">
        <v>0</v>
      </c>
      <c r="K939">
        <v>0</v>
      </c>
      <c r="L939">
        <v>0</v>
      </c>
      <c r="M939">
        <v>1</v>
      </c>
      <c r="N939">
        <v>9</v>
      </c>
      <c r="O939">
        <v>3.8</v>
      </c>
      <c r="P939">
        <v>4.4000000000000004</v>
      </c>
      <c r="Q939" t="s">
        <v>39</v>
      </c>
    </row>
    <row r="940" spans="1:17" x14ac:dyDescent="0.3">
      <c r="A940" t="s">
        <v>1504</v>
      </c>
      <c r="B940" s="2">
        <v>46016</v>
      </c>
      <c r="C940" t="s">
        <v>18</v>
      </c>
      <c r="D940" t="s">
        <v>95</v>
      </c>
      <c r="E940" t="s">
        <v>28</v>
      </c>
      <c r="F940" t="s">
        <v>560</v>
      </c>
      <c r="G940" t="s">
        <v>30</v>
      </c>
      <c r="H940" t="s">
        <v>78</v>
      </c>
      <c r="I940" t="s">
        <v>55</v>
      </c>
      <c r="J940">
        <v>1</v>
      </c>
      <c r="K940">
        <v>34700</v>
      </c>
      <c r="L940">
        <v>0</v>
      </c>
      <c r="N940">
        <v>6.4</v>
      </c>
      <c r="Q940" t="s">
        <v>55</v>
      </c>
    </row>
    <row r="941" spans="1:17" x14ac:dyDescent="0.3">
      <c r="A941" t="s">
        <v>1505</v>
      </c>
      <c r="B941" s="2">
        <v>46184</v>
      </c>
      <c r="C941" t="s">
        <v>26</v>
      </c>
      <c r="D941" t="s">
        <v>126</v>
      </c>
      <c r="E941" t="s">
        <v>20</v>
      </c>
      <c r="F941" t="s">
        <v>766</v>
      </c>
      <c r="G941" t="s">
        <v>22</v>
      </c>
      <c r="J941">
        <v>0</v>
      </c>
      <c r="K941">
        <v>0</v>
      </c>
      <c r="L941">
        <v>0</v>
      </c>
      <c r="M941">
        <v>1</v>
      </c>
      <c r="N941">
        <v>0.3</v>
      </c>
      <c r="O941">
        <v>9.9</v>
      </c>
      <c r="P941">
        <v>3.9</v>
      </c>
      <c r="Q941" t="s">
        <v>225</v>
      </c>
    </row>
    <row r="942" spans="1:17" x14ac:dyDescent="0.3">
      <c r="A942" t="s">
        <v>1506</v>
      </c>
      <c r="B942" s="2">
        <v>45932</v>
      </c>
      <c r="C942" t="s">
        <v>18</v>
      </c>
      <c r="D942" t="s">
        <v>52</v>
      </c>
      <c r="E942" t="s">
        <v>42</v>
      </c>
      <c r="F942" t="s">
        <v>683</v>
      </c>
      <c r="G942" t="s">
        <v>44</v>
      </c>
      <c r="H942" t="s">
        <v>78</v>
      </c>
      <c r="I942" t="s">
        <v>24</v>
      </c>
      <c r="J942">
        <v>1</v>
      </c>
      <c r="K942">
        <v>34000</v>
      </c>
      <c r="L942">
        <v>34000</v>
      </c>
      <c r="N942">
        <v>2.5</v>
      </c>
      <c r="Q942" t="s">
        <v>24</v>
      </c>
    </row>
    <row r="943" spans="1:17" x14ac:dyDescent="0.3">
      <c r="A943" t="s">
        <v>1507</v>
      </c>
      <c r="B943" s="2">
        <v>46083</v>
      </c>
      <c r="C943" t="s">
        <v>26</v>
      </c>
      <c r="D943" t="s">
        <v>114</v>
      </c>
      <c r="E943" t="s">
        <v>48</v>
      </c>
      <c r="F943" t="s">
        <v>396</v>
      </c>
      <c r="G943" t="s">
        <v>50</v>
      </c>
      <c r="J943">
        <v>0</v>
      </c>
      <c r="K943">
        <v>0</v>
      </c>
      <c r="L943">
        <v>0</v>
      </c>
      <c r="M943">
        <v>1</v>
      </c>
      <c r="N943">
        <v>0.8</v>
      </c>
      <c r="O943">
        <v>14.8</v>
      </c>
      <c r="P943">
        <v>4.5</v>
      </c>
      <c r="Q943" t="s">
        <v>39</v>
      </c>
    </row>
    <row r="944" spans="1:17" x14ac:dyDescent="0.3">
      <c r="A944" t="s">
        <v>1508</v>
      </c>
      <c r="B944" s="2">
        <v>46030</v>
      </c>
      <c r="C944" t="s">
        <v>26</v>
      </c>
      <c r="D944" t="s">
        <v>126</v>
      </c>
      <c r="E944" t="s">
        <v>48</v>
      </c>
      <c r="F944" t="s">
        <v>568</v>
      </c>
      <c r="G944" t="s">
        <v>30</v>
      </c>
      <c r="J944">
        <v>0</v>
      </c>
      <c r="K944">
        <v>0</v>
      </c>
      <c r="L944">
        <v>0</v>
      </c>
      <c r="M944">
        <v>1</v>
      </c>
      <c r="N944">
        <v>4.5</v>
      </c>
      <c r="O944">
        <v>25.8</v>
      </c>
      <c r="P944">
        <v>4.3</v>
      </c>
      <c r="Q944" t="s">
        <v>31</v>
      </c>
    </row>
    <row r="945" spans="1:17" x14ac:dyDescent="0.3">
      <c r="A945" t="s">
        <v>1509</v>
      </c>
      <c r="B945" s="2">
        <v>46003</v>
      </c>
      <c r="C945" t="s">
        <v>26</v>
      </c>
      <c r="D945" t="s">
        <v>36</v>
      </c>
      <c r="E945" t="s">
        <v>20</v>
      </c>
      <c r="F945" t="s">
        <v>1281</v>
      </c>
      <c r="G945" t="s">
        <v>22</v>
      </c>
      <c r="J945">
        <v>0</v>
      </c>
      <c r="K945">
        <v>0</v>
      </c>
      <c r="L945">
        <v>0</v>
      </c>
      <c r="M945">
        <v>1</v>
      </c>
      <c r="N945">
        <v>10.9</v>
      </c>
      <c r="O945">
        <v>5.2</v>
      </c>
      <c r="P945">
        <v>4.5999999999999996</v>
      </c>
      <c r="Q945" t="s">
        <v>62</v>
      </c>
    </row>
    <row r="946" spans="1:17" x14ac:dyDescent="0.3">
      <c r="A946" t="s">
        <v>1510</v>
      </c>
      <c r="B946" s="2">
        <v>45983</v>
      </c>
      <c r="C946" t="s">
        <v>18</v>
      </c>
      <c r="D946" t="s">
        <v>105</v>
      </c>
      <c r="E946" t="s">
        <v>48</v>
      </c>
      <c r="F946" t="s">
        <v>1511</v>
      </c>
      <c r="G946" t="s">
        <v>30</v>
      </c>
      <c r="H946" t="s">
        <v>23</v>
      </c>
      <c r="I946" t="s">
        <v>24</v>
      </c>
      <c r="J946">
        <v>1</v>
      </c>
      <c r="K946">
        <v>11800</v>
      </c>
      <c r="L946">
        <v>11800</v>
      </c>
      <c r="N946">
        <v>13.5</v>
      </c>
      <c r="Q946" t="s">
        <v>24</v>
      </c>
    </row>
    <row r="947" spans="1:17" x14ac:dyDescent="0.3">
      <c r="A947" t="s">
        <v>1512</v>
      </c>
      <c r="B947" s="2">
        <v>46004</v>
      </c>
      <c r="C947" t="s">
        <v>18</v>
      </c>
      <c r="D947" t="s">
        <v>19</v>
      </c>
      <c r="E947" t="s">
        <v>48</v>
      </c>
      <c r="F947" t="s">
        <v>199</v>
      </c>
      <c r="G947" t="s">
        <v>22</v>
      </c>
      <c r="H947" t="s">
        <v>66</v>
      </c>
      <c r="I947" t="s">
        <v>24</v>
      </c>
      <c r="J947">
        <v>1</v>
      </c>
      <c r="K947">
        <v>24100</v>
      </c>
      <c r="L947">
        <v>24100</v>
      </c>
      <c r="N947">
        <v>4.8</v>
      </c>
      <c r="Q947" t="s">
        <v>24</v>
      </c>
    </row>
    <row r="948" spans="1:17" x14ac:dyDescent="0.3">
      <c r="A948" t="s">
        <v>1513</v>
      </c>
      <c r="B948" s="2">
        <v>45987</v>
      </c>
      <c r="C948" t="s">
        <v>18</v>
      </c>
      <c r="D948" t="s">
        <v>19</v>
      </c>
      <c r="E948" t="s">
        <v>20</v>
      </c>
      <c r="F948" t="s">
        <v>1414</v>
      </c>
      <c r="G948" t="s">
        <v>44</v>
      </c>
      <c r="H948" t="s">
        <v>66</v>
      </c>
      <c r="I948" t="s">
        <v>24</v>
      </c>
      <c r="J948">
        <v>1</v>
      </c>
      <c r="K948">
        <v>24700</v>
      </c>
      <c r="L948">
        <v>24700</v>
      </c>
      <c r="N948">
        <v>19.2</v>
      </c>
      <c r="Q948" t="s">
        <v>24</v>
      </c>
    </row>
    <row r="949" spans="1:17" x14ac:dyDescent="0.3">
      <c r="A949" t="s">
        <v>1514</v>
      </c>
      <c r="B949" s="2">
        <v>45977</v>
      </c>
      <c r="C949" t="s">
        <v>26</v>
      </c>
      <c r="D949" t="s">
        <v>114</v>
      </c>
      <c r="E949" t="s">
        <v>37</v>
      </c>
      <c r="F949" t="s">
        <v>336</v>
      </c>
      <c r="G949" t="s">
        <v>22</v>
      </c>
      <c r="J949">
        <v>0</v>
      </c>
      <c r="K949">
        <v>0</v>
      </c>
      <c r="L949">
        <v>0</v>
      </c>
      <c r="M949">
        <v>1</v>
      </c>
      <c r="N949">
        <v>0.4</v>
      </c>
      <c r="O949">
        <v>5.8</v>
      </c>
      <c r="P949">
        <v>3.3</v>
      </c>
      <c r="Q949" t="s">
        <v>62</v>
      </c>
    </row>
    <row r="950" spans="1:17" x14ac:dyDescent="0.3">
      <c r="A950" t="s">
        <v>1515</v>
      </c>
      <c r="B950" s="2">
        <v>46085</v>
      </c>
      <c r="C950" t="s">
        <v>26</v>
      </c>
      <c r="D950" t="s">
        <v>126</v>
      </c>
      <c r="E950" t="s">
        <v>20</v>
      </c>
      <c r="F950" t="s">
        <v>1516</v>
      </c>
      <c r="G950" t="s">
        <v>30</v>
      </c>
      <c r="J950">
        <v>0</v>
      </c>
      <c r="K950">
        <v>0</v>
      </c>
      <c r="L950">
        <v>0</v>
      </c>
      <c r="M950">
        <v>1</v>
      </c>
      <c r="N950">
        <v>7</v>
      </c>
      <c r="O950">
        <v>7.3</v>
      </c>
      <c r="P950">
        <v>4</v>
      </c>
      <c r="Q950" t="s">
        <v>39</v>
      </c>
    </row>
    <row r="951" spans="1:17" x14ac:dyDescent="0.3">
      <c r="A951" t="s">
        <v>1517</v>
      </c>
      <c r="B951" s="2">
        <v>46058</v>
      </c>
      <c r="C951" t="s">
        <v>26</v>
      </c>
      <c r="D951" t="s">
        <v>126</v>
      </c>
      <c r="E951" t="s">
        <v>20</v>
      </c>
      <c r="F951" t="s">
        <v>1349</v>
      </c>
      <c r="G951" t="s">
        <v>50</v>
      </c>
      <c r="J951">
        <v>0</v>
      </c>
      <c r="K951">
        <v>0</v>
      </c>
      <c r="L951">
        <v>0</v>
      </c>
      <c r="M951">
        <v>1</v>
      </c>
      <c r="N951">
        <v>4.5</v>
      </c>
      <c r="O951">
        <v>10.7</v>
      </c>
      <c r="P951">
        <v>3.9</v>
      </c>
      <c r="Q951" t="s">
        <v>62</v>
      </c>
    </row>
    <row r="952" spans="1:17" x14ac:dyDescent="0.3">
      <c r="A952" t="s">
        <v>1518</v>
      </c>
      <c r="B952" s="2">
        <v>46013</v>
      </c>
      <c r="C952" t="s">
        <v>26</v>
      </c>
      <c r="D952" t="s">
        <v>114</v>
      </c>
      <c r="E952" t="s">
        <v>48</v>
      </c>
      <c r="F952" t="s">
        <v>934</v>
      </c>
      <c r="G952" t="s">
        <v>30</v>
      </c>
      <c r="J952">
        <v>0</v>
      </c>
      <c r="K952">
        <v>0</v>
      </c>
      <c r="L952">
        <v>0</v>
      </c>
      <c r="M952">
        <v>1</v>
      </c>
      <c r="N952">
        <v>1.2</v>
      </c>
      <c r="O952">
        <v>6</v>
      </c>
      <c r="P952">
        <v>3.6</v>
      </c>
      <c r="Q952" t="s">
        <v>39</v>
      </c>
    </row>
    <row r="953" spans="1:17" x14ac:dyDescent="0.3">
      <c r="A953" t="s">
        <v>1519</v>
      </c>
      <c r="B953" s="2">
        <v>45945</v>
      </c>
      <c r="C953" t="s">
        <v>26</v>
      </c>
      <c r="D953" t="s">
        <v>36</v>
      </c>
      <c r="E953" t="s">
        <v>20</v>
      </c>
      <c r="F953" t="s">
        <v>942</v>
      </c>
      <c r="G953" t="s">
        <v>44</v>
      </c>
      <c r="J953">
        <v>0</v>
      </c>
      <c r="K953">
        <v>0</v>
      </c>
      <c r="L953">
        <v>0</v>
      </c>
      <c r="M953">
        <v>1</v>
      </c>
      <c r="N953">
        <v>2.5</v>
      </c>
      <c r="O953">
        <v>6.4</v>
      </c>
      <c r="P953">
        <v>3.3</v>
      </c>
      <c r="Q953" t="s">
        <v>31</v>
      </c>
    </row>
    <row r="954" spans="1:17" x14ac:dyDescent="0.3">
      <c r="A954" t="s">
        <v>1520</v>
      </c>
      <c r="B954" s="2">
        <v>46206</v>
      </c>
      <c r="C954" t="s">
        <v>18</v>
      </c>
      <c r="D954" t="s">
        <v>19</v>
      </c>
      <c r="E954" t="s">
        <v>20</v>
      </c>
      <c r="F954" t="s">
        <v>1521</v>
      </c>
      <c r="G954" t="s">
        <v>30</v>
      </c>
      <c r="H954" t="s">
        <v>54</v>
      </c>
      <c r="I954" t="s">
        <v>89</v>
      </c>
      <c r="J954">
        <v>1</v>
      </c>
      <c r="K954">
        <v>15600</v>
      </c>
      <c r="L954">
        <v>0</v>
      </c>
      <c r="N954">
        <v>17.899999999999999</v>
      </c>
      <c r="Q954" t="s">
        <v>89</v>
      </c>
    </row>
    <row r="955" spans="1:17" x14ac:dyDescent="0.3">
      <c r="A955" t="s">
        <v>1522</v>
      </c>
      <c r="B955" s="2">
        <v>46197</v>
      </c>
      <c r="C955" t="s">
        <v>26</v>
      </c>
      <c r="D955" t="s">
        <v>232</v>
      </c>
      <c r="E955" t="s">
        <v>20</v>
      </c>
      <c r="F955" t="s">
        <v>1441</v>
      </c>
      <c r="G955" t="s">
        <v>30</v>
      </c>
      <c r="J955">
        <v>0</v>
      </c>
      <c r="K955">
        <v>0</v>
      </c>
      <c r="L955">
        <v>0</v>
      </c>
      <c r="M955">
        <v>1</v>
      </c>
      <c r="N955">
        <v>5.9</v>
      </c>
      <c r="O955">
        <v>5.4</v>
      </c>
      <c r="P955">
        <v>3.3</v>
      </c>
      <c r="Q955" t="s">
        <v>62</v>
      </c>
    </row>
    <row r="956" spans="1:17" x14ac:dyDescent="0.3">
      <c r="A956" t="s">
        <v>1523</v>
      </c>
      <c r="B956" s="2">
        <v>46217</v>
      </c>
      <c r="C956" t="s">
        <v>18</v>
      </c>
      <c r="D956" t="s">
        <v>64</v>
      </c>
      <c r="E956" t="s">
        <v>20</v>
      </c>
      <c r="F956" t="s">
        <v>419</v>
      </c>
      <c r="G956" t="s">
        <v>44</v>
      </c>
      <c r="H956" t="s">
        <v>54</v>
      </c>
      <c r="I956" t="s">
        <v>79</v>
      </c>
      <c r="J956">
        <v>1</v>
      </c>
      <c r="K956">
        <v>206800</v>
      </c>
      <c r="L956">
        <v>0</v>
      </c>
      <c r="N956">
        <v>18.100000000000001</v>
      </c>
      <c r="Q956" t="s">
        <v>79</v>
      </c>
    </row>
    <row r="957" spans="1:17" x14ac:dyDescent="0.3">
      <c r="A957" t="s">
        <v>1524</v>
      </c>
      <c r="B957" s="2">
        <v>46099</v>
      </c>
      <c r="C957" t="s">
        <v>18</v>
      </c>
      <c r="D957" t="s">
        <v>52</v>
      </c>
      <c r="E957" t="s">
        <v>20</v>
      </c>
      <c r="F957" t="s">
        <v>1323</v>
      </c>
      <c r="G957" t="s">
        <v>50</v>
      </c>
      <c r="H957" t="s">
        <v>86</v>
      </c>
      <c r="I957" t="s">
        <v>24</v>
      </c>
      <c r="J957">
        <v>1</v>
      </c>
      <c r="K957">
        <v>53000</v>
      </c>
      <c r="L957">
        <v>53000</v>
      </c>
      <c r="N957">
        <v>7.8</v>
      </c>
      <c r="Q957" t="s">
        <v>24</v>
      </c>
    </row>
    <row r="958" spans="1:17" x14ac:dyDescent="0.3">
      <c r="A958" t="s">
        <v>1525</v>
      </c>
      <c r="B958" s="2">
        <v>46047</v>
      </c>
      <c r="C958" t="s">
        <v>18</v>
      </c>
      <c r="D958" t="s">
        <v>47</v>
      </c>
      <c r="E958" t="s">
        <v>48</v>
      </c>
      <c r="F958" t="s">
        <v>1223</v>
      </c>
      <c r="G958" t="s">
        <v>44</v>
      </c>
      <c r="H958" t="s">
        <v>78</v>
      </c>
      <c r="I958" t="s">
        <v>45</v>
      </c>
      <c r="J958">
        <v>1</v>
      </c>
      <c r="K958">
        <v>6400</v>
      </c>
      <c r="L958">
        <v>0</v>
      </c>
      <c r="N958">
        <v>2.4</v>
      </c>
      <c r="Q958" t="s">
        <v>45</v>
      </c>
    </row>
    <row r="959" spans="1:17" x14ac:dyDescent="0.3">
      <c r="A959" t="s">
        <v>1526</v>
      </c>
      <c r="B959" s="2">
        <v>46250</v>
      </c>
      <c r="C959" t="s">
        <v>18</v>
      </c>
      <c r="D959" t="s">
        <v>117</v>
      </c>
      <c r="E959" t="s">
        <v>42</v>
      </c>
      <c r="F959" t="s">
        <v>308</v>
      </c>
      <c r="G959" t="s">
        <v>44</v>
      </c>
      <c r="H959" t="s">
        <v>66</v>
      </c>
      <c r="I959" t="s">
        <v>55</v>
      </c>
      <c r="J959">
        <v>1</v>
      </c>
      <c r="K959">
        <v>14700</v>
      </c>
      <c r="L959">
        <v>0</v>
      </c>
      <c r="N959">
        <v>6.4</v>
      </c>
      <c r="Q959" t="s">
        <v>55</v>
      </c>
    </row>
    <row r="960" spans="1:17" x14ac:dyDescent="0.3">
      <c r="A960" t="s">
        <v>1527</v>
      </c>
      <c r="B960" s="2">
        <v>46195</v>
      </c>
      <c r="C960" t="s">
        <v>18</v>
      </c>
      <c r="D960" t="s">
        <v>52</v>
      </c>
      <c r="E960" t="s">
        <v>20</v>
      </c>
      <c r="F960" t="s">
        <v>1528</v>
      </c>
      <c r="G960" t="s">
        <v>30</v>
      </c>
      <c r="H960" t="s">
        <v>23</v>
      </c>
      <c r="I960" t="s">
        <v>45</v>
      </c>
      <c r="J960">
        <v>1</v>
      </c>
      <c r="K960">
        <v>81300</v>
      </c>
      <c r="L960">
        <v>0</v>
      </c>
      <c r="N960">
        <v>20.8</v>
      </c>
      <c r="Q960" t="s">
        <v>45</v>
      </c>
    </row>
    <row r="961" spans="1:17" x14ac:dyDescent="0.3">
      <c r="A961" t="s">
        <v>1529</v>
      </c>
      <c r="B961" s="2">
        <v>46229</v>
      </c>
      <c r="C961" t="s">
        <v>26</v>
      </c>
      <c r="D961" t="s">
        <v>27</v>
      </c>
      <c r="E961" t="s">
        <v>42</v>
      </c>
      <c r="F961" t="s">
        <v>483</v>
      </c>
      <c r="G961" t="s">
        <v>22</v>
      </c>
      <c r="J961">
        <v>0</v>
      </c>
      <c r="K961">
        <v>0</v>
      </c>
      <c r="L961">
        <v>0</v>
      </c>
      <c r="M961">
        <v>1</v>
      </c>
      <c r="N961">
        <v>9.1999999999999993</v>
      </c>
      <c r="O961">
        <v>21</v>
      </c>
      <c r="P961">
        <v>4.7</v>
      </c>
      <c r="Q961" t="s">
        <v>39</v>
      </c>
    </row>
    <row r="962" spans="1:17" x14ac:dyDescent="0.3">
      <c r="A962" t="s">
        <v>1530</v>
      </c>
      <c r="B962" s="2">
        <v>46167</v>
      </c>
      <c r="C962" t="s">
        <v>18</v>
      </c>
      <c r="D962" t="s">
        <v>19</v>
      </c>
      <c r="E962" t="s">
        <v>48</v>
      </c>
      <c r="F962" t="s">
        <v>1531</v>
      </c>
      <c r="G962" t="s">
        <v>30</v>
      </c>
      <c r="H962" t="s">
        <v>54</v>
      </c>
      <c r="I962" t="s">
        <v>79</v>
      </c>
      <c r="J962">
        <v>1</v>
      </c>
      <c r="K962">
        <v>65300</v>
      </c>
      <c r="L962">
        <v>0</v>
      </c>
      <c r="N962">
        <v>22.5</v>
      </c>
      <c r="Q962" t="s">
        <v>79</v>
      </c>
    </row>
    <row r="963" spans="1:17" x14ac:dyDescent="0.3">
      <c r="A963" t="s">
        <v>1532</v>
      </c>
      <c r="B963" s="2">
        <v>46228</v>
      </c>
      <c r="C963" t="s">
        <v>26</v>
      </c>
      <c r="D963" t="s">
        <v>33</v>
      </c>
      <c r="E963" t="s">
        <v>20</v>
      </c>
      <c r="F963" t="s">
        <v>176</v>
      </c>
      <c r="G963" t="s">
        <v>50</v>
      </c>
      <c r="J963">
        <v>0</v>
      </c>
      <c r="K963">
        <v>0</v>
      </c>
      <c r="L963">
        <v>0</v>
      </c>
      <c r="M963">
        <v>1</v>
      </c>
      <c r="N963">
        <v>10.7</v>
      </c>
      <c r="O963">
        <v>17.3</v>
      </c>
      <c r="P963">
        <v>4.5999999999999996</v>
      </c>
      <c r="Q963" t="s">
        <v>39</v>
      </c>
    </row>
    <row r="964" spans="1:17" x14ac:dyDescent="0.3">
      <c r="A964" t="s">
        <v>1533</v>
      </c>
      <c r="B964" s="2">
        <v>46141</v>
      </c>
      <c r="C964" t="s">
        <v>18</v>
      </c>
      <c r="D964" t="s">
        <v>47</v>
      </c>
      <c r="E964" t="s">
        <v>42</v>
      </c>
      <c r="F964" t="s">
        <v>603</v>
      </c>
      <c r="G964" t="s">
        <v>22</v>
      </c>
      <c r="H964" t="s">
        <v>54</v>
      </c>
      <c r="I964" t="s">
        <v>79</v>
      </c>
      <c r="J964">
        <v>1</v>
      </c>
      <c r="K964">
        <v>53000</v>
      </c>
      <c r="L964">
        <v>0</v>
      </c>
      <c r="N964">
        <v>7.4</v>
      </c>
      <c r="Q964" t="s">
        <v>79</v>
      </c>
    </row>
    <row r="965" spans="1:17" x14ac:dyDescent="0.3">
      <c r="A965" t="s">
        <v>1534</v>
      </c>
      <c r="B965" s="2">
        <v>46186</v>
      </c>
      <c r="C965" t="s">
        <v>18</v>
      </c>
      <c r="D965" t="s">
        <v>41</v>
      </c>
      <c r="E965" t="s">
        <v>28</v>
      </c>
      <c r="F965" t="s">
        <v>260</v>
      </c>
      <c r="G965" t="s">
        <v>22</v>
      </c>
      <c r="H965" t="s">
        <v>23</v>
      </c>
      <c r="I965" t="s">
        <v>67</v>
      </c>
      <c r="J965">
        <v>1</v>
      </c>
      <c r="K965">
        <v>34800</v>
      </c>
      <c r="L965">
        <v>0</v>
      </c>
      <c r="N965">
        <v>6</v>
      </c>
      <c r="Q965" t="s">
        <v>67</v>
      </c>
    </row>
    <row r="966" spans="1:17" x14ac:dyDescent="0.3">
      <c r="A966" t="s">
        <v>1535</v>
      </c>
      <c r="B966" s="2">
        <v>45939</v>
      </c>
      <c r="C966" t="s">
        <v>18</v>
      </c>
      <c r="D966" t="s">
        <v>41</v>
      </c>
      <c r="E966" t="s">
        <v>28</v>
      </c>
      <c r="F966" t="s">
        <v>725</v>
      </c>
      <c r="G966" t="s">
        <v>30</v>
      </c>
      <c r="H966" t="s">
        <v>86</v>
      </c>
      <c r="I966" t="s">
        <v>79</v>
      </c>
      <c r="J966">
        <v>1</v>
      </c>
      <c r="K966">
        <v>60400</v>
      </c>
      <c r="L966">
        <v>0</v>
      </c>
      <c r="N966">
        <v>10.1</v>
      </c>
      <c r="Q966" t="s">
        <v>79</v>
      </c>
    </row>
    <row r="967" spans="1:17" x14ac:dyDescent="0.3">
      <c r="A967" t="s">
        <v>1536</v>
      </c>
      <c r="B967" s="2">
        <v>46052</v>
      </c>
      <c r="C967" t="s">
        <v>18</v>
      </c>
      <c r="D967" t="s">
        <v>117</v>
      </c>
      <c r="E967" t="s">
        <v>20</v>
      </c>
      <c r="F967" t="s">
        <v>138</v>
      </c>
      <c r="G967" t="s">
        <v>44</v>
      </c>
      <c r="H967" t="s">
        <v>23</v>
      </c>
      <c r="I967" t="s">
        <v>79</v>
      </c>
      <c r="J967">
        <v>1</v>
      </c>
      <c r="K967">
        <v>81000</v>
      </c>
      <c r="L967">
        <v>0</v>
      </c>
      <c r="N967">
        <v>3.4</v>
      </c>
      <c r="Q967" t="s">
        <v>79</v>
      </c>
    </row>
    <row r="968" spans="1:17" x14ac:dyDescent="0.3">
      <c r="A968" t="s">
        <v>1537</v>
      </c>
      <c r="B968" s="2">
        <v>46206</v>
      </c>
      <c r="C968" t="s">
        <v>26</v>
      </c>
      <c r="D968" t="s">
        <v>36</v>
      </c>
      <c r="E968" t="s">
        <v>20</v>
      </c>
      <c r="F968" t="s">
        <v>212</v>
      </c>
      <c r="G968" t="s">
        <v>22</v>
      </c>
      <c r="J968">
        <v>0</v>
      </c>
      <c r="K968">
        <v>0</v>
      </c>
      <c r="L968">
        <v>0</v>
      </c>
      <c r="M968">
        <v>1</v>
      </c>
      <c r="N968">
        <v>10.5</v>
      </c>
      <c r="O968">
        <v>9.8000000000000007</v>
      </c>
      <c r="P968">
        <v>4.3</v>
      </c>
      <c r="Q968" t="s">
        <v>31</v>
      </c>
    </row>
    <row r="969" spans="1:17" x14ac:dyDescent="0.3">
      <c r="A969" t="s">
        <v>1538</v>
      </c>
      <c r="B969" s="2">
        <v>46065</v>
      </c>
      <c r="C969" t="s">
        <v>18</v>
      </c>
      <c r="D969" t="s">
        <v>19</v>
      </c>
      <c r="E969" t="s">
        <v>20</v>
      </c>
      <c r="F969" t="s">
        <v>1539</v>
      </c>
      <c r="G969" t="s">
        <v>22</v>
      </c>
      <c r="H969" t="s">
        <v>78</v>
      </c>
      <c r="I969" t="s">
        <v>67</v>
      </c>
      <c r="J969">
        <v>1</v>
      </c>
      <c r="K969">
        <v>26900</v>
      </c>
      <c r="L969">
        <v>0</v>
      </c>
      <c r="N969">
        <v>15.4</v>
      </c>
      <c r="Q969" t="s">
        <v>67</v>
      </c>
    </row>
    <row r="970" spans="1:17" x14ac:dyDescent="0.3">
      <c r="A970" t="s">
        <v>1540</v>
      </c>
      <c r="B970" s="2">
        <v>46163</v>
      </c>
      <c r="C970" t="s">
        <v>26</v>
      </c>
      <c r="D970" t="s">
        <v>232</v>
      </c>
      <c r="E970" t="s">
        <v>20</v>
      </c>
      <c r="F970" t="s">
        <v>1541</v>
      </c>
      <c r="G970" t="s">
        <v>30</v>
      </c>
      <c r="J970">
        <v>0</v>
      </c>
      <c r="K970">
        <v>0</v>
      </c>
      <c r="L970">
        <v>0</v>
      </c>
      <c r="M970">
        <v>1</v>
      </c>
      <c r="N970">
        <v>6.7</v>
      </c>
      <c r="O970">
        <v>30.1</v>
      </c>
      <c r="P970">
        <v>4.0999999999999996</v>
      </c>
      <c r="Q970" t="s">
        <v>39</v>
      </c>
    </row>
    <row r="971" spans="1:17" x14ac:dyDescent="0.3">
      <c r="A971" t="s">
        <v>1542</v>
      </c>
      <c r="B971" s="2">
        <v>46106</v>
      </c>
      <c r="C971" t="s">
        <v>18</v>
      </c>
      <c r="D971" t="s">
        <v>52</v>
      </c>
      <c r="E971" t="s">
        <v>20</v>
      </c>
      <c r="F971" t="s">
        <v>1543</v>
      </c>
      <c r="G971" t="s">
        <v>22</v>
      </c>
      <c r="H971" t="s">
        <v>23</v>
      </c>
      <c r="I971" t="s">
        <v>24</v>
      </c>
      <c r="J971">
        <v>1</v>
      </c>
      <c r="K971">
        <v>9800</v>
      </c>
      <c r="L971">
        <v>9800</v>
      </c>
      <c r="N971">
        <v>11.9</v>
      </c>
      <c r="Q971" t="s">
        <v>24</v>
      </c>
    </row>
    <row r="972" spans="1:17" x14ac:dyDescent="0.3">
      <c r="A972" t="s">
        <v>1544</v>
      </c>
      <c r="B972" s="2">
        <v>46183</v>
      </c>
      <c r="C972" t="s">
        <v>26</v>
      </c>
      <c r="D972" t="s">
        <v>72</v>
      </c>
      <c r="E972" t="s">
        <v>28</v>
      </c>
      <c r="F972" t="s">
        <v>663</v>
      </c>
      <c r="G972" t="s">
        <v>30</v>
      </c>
      <c r="J972">
        <v>0</v>
      </c>
      <c r="K972">
        <v>0</v>
      </c>
      <c r="L972">
        <v>0</v>
      </c>
      <c r="M972">
        <v>1</v>
      </c>
      <c r="N972">
        <v>8.6999999999999993</v>
      </c>
      <c r="O972">
        <v>4.8</v>
      </c>
      <c r="P972">
        <v>3.1</v>
      </c>
      <c r="Q972" t="s">
        <v>31</v>
      </c>
    </row>
    <row r="973" spans="1:17" x14ac:dyDescent="0.3">
      <c r="A973" t="s">
        <v>1545</v>
      </c>
      <c r="B973" s="2">
        <v>45998</v>
      </c>
      <c r="C973" t="s">
        <v>26</v>
      </c>
      <c r="D973" t="s">
        <v>114</v>
      </c>
      <c r="E973" t="s">
        <v>48</v>
      </c>
      <c r="F973" t="s">
        <v>807</v>
      </c>
      <c r="G973" t="s">
        <v>22</v>
      </c>
      <c r="J973">
        <v>0</v>
      </c>
      <c r="K973">
        <v>0</v>
      </c>
      <c r="L973">
        <v>0</v>
      </c>
      <c r="M973">
        <v>1</v>
      </c>
      <c r="N973">
        <v>5.8</v>
      </c>
      <c r="O973">
        <v>10.5</v>
      </c>
      <c r="P973">
        <v>3.7</v>
      </c>
      <c r="Q973" t="s">
        <v>225</v>
      </c>
    </row>
    <row r="974" spans="1:17" x14ac:dyDescent="0.3">
      <c r="A974" t="s">
        <v>1546</v>
      </c>
      <c r="B974" s="2">
        <v>46190</v>
      </c>
      <c r="C974" t="s">
        <v>26</v>
      </c>
      <c r="D974" t="s">
        <v>36</v>
      </c>
      <c r="E974" t="s">
        <v>20</v>
      </c>
      <c r="F974" t="s">
        <v>49</v>
      </c>
      <c r="G974" t="s">
        <v>22</v>
      </c>
      <c r="J974">
        <v>0</v>
      </c>
      <c r="K974">
        <v>0</v>
      </c>
      <c r="L974">
        <v>0</v>
      </c>
      <c r="M974">
        <v>1</v>
      </c>
      <c r="N974">
        <v>8.5</v>
      </c>
      <c r="O974">
        <v>4.0999999999999996</v>
      </c>
      <c r="P974">
        <v>2.6</v>
      </c>
      <c r="Q974" t="s">
        <v>39</v>
      </c>
    </row>
    <row r="975" spans="1:17" x14ac:dyDescent="0.3">
      <c r="A975" t="s">
        <v>1547</v>
      </c>
      <c r="B975" s="2">
        <v>45918</v>
      </c>
      <c r="C975" t="s">
        <v>18</v>
      </c>
      <c r="D975" t="s">
        <v>47</v>
      </c>
      <c r="E975" t="s">
        <v>37</v>
      </c>
      <c r="F975" t="s">
        <v>570</v>
      </c>
      <c r="G975" t="s">
        <v>22</v>
      </c>
      <c r="H975" t="s">
        <v>66</v>
      </c>
      <c r="I975" t="s">
        <v>79</v>
      </c>
      <c r="J975">
        <v>1</v>
      </c>
      <c r="K975">
        <v>21700</v>
      </c>
      <c r="L975">
        <v>0</v>
      </c>
      <c r="N975">
        <v>16.600000000000001</v>
      </c>
      <c r="Q975" t="s">
        <v>79</v>
      </c>
    </row>
    <row r="976" spans="1:17" x14ac:dyDescent="0.3">
      <c r="A976" t="s">
        <v>1548</v>
      </c>
      <c r="B976" s="2">
        <v>46212</v>
      </c>
      <c r="C976" t="s">
        <v>18</v>
      </c>
      <c r="D976" t="s">
        <v>19</v>
      </c>
      <c r="E976" t="s">
        <v>20</v>
      </c>
      <c r="F976" t="s">
        <v>1549</v>
      </c>
      <c r="G976" t="s">
        <v>44</v>
      </c>
      <c r="H976" t="s">
        <v>78</v>
      </c>
      <c r="I976" t="s">
        <v>67</v>
      </c>
      <c r="J976">
        <v>1</v>
      </c>
      <c r="K976">
        <v>34800</v>
      </c>
      <c r="L976">
        <v>0</v>
      </c>
      <c r="N976">
        <v>11.3</v>
      </c>
      <c r="Q976" t="s">
        <v>67</v>
      </c>
    </row>
    <row r="977" spans="1:17" x14ac:dyDescent="0.3">
      <c r="A977" t="s">
        <v>1550</v>
      </c>
      <c r="B977" s="2">
        <v>46160</v>
      </c>
      <c r="C977" t="s">
        <v>18</v>
      </c>
      <c r="D977" t="s">
        <v>19</v>
      </c>
      <c r="E977" t="s">
        <v>48</v>
      </c>
      <c r="F977" t="s">
        <v>398</v>
      </c>
      <c r="G977" t="s">
        <v>30</v>
      </c>
      <c r="H977" t="s">
        <v>54</v>
      </c>
      <c r="I977" t="s">
        <v>55</v>
      </c>
      <c r="J977">
        <v>1</v>
      </c>
      <c r="K977">
        <v>8200</v>
      </c>
      <c r="L977">
        <v>0</v>
      </c>
      <c r="N977">
        <v>11.5</v>
      </c>
      <c r="Q977" t="s">
        <v>55</v>
      </c>
    </row>
    <row r="978" spans="1:17" x14ac:dyDescent="0.3">
      <c r="A978" t="s">
        <v>1551</v>
      </c>
      <c r="B978" s="2">
        <v>46083</v>
      </c>
      <c r="C978" t="s">
        <v>26</v>
      </c>
      <c r="D978" t="s">
        <v>33</v>
      </c>
      <c r="E978" t="s">
        <v>28</v>
      </c>
      <c r="F978" t="s">
        <v>681</v>
      </c>
      <c r="G978" t="s">
        <v>44</v>
      </c>
      <c r="J978">
        <v>0</v>
      </c>
      <c r="K978">
        <v>0</v>
      </c>
      <c r="L978">
        <v>0</v>
      </c>
      <c r="M978">
        <v>1</v>
      </c>
      <c r="N978">
        <v>6.3</v>
      </c>
      <c r="O978">
        <v>14.4</v>
      </c>
      <c r="P978">
        <v>3.9</v>
      </c>
      <c r="Q978" t="s">
        <v>31</v>
      </c>
    </row>
    <row r="979" spans="1:17" x14ac:dyDescent="0.3">
      <c r="A979" t="s">
        <v>1552</v>
      </c>
      <c r="B979" s="2">
        <v>46171</v>
      </c>
      <c r="C979" t="s">
        <v>18</v>
      </c>
      <c r="D979" t="s">
        <v>95</v>
      </c>
      <c r="E979" t="s">
        <v>20</v>
      </c>
      <c r="F979" t="s">
        <v>581</v>
      </c>
      <c r="G979" t="s">
        <v>30</v>
      </c>
      <c r="H979" t="s">
        <v>78</v>
      </c>
      <c r="I979" t="s">
        <v>89</v>
      </c>
      <c r="J979">
        <v>1</v>
      </c>
      <c r="K979">
        <v>10600</v>
      </c>
      <c r="L979">
        <v>0</v>
      </c>
      <c r="N979">
        <v>3.6</v>
      </c>
      <c r="Q979" t="s">
        <v>89</v>
      </c>
    </row>
    <row r="980" spans="1:17" x14ac:dyDescent="0.3">
      <c r="A980" t="s">
        <v>1553</v>
      </c>
      <c r="B980" s="2">
        <v>45999</v>
      </c>
      <c r="C980" t="s">
        <v>18</v>
      </c>
      <c r="D980" t="s">
        <v>95</v>
      </c>
      <c r="E980" t="s">
        <v>48</v>
      </c>
      <c r="F980" t="s">
        <v>589</v>
      </c>
      <c r="G980" t="s">
        <v>30</v>
      </c>
      <c r="H980" t="s">
        <v>78</v>
      </c>
      <c r="I980" t="s">
        <v>55</v>
      </c>
      <c r="J980">
        <v>1</v>
      </c>
      <c r="K980">
        <v>5000</v>
      </c>
      <c r="L980">
        <v>0</v>
      </c>
      <c r="N980">
        <v>16.3</v>
      </c>
      <c r="Q980" t="s">
        <v>55</v>
      </c>
    </row>
    <row r="981" spans="1:17" x14ac:dyDescent="0.3">
      <c r="A981" t="s">
        <v>1554</v>
      </c>
      <c r="B981" s="2">
        <v>45979</v>
      </c>
      <c r="C981" t="s">
        <v>26</v>
      </c>
      <c r="D981" t="s">
        <v>33</v>
      </c>
      <c r="E981" t="s">
        <v>20</v>
      </c>
      <c r="F981" t="s">
        <v>1555</v>
      </c>
      <c r="G981" t="s">
        <v>30</v>
      </c>
      <c r="J981">
        <v>0</v>
      </c>
      <c r="K981">
        <v>0</v>
      </c>
      <c r="L981">
        <v>0</v>
      </c>
      <c r="M981">
        <v>1</v>
      </c>
      <c r="N981">
        <v>6.3</v>
      </c>
      <c r="O981">
        <v>3.5</v>
      </c>
      <c r="P981">
        <v>4.0999999999999996</v>
      </c>
      <c r="Q981" t="s">
        <v>39</v>
      </c>
    </row>
    <row r="982" spans="1:17" x14ac:dyDescent="0.3">
      <c r="A982" t="s">
        <v>1556</v>
      </c>
      <c r="B982" s="2">
        <v>46107</v>
      </c>
      <c r="C982" t="s">
        <v>18</v>
      </c>
      <c r="D982" t="s">
        <v>52</v>
      </c>
      <c r="E982" t="s">
        <v>28</v>
      </c>
      <c r="F982" t="s">
        <v>665</v>
      </c>
      <c r="G982" t="s">
        <v>30</v>
      </c>
      <c r="H982" t="s">
        <v>54</v>
      </c>
      <c r="I982" t="s">
        <v>45</v>
      </c>
      <c r="J982">
        <v>1</v>
      </c>
      <c r="K982">
        <v>5000</v>
      </c>
      <c r="L982">
        <v>0</v>
      </c>
      <c r="N982">
        <v>13.2</v>
      </c>
      <c r="Q982" t="s">
        <v>45</v>
      </c>
    </row>
    <row r="983" spans="1:17" x14ac:dyDescent="0.3">
      <c r="A983" t="s">
        <v>1557</v>
      </c>
      <c r="B983" s="2">
        <v>46173</v>
      </c>
      <c r="C983" t="s">
        <v>26</v>
      </c>
      <c r="D983" t="s">
        <v>72</v>
      </c>
      <c r="E983" t="s">
        <v>20</v>
      </c>
      <c r="F983" t="s">
        <v>118</v>
      </c>
      <c r="G983" t="s">
        <v>30</v>
      </c>
      <c r="J983">
        <v>0</v>
      </c>
      <c r="K983">
        <v>0</v>
      </c>
      <c r="L983">
        <v>0</v>
      </c>
      <c r="M983">
        <v>1</v>
      </c>
      <c r="N983">
        <v>10.199999999999999</v>
      </c>
      <c r="O983">
        <v>7.1</v>
      </c>
      <c r="P983">
        <v>3.1</v>
      </c>
      <c r="Q983" t="s">
        <v>39</v>
      </c>
    </row>
    <row r="984" spans="1:17" x14ac:dyDescent="0.3">
      <c r="A984" t="s">
        <v>1558</v>
      </c>
      <c r="B984" s="2">
        <v>46046</v>
      </c>
      <c r="C984" t="s">
        <v>18</v>
      </c>
      <c r="D984" t="s">
        <v>95</v>
      </c>
      <c r="E984" t="s">
        <v>20</v>
      </c>
      <c r="F984" t="s">
        <v>996</v>
      </c>
      <c r="G984" t="s">
        <v>22</v>
      </c>
      <c r="H984" t="s">
        <v>54</v>
      </c>
      <c r="I984" t="s">
        <v>45</v>
      </c>
      <c r="J984">
        <v>1</v>
      </c>
      <c r="K984">
        <v>23200</v>
      </c>
      <c r="L984">
        <v>0</v>
      </c>
      <c r="N984">
        <v>18</v>
      </c>
      <c r="Q984" t="s">
        <v>45</v>
      </c>
    </row>
    <row r="985" spans="1:17" x14ac:dyDescent="0.3">
      <c r="A985" t="s">
        <v>1559</v>
      </c>
      <c r="B985" s="2">
        <v>45985</v>
      </c>
      <c r="C985" t="s">
        <v>18</v>
      </c>
      <c r="D985" t="s">
        <v>64</v>
      </c>
      <c r="E985" t="s">
        <v>37</v>
      </c>
      <c r="F985" t="s">
        <v>1560</v>
      </c>
      <c r="G985" t="s">
        <v>30</v>
      </c>
      <c r="H985" t="s">
        <v>86</v>
      </c>
      <c r="I985" t="s">
        <v>89</v>
      </c>
      <c r="J985">
        <v>1</v>
      </c>
      <c r="K985">
        <v>18500</v>
      </c>
      <c r="L985">
        <v>0</v>
      </c>
      <c r="N985">
        <v>23.1</v>
      </c>
      <c r="Q985" t="s">
        <v>89</v>
      </c>
    </row>
    <row r="986" spans="1:17" x14ac:dyDescent="0.3">
      <c r="A986" t="s">
        <v>1561</v>
      </c>
      <c r="B986" s="2">
        <v>45972</v>
      </c>
      <c r="C986" t="s">
        <v>26</v>
      </c>
      <c r="D986" t="s">
        <v>72</v>
      </c>
      <c r="E986" t="s">
        <v>28</v>
      </c>
      <c r="F986" t="s">
        <v>1364</v>
      </c>
      <c r="G986" t="s">
        <v>22</v>
      </c>
      <c r="J986">
        <v>0</v>
      </c>
      <c r="K986">
        <v>0</v>
      </c>
      <c r="L986">
        <v>0</v>
      </c>
      <c r="M986">
        <v>1</v>
      </c>
      <c r="N986">
        <v>7.6</v>
      </c>
      <c r="O986">
        <v>8.3000000000000007</v>
      </c>
      <c r="P986">
        <v>4.9000000000000004</v>
      </c>
      <c r="Q986" t="s">
        <v>31</v>
      </c>
    </row>
    <row r="987" spans="1:17" x14ac:dyDescent="0.3">
      <c r="A987" t="s">
        <v>1562</v>
      </c>
      <c r="B987" s="2">
        <v>46057</v>
      </c>
      <c r="C987" t="s">
        <v>18</v>
      </c>
      <c r="D987" t="s">
        <v>117</v>
      </c>
      <c r="E987" t="s">
        <v>48</v>
      </c>
      <c r="F987" t="s">
        <v>820</v>
      </c>
      <c r="G987" t="s">
        <v>44</v>
      </c>
      <c r="H987" t="s">
        <v>23</v>
      </c>
      <c r="I987" t="s">
        <v>24</v>
      </c>
      <c r="J987">
        <v>1</v>
      </c>
      <c r="K987">
        <v>10500</v>
      </c>
      <c r="L987">
        <v>10500</v>
      </c>
      <c r="N987">
        <v>23.2</v>
      </c>
      <c r="Q987" t="s">
        <v>24</v>
      </c>
    </row>
    <row r="988" spans="1:17" x14ac:dyDescent="0.3">
      <c r="A988" t="s">
        <v>1563</v>
      </c>
      <c r="B988" s="2">
        <v>46073</v>
      </c>
      <c r="C988" t="s">
        <v>26</v>
      </c>
      <c r="D988" t="s">
        <v>114</v>
      </c>
      <c r="E988" t="s">
        <v>28</v>
      </c>
      <c r="F988" t="s">
        <v>1461</v>
      </c>
      <c r="G988" t="s">
        <v>44</v>
      </c>
      <c r="J988">
        <v>0</v>
      </c>
      <c r="K988">
        <v>0</v>
      </c>
      <c r="L988">
        <v>0</v>
      </c>
      <c r="M988">
        <v>1</v>
      </c>
      <c r="N988">
        <v>7.3</v>
      </c>
      <c r="O988">
        <v>3.2</v>
      </c>
      <c r="P988">
        <v>2.7</v>
      </c>
      <c r="Q988" t="s">
        <v>39</v>
      </c>
    </row>
    <row r="989" spans="1:17" x14ac:dyDescent="0.3">
      <c r="A989" t="s">
        <v>1564</v>
      </c>
      <c r="B989" s="2">
        <v>45972</v>
      </c>
      <c r="C989" t="s">
        <v>18</v>
      </c>
      <c r="D989" t="s">
        <v>64</v>
      </c>
      <c r="E989" t="s">
        <v>28</v>
      </c>
      <c r="F989" t="s">
        <v>899</v>
      </c>
      <c r="G989" t="s">
        <v>30</v>
      </c>
      <c r="H989" t="s">
        <v>86</v>
      </c>
      <c r="I989" t="s">
        <v>24</v>
      </c>
      <c r="J989">
        <v>1</v>
      </c>
      <c r="K989">
        <v>45700</v>
      </c>
      <c r="L989">
        <v>45700</v>
      </c>
      <c r="N989">
        <v>7</v>
      </c>
      <c r="Q989" t="s">
        <v>24</v>
      </c>
    </row>
    <row r="990" spans="1:17" x14ac:dyDescent="0.3">
      <c r="A990" t="s">
        <v>1565</v>
      </c>
      <c r="B990" s="2">
        <v>46006</v>
      </c>
      <c r="C990" t="s">
        <v>18</v>
      </c>
      <c r="D990" t="s">
        <v>95</v>
      </c>
      <c r="E990" t="s">
        <v>20</v>
      </c>
      <c r="F990" t="s">
        <v>1407</v>
      </c>
      <c r="G990" t="s">
        <v>30</v>
      </c>
      <c r="H990" t="s">
        <v>86</v>
      </c>
      <c r="I990" t="s">
        <v>55</v>
      </c>
      <c r="J990">
        <v>1</v>
      </c>
      <c r="K990">
        <v>15200</v>
      </c>
      <c r="L990">
        <v>0</v>
      </c>
      <c r="N990">
        <v>18.100000000000001</v>
      </c>
      <c r="Q990" t="s">
        <v>55</v>
      </c>
    </row>
    <row r="991" spans="1:17" x14ac:dyDescent="0.3">
      <c r="A991" t="s">
        <v>1566</v>
      </c>
      <c r="B991" s="2">
        <v>46055</v>
      </c>
      <c r="C991" t="s">
        <v>26</v>
      </c>
      <c r="D991" t="s">
        <v>36</v>
      </c>
      <c r="E991" t="s">
        <v>42</v>
      </c>
      <c r="F991" t="s">
        <v>769</v>
      </c>
      <c r="G991" t="s">
        <v>22</v>
      </c>
      <c r="J991">
        <v>0</v>
      </c>
      <c r="K991">
        <v>0</v>
      </c>
      <c r="L991">
        <v>0</v>
      </c>
      <c r="M991">
        <v>1</v>
      </c>
      <c r="N991">
        <v>0.6</v>
      </c>
      <c r="O991">
        <v>6.7</v>
      </c>
      <c r="P991">
        <v>4.5999999999999996</v>
      </c>
      <c r="Q991" t="s">
        <v>39</v>
      </c>
    </row>
    <row r="992" spans="1:17" x14ac:dyDescent="0.3">
      <c r="A992" t="s">
        <v>1567</v>
      </c>
      <c r="B992" s="2">
        <v>46212</v>
      </c>
      <c r="C992" t="s">
        <v>26</v>
      </c>
      <c r="D992" t="s">
        <v>27</v>
      </c>
      <c r="E992" t="s">
        <v>28</v>
      </c>
      <c r="F992" t="s">
        <v>49</v>
      </c>
      <c r="G992" t="s">
        <v>22</v>
      </c>
      <c r="J992">
        <v>0</v>
      </c>
      <c r="K992">
        <v>0</v>
      </c>
      <c r="L992">
        <v>0</v>
      </c>
      <c r="M992">
        <v>1</v>
      </c>
      <c r="N992">
        <v>6.2</v>
      </c>
      <c r="O992">
        <v>8.4</v>
      </c>
      <c r="P992">
        <v>4.4000000000000004</v>
      </c>
      <c r="Q992" t="s">
        <v>39</v>
      </c>
    </row>
    <row r="993" spans="1:17" x14ac:dyDescent="0.3">
      <c r="A993" t="s">
        <v>1568</v>
      </c>
      <c r="B993" s="2">
        <v>46136</v>
      </c>
      <c r="C993" t="s">
        <v>26</v>
      </c>
      <c r="D993" t="s">
        <v>232</v>
      </c>
      <c r="E993" t="s">
        <v>20</v>
      </c>
      <c r="F993" t="s">
        <v>1006</v>
      </c>
      <c r="G993" t="s">
        <v>22</v>
      </c>
      <c r="J993">
        <v>0</v>
      </c>
      <c r="K993">
        <v>0</v>
      </c>
      <c r="L993">
        <v>0</v>
      </c>
      <c r="M993">
        <v>1</v>
      </c>
      <c r="N993">
        <v>5.5</v>
      </c>
      <c r="O993">
        <v>2</v>
      </c>
      <c r="P993">
        <v>3.2</v>
      </c>
      <c r="Q993" t="s">
        <v>31</v>
      </c>
    </row>
    <row r="994" spans="1:17" x14ac:dyDescent="0.3">
      <c r="A994" t="s">
        <v>1569</v>
      </c>
      <c r="B994" s="2">
        <v>46033</v>
      </c>
      <c r="C994" t="s">
        <v>18</v>
      </c>
      <c r="D994" t="s">
        <v>52</v>
      </c>
      <c r="E994" t="s">
        <v>48</v>
      </c>
      <c r="F994" t="s">
        <v>435</v>
      </c>
      <c r="G994" t="s">
        <v>22</v>
      </c>
      <c r="H994" t="s">
        <v>54</v>
      </c>
      <c r="I994" t="s">
        <v>67</v>
      </c>
      <c r="J994">
        <v>1</v>
      </c>
      <c r="K994">
        <v>29200</v>
      </c>
      <c r="L994">
        <v>0</v>
      </c>
      <c r="N994">
        <v>23.9</v>
      </c>
      <c r="Q994" t="s">
        <v>67</v>
      </c>
    </row>
    <row r="995" spans="1:17" x14ac:dyDescent="0.3">
      <c r="A995" t="s">
        <v>1570</v>
      </c>
      <c r="B995" s="2">
        <v>46083</v>
      </c>
      <c r="C995" t="s">
        <v>26</v>
      </c>
      <c r="D995" t="s">
        <v>36</v>
      </c>
      <c r="E995" t="s">
        <v>42</v>
      </c>
      <c r="F995" t="s">
        <v>1450</v>
      </c>
      <c r="G995" t="s">
        <v>50</v>
      </c>
      <c r="J995">
        <v>0</v>
      </c>
      <c r="K995">
        <v>0</v>
      </c>
      <c r="L995">
        <v>0</v>
      </c>
      <c r="M995">
        <v>1</v>
      </c>
      <c r="N995">
        <v>8.6</v>
      </c>
      <c r="O995">
        <v>5.5</v>
      </c>
      <c r="P995">
        <v>5</v>
      </c>
      <c r="Q995" t="s">
        <v>225</v>
      </c>
    </row>
    <row r="996" spans="1:17" x14ac:dyDescent="0.3">
      <c r="A996" t="s">
        <v>1571</v>
      </c>
      <c r="B996" s="2">
        <v>46167</v>
      </c>
      <c r="C996" t="s">
        <v>18</v>
      </c>
      <c r="D996" t="s">
        <v>117</v>
      </c>
      <c r="E996" t="s">
        <v>20</v>
      </c>
      <c r="F996" t="s">
        <v>1180</v>
      </c>
      <c r="G996" t="s">
        <v>50</v>
      </c>
      <c r="H996" t="s">
        <v>66</v>
      </c>
      <c r="I996" t="s">
        <v>45</v>
      </c>
      <c r="J996">
        <v>1</v>
      </c>
      <c r="K996">
        <v>25100</v>
      </c>
      <c r="L996">
        <v>0</v>
      </c>
      <c r="N996">
        <v>1.6</v>
      </c>
      <c r="Q996" t="s">
        <v>45</v>
      </c>
    </row>
    <row r="997" spans="1:17" x14ac:dyDescent="0.3">
      <c r="A997" t="s">
        <v>1572</v>
      </c>
      <c r="B997" s="2">
        <v>46163</v>
      </c>
      <c r="C997" t="s">
        <v>18</v>
      </c>
      <c r="D997" t="s">
        <v>47</v>
      </c>
      <c r="E997" t="s">
        <v>37</v>
      </c>
      <c r="F997" t="s">
        <v>1573</v>
      </c>
      <c r="G997" t="s">
        <v>30</v>
      </c>
      <c r="H997" t="s">
        <v>23</v>
      </c>
      <c r="I997" t="s">
        <v>55</v>
      </c>
      <c r="J997">
        <v>1</v>
      </c>
      <c r="K997">
        <v>10100</v>
      </c>
      <c r="L997">
        <v>0</v>
      </c>
      <c r="N997">
        <v>7.5</v>
      </c>
      <c r="Q997" t="s">
        <v>55</v>
      </c>
    </row>
    <row r="998" spans="1:17" x14ac:dyDescent="0.3">
      <c r="A998" t="s">
        <v>1574</v>
      </c>
      <c r="B998" s="2">
        <v>46113</v>
      </c>
      <c r="C998" t="s">
        <v>26</v>
      </c>
      <c r="D998" t="s">
        <v>33</v>
      </c>
      <c r="E998" t="s">
        <v>20</v>
      </c>
      <c r="F998" t="s">
        <v>1575</v>
      </c>
      <c r="G998" t="s">
        <v>30</v>
      </c>
      <c r="J998">
        <v>0</v>
      </c>
      <c r="K998">
        <v>0</v>
      </c>
      <c r="L998">
        <v>0</v>
      </c>
      <c r="M998">
        <v>1</v>
      </c>
      <c r="N998">
        <v>5.8</v>
      </c>
      <c r="O998">
        <v>11.9</v>
      </c>
      <c r="P998">
        <v>5</v>
      </c>
      <c r="Q998" t="s">
        <v>39</v>
      </c>
    </row>
    <row r="999" spans="1:17" x14ac:dyDescent="0.3">
      <c r="A999" t="s">
        <v>1576</v>
      </c>
      <c r="B999" s="2">
        <v>45954</v>
      </c>
      <c r="C999" t="s">
        <v>18</v>
      </c>
      <c r="D999" t="s">
        <v>19</v>
      </c>
      <c r="E999" t="s">
        <v>28</v>
      </c>
      <c r="F999" t="s">
        <v>256</v>
      </c>
      <c r="G999" t="s">
        <v>44</v>
      </c>
      <c r="H999" t="s">
        <v>78</v>
      </c>
      <c r="I999" t="s">
        <v>79</v>
      </c>
      <c r="J999">
        <v>1</v>
      </c>
      <c r="K999">
        <v>10600</v>
      </c>
      <c r="L999">
        <v>0</v>
      </c>
      <c r="N999">
        <v>1.9</v>
      </c>
      <c r="Q999" t="s">
        <v>79</v>
      </c>
    </row>
    <row r="1000" spans="1:17" x14ac:dyDescent="0.3">
      <c r="A1000" t="s">
        <v>1577</v>
      </c>
      <c r="B1000" s="2">
        <v>46093</v>
      </c>
      <c r="C1000" t="s">
        <v>26</v>
      </c>
      <c r="D1000" t="s">
        <v>27</v>
      </c>
      <c r="E1000" t="s">
        <v>20</v>
      </c>
      <c r="F1000" t="s">
        <v>1578</v>
      </c>
      <c r="G1000" t="s">
        <v>50</v>
      </c>
      <c r="J1000">
        <v>0</v>
      </c>
      <c r="K1000">
        <v>0</v>
      </c>
      <c r="L1000">
        <v>0</v>
      </c>
      <c r="M1000">
        <v>1</v>
      </c>
      <c r="N1000">
        <v>8.6</v>
      </c>
      <c r="O1000">
        <v>8.1999999999999993</v>
      </c>
      <c r="P1000">
        <v>3.5</v>
      </c>
      <c r="Q1000" t="s">
        <v>225</v>
      </c>
    </row>
    <row r="1001" spans="1:17" x14ac:dyDescent="0.3">
      <c r="A1001" t="s">
        <v>1579</v>
      </c>
      <c r="B1001" s="2">
        <v>46011</v>
      </c>
      <c r="C1001" t="s">
        <v>18</v>
      </c>
      <c r="D1001" t="s">
        <v>19</v>
      </c>
      <c r="E1001" t="s">
        <v>20</v>
      </c>
      <c r="F1001" t="s">
        <v>290</v>
      </c>
      <c r="G1001" t="s">
        <v>30</v>
      </c>
      <c r="H1001" t="s">
        <v>78</v>
      </c>
      <c r="I1001" t="s">
        <v>24</v>
      </c>
      <c r="J1001">
        <v>1</v>
      </c>
      <c r="K1001">
        <v>25200</v>
      </c>
      <c r="L1001">
        <v>25200</v>
      </c>
      <c r="N1001">
        <v>3.8</v>
      </c>
      <c r="Q1001" t="s">
        <v>24</v>
      </c>
    </row>
    <row r="1002" spans="1:17" x14ac:dyDescent="0.3">
      <c r="A1002" t="s">
        <v>1580</v>
      </c>
      <c r="B1002" s="2">
        <v>46064</v>
      </c>
      <c r="C1002" t="s">
        <v>18</v>
      </c>
      <c r="D1002" t="s">
        <v>47</v>
      </c>
      <c r="E1002" t="s">
        <v>42</v>
      </c>
      <c r="F1002" t="s">
        <v>1166</v>
      </c>
      <c r="G1002" t="s">
        <v>50</v>
      </c>
      <c r="H1002" t="s">
        <v>78</v>
      </c>
      <c r="I1002" t="s">
        <v>67</v>
      </c>
      <c r="J1002">
        <v>1</v>
      </c>
      <c r="K1002">
        <v>10100</v>
      </c>
      <c r="L1002">
        <v>0</v>
      </c>
      <c r="N1002">
        <v>12</v>
      </c>
      <c r="Q1002" t="s">
        <v>67</v>
      </c>
    </row>
    <row r="1003" spans="1:17" x14ac:dyDescent="0.3">
      <c r="A1003" t="s">
        <v>1581</v>
      </c>
      <c r="B1003" s="2">
        <v>45968</v>
      </c>
      <c r="C1003" t="s">
        <v>18</v>
      </c>
      <c r="D1003" t="s">
        <v>19</v>
      </c>
      <c r="E1003" t="s">
        <v>20</v>
      </c>
      <c r="F1003" t="s">
        <v>1582</v>
      </c>
      <c r="G1003" t="s">
        <v>30</v>
      </c>
      <c r="H1003" t="s">
        <v>86</v>
      </c>
      <c r="I1003" t="s">
        <v>55</v>
      </c>
      <c r="J1003">
        <v>1</v>
      </c>
      <c r="K1003">
        <v>14700</v>
      </c>
      <c r="L1003">
        <v>0</v>
      </c>
      <c r="N1003">
        <v>2.9</v>
      </c>
      <c r="Q1003" t="s">
        <v>55</v>
      </c>
    </row>
    <row r="1004" spans="1:17" x14ac:dyDescent="0.3">
      <c r="A1004" t="s">
        <v>1583</v>
      </c>
      <c r="B1004" s="2">
        <v>46163</v>
      </c>
      <c r="C1004" t="s">
        <v>26</v>
      </c>
      <c r="D1004" t="s">
        <v>69</v>
      </c>
      <c r="E1004" t="s">
        <v>28</v>
      </c>
      <c r="F1004" t="s">
        <v>1531</v>
      </c>
      <c r="G1004" t="s">
        <v>50</v>
      </c>
      <c r="J1004">
        <v>0</v>
      </c>
      <c r="K1004">
        <v>0</v>
      </c>
      <c r="L1004">
        <v>0</v>
      </c>
      <c r="M1004">
        <v>1</v>
      </c>
      <c r="N1004">
        <v>10.4</v>
      </c>
      <c r="O1004">
        <v>5.4</v>
      </c>
      <c r="P1004">
        <v>5</v>
      </c>
      <c r="Q1004" t="s">
        <v>62</v>
      </c>
    </row>
    <row r="1005" spans="1:17" x14ac:dyDescent="0.3">
      <c r="A1005" t="s">
        <v>1584</v>
      </c>
      <c r="B1005" s="2">
        <v>46024</v>
      </c>
      <c r="C1005" t="s">
        <v>26</v>
      </c>
      <c r="D1005" t="s">
        <v>126</v>
      </c>
      <c r="E1005" t="s">
        <v>20</v>
      </c>
      <c r="F1005" t="s">
        <v>744</v>
      </c>
      <c r="G1005" t="s">
        <v>30</v>
      </c>
      <c r="J1005">
        <v>0</v>
      </c>
      <c r="K1005">
        <v>0</v>
      </c>
      <c r="L1005">
        <v>0</v>
      </c>
      <c r="M1005">
        <v>1</v>
      </c>
      <c r="N1005">
        <v>5.6</v>
      </c>
      <c r="O1005">
        <v>7.4</v>
      </c>
      <c r="P1005">
        <v>4.9000000000000004</v>
      </c>
      <c r="Q1005" t="s">
        <v>39</v>
      </c>
    </row>
    <row r="1006" spans="1:17" x14ac:dyDescent="0.3">
      <c r="A1006" t="s">
        <v>1585</v>
      </c>
      <c r="B1006" s="2">
        <v>46057</v>
      </c>
      <c r="C1006" t="s">
        <v>26</v>
      </c>
      <c r="D1006" t="s">
        <v>27</v>
      </c>
      <c r="E1006" t="s">
        <v>20</v>
      </c>
      <c r="F1006" t="s">
        <v>1217</v>
      </c>
      <c r="G1006" t="s">
        <v>22</v>
      </c>
      <c r="J1006">
        <v>0</v>
      </c>
      <c r="K1006">
        <v>0</v>
      </c>
      <c r="L1006">
        <v>0</v>
      </c>
      <c r="M1006">
        <v>1</v>
      </c>
      <c r="N1006">
        <v>10.3</v>
      </c>
      <c r="O1006">
        <v>4.4000000000000004</v>
      </c>
      <c r="P1006">
        <v>4.2</v>
      </c>
      <c r="Q1006" t="s">
        <v>39</v>
      </c>
    </row>
    <row r="1007" spans="1:17" x14ac:dyDescent="0.3">
      <c r="A1007" t="s">
        <v>1586</v>
      </c>
      <c r="B1007" s="2">
        <v>45915</v>
      </c>
      <c r="C1007" t="s">
        <v>26</v>
      </c>
      <c r="D1007" t="s">
        <v>36</v>
      </c>
      <c r="E1007" t="s">
        <v>20</v>
      </c>
      <c r="F1007" t="s">
        <v>1587</v>
      </c>
      <c r="G1007" t="s">
        <v>50</v>
      </c>
      <c r="J1007">
        <v>0</v>
      </c>
      <c r="K1007">
        <v>0</v>
      </c>
      <c r="L1007">
        <v>0</v>
      </c>
      <c r="M1007">
        <v>1</v>
      </c>
      <c r="N1007">
        <v>10.4</v>
      </c>
      <c r="O1007">
        <v>28.9</v>
      </c>
      <c r="P1007">
        <v>5</v>
      </c>
      <c r="Q1007" t="s">
        <v>62</v>
      </c>
    </row>
    <row r="1008" spans="1:17" x14ac:dyDescent="0.3">
      <c r="A1008" t="s">
        <v>1588</v>
      </c>
      <c r="B1008" s="2">
        <v>46126</v>
      </c>
      <c r="C1008" t="s">
        <v>26</v>
      </c>
      <c r="D1008" t="s">
        <v>114</v>
      </c>
      <c r="E1008" t="s">
        <v>37</v>
      </c>
      <c r="F1008" t="s">
        <v>716</v>
      </c>
      <c r="G1008" t="s">
        <v>30</v>
      </c>
      <c r="J1008">
        <v>0</v>
      </c>
      <c r="K1008">
        <v>0</v>
      </c>
      <c r="L1008">
        <v>0</v>
      </c>
      <c r="M1008">
        <v>1</v>
      </c>
      <c r="N1008">
        <v>6.1</v>
      </c>
      <c r="O1008">
        <v>3.2</v>
      </c>
      <c r="P1008">
        <v>4.5</v>
      </c>
      <c r="Q1008" t="s">
        <v>39</v>
      </c>
    </row>
    <row r="1009" spans="1:17" x14ac:dyDescent="0.3">
      <c r="A1009" t="s">
        <v>1589</v>
      </c>
      <c r="B1009" s="2">
        <v>46141</v>
      </c>
      <c r="C1009" t="s">
        <v>26</v>
      </c>
      <c r="D1009" t="s">
        <v>232</v>
      </c>
      <c r="E1009" t="s">
        <v>42</v>
      </c>
      <c r="F1009" t="s">
        <v>1590</v>
      </c>
      <c r="G1009" t="s">
        <v>22</v>
      </c>
      <c r="J1009">
        <v>0</v>
      </c>
      <c r="K1009">
        <v>0</v>
      </c>
      <c r="L1009">
        <v>0</v>
      </c>
      <c r="M1009">
        <v>1</v>
      </c>
      <c r="N1009">
        <v>7.1</v>
      </c>
      <c r="O1009">
        <v>3.7</v>
      </c>
      <c r="P1009">
        <v>4.0999999999999996</v>
      </c>
      <c r="Q1009" t="s">
        <v>31</v>
      </c>
    </row>
    <row r="1010" spans="1:17" x14ac:dyDescent="0.3">
      <c r="A1010" t="s">
        <v>1591</v>
      </c>
      <c r="B1010" s="2">
        <v>45920</v>
      </c>
      <c r="C1010" t="s">
        <v>18</v>
      </c>
      <c r="D1010" t="s">
        <v>95</v>
      </c>
      <c r="E1010" t="s">
        <v>42</v>
      </c>
      <c r="F1010" t="s">
        <v>252</v>
      </c>
      <c r="G1010" t="s">
        <v>22</v>
      </c>
      <c r="H1010" t="s">
        <v>23</v>
      </c>
      <c r="I1010" t="s">
        <v>67</v>
      </c>
      <c r="J1010">
        <v>1</v>
      </c>
      <c r="K1010">
        <v>28500</v>
      </c>
      <c r="L1010">
        <v>0</v>
      </c>
      <c r="N1010">
        <v>9.5</v>
      </c>
      <c r="Q1010" t="s">
        <v>67</v>
      </c>
    </row>
    <row r="1011" spans="1:17" x14ac:dyDescent="0.3">
      <c r="A1011" t="s">
        <v>1592</v>
      </c>
      <c r="B1011" s="2">
        <v>45923</v>
      </c>
      <c r="C1011" t="s">
        <v>18</v>
      </c>
      <c r="D1011" t="s">
        <v>19</v>
      </c>
      <c r="E1011" t="s">
        <v>20</v>
      </c>
      <c r="F1011" t="s">
        <v>250</v>
      </c>
      <c r="G1011" t="s">
        <v>30</v>
      </c>
      <c r="H1011" t="s">
        <v>23</v>
      </c>
      <c r="I1011" t="s">
        <v>67</v>
      </c>
      <c r="J1011">
        <v>1</v>
      </c>
      <c r="K1011">
        <v>50200</v>
      </c>
      <c r="L1011">
        <v>0</v>
      </c>
      <c r="N1011">
        <v>20.3</v>
      </c>
      <c r="Q1011" t="s">
        <v>67</v>
      </c>
    </row>
    <row r="1012" spans="1:17" x14ac:dyDescent="0.3">
      <c r="A1012" t="s">
        <v>1593</v>
      </c>
      <c r="B1012" s="2">
        <v>46087</v>
      </c>
      <c r="C1012" t="s">
        <v>18</v>
      </c>
      <c r="D1012" t="s">
        <v>95</v>
      </c>
      <c r="E1012" t="s">
        <v>28</v>
      </c>
      <c r="F1012" t="s">
        <v>419</v>
      </c>
      <c r="G1012" t="s">
        <v>22</v>
      </c>
      <c r="H1012" t="s">
        <v>86</v>
      </c>
      <c r="I1012" t="s">
        <v>55</v>
      </c>
      <c r="J1012">
        <v>1</v>
      </c>
      <c r="K1012">
        <v>13300</v>
      </c>
      <c r="L1012">
        <v>0</v>
      </c>
      <c r="N1012">
        <v>15.6</v>
      </c>
      <c r="Q1012" t="s">
        <v>55</v>
      </c>
    </row>
    <row r="1013" spans="1:17" x14ac:dyDescent="0.3">
      <c r="A1013" t="s">
        <v>1594</v>
      </c>
      <c r="B1013" s="2">
        <v>46167</v>
      </c>
      <c r="C1013" t="s">
        <v>26</v>
      </c>
      <c r="D1013" t="s">
        <v>126</v>
      </c>
      <c r="E1013" t="s">
        <v>42</v>
      </c>
      <c r="F1013" t="s">
        <v>122</v>
      </c>
      <c r="G1013" t="s">
        <v>44</v>
      </c>
      <c r="J1013">
        <v>0</v>
      </c>
      <c r="K1013">
        <v>0</v>
      </c>
      <c r="L1013">
        <v>0</v>
      </c>
      <c r="M1013">
        <v>1</v>
      </c>
      <c r="N1013">
        <v>4.7</v>
      </c>
      <c r="O1013">
        <v>6.4</v>
      </c>
      <c r="P1013">
        <v>3.3</v>
      </c>
      <c r="Q1013" t="s">
        <v>31</v>
      </c>
    </row>
    <row r="1014" spans="1:17" x14ac:dyDescent="0.3">
      <c r="A1014" t="s">
        <v>1595</v>
      </c>
      <c r="B1014" s="2">
        <v>46022</v>
      </c>
      <c r="C1014" t="s">
        <v>26</v>
      </c>
      <c r="D1014" t="s">
        <v>126</v>
      </c>
      <c r="E1014" t="s">
        <v>28</v>
      </c>
      <c r="F1014" t="s">
        <v>479</v>
      </c>
      <c r="G1014" t="s">
        <v>50</v>
      </c>
      <c r="J1014">
        <v>0</v>
      </c>
      <c r="K1014">
        <v>0</v>
      </c>
      <c r="L1014">
        <v>0</v>
      </c>
      <c r="M1014">
        <v>1</v>
      </c>
      <c r="N1014">
        <v>3.3</v>
      </c>
      <c r="O1014">
        <v>20.100000000000001</v>
      </c>
      <c r="P1014">
        <v>3.5</v>
      </c>
      <c r="Q1014" t="s">
        <v>225</v>
      </c>
    </row>
    <row r="1015" spans="1:17" x14ac:dyDescent="0.3">
      <c r="A1015" t="s">
        <v>1596</v>
      </c>
      <c r="B1015" s="2">
        <v>45925</v>
      </c>
      <c r="C1015" t="s">
        <v>18</v>
      </c>
      <c r="D1015" t="s">
        <v>105</v>
      </c>
      <c r="E1015" t="s">
        <v>20</v>
      </c>
      <c r="F1015" t="s">
        <v>857</v>
      </c>
      <c r="G1015" t="s">
        <v>50</v>
      </c>
      <c r="H1015" t="s">
        <v>23</v>
      </c>
      <c r="I1015" t="s">
        <v>45</v>
      </c>
      <c r="J1015">
        <v>1</v>
      </c>
      <c r="K1015">
        <v>10300</v>
      </c>
      <c r="L1015">
        <v>0</v>
      </c>
      <c r="N1015">
        <v>3.9</v>
      </c>
      <c r="Q1015" t="s">
        <v>45</v>
      </c>
    </row>
    <row r="1016" spans="1:17" x14ac:dyDescent="0.3">
      <c r="A1016" t="s">
        <v>1597</v>
      </c>
      <c r="B1016" s="2">
        <v>46002</v>
      </c>
      <c r="C1016" t="s">
        <v>26</v>
      </c>
      <c r="D1016" t="s">
        <v>72</v>
      </c>
      <c r="E1016" t="s">
        <v>20</v>
      </c>
      <c r="F1016" t="s">
        <v>1121</v>
      </c>
      <c r="G1016" t="s">
        <v>30</v>
      </c>
      <c r="J1016">
        <v>0</v>
      </c>
      <c r="K1016">
        <v>0</v>
      </c>
      <c r="L1016">
        <v>0</v>
      </c>
      <c r="M1016">
        <v>1</v>
      </c>
      <c r="N1016">
        <v>6.4</v>
      </c>
      <c r="O1016">
        <v>5.7</v>
      </c>
      <c r="P1016">
        <v>3.4</v>
      </c>
      <c r="Q1016" t="s">
        <v>39</v>
      </c>
    </row>
    <row r="1017" spans="1:17" x14ac:dyDescent="0.3">
      <c r="A1017" t="s">
        <v>1598</v>
      </c>
      <c r="B1017" s="2">
        <v>46061</v>
      </c>
      <c r="C1017" t="s">
        <v>26</v>
      </c>
      <c r="D1017" t="s">
        <v>232</v>
      </c>
      <c r="E1017" t="s">
        <v>20</v>
      </c>
      <c r="F1017" t="s">
        <v>1599</v>
      </c>
      <c r="G1017" t="s">
        <v>30</v>
      </c>
      <c r="J1017">
        <v>0</v>
      </c>
      <c r="K1017">
        <v>0</v>
      </c>
      <c r="L1017">
        <v>0</v>
      </c>
      <c r="M1017">
        <v>1</v>
      </c>
      <c r="N1017">
        <v>7.5</v>
      </c>
      <c r="O1017">
        <v>10.1</v>
      </c>
      <c r="P1017">
        <v>3.3</v>
      </c>
      <c r="Q1017" t="s">
        <v>39</v>
      </c>
    </row>
    <row r="1018" spans="1:17" x14ac:dyDescent="0.3">
      <c r="A1018" t="s">
        <v>1600</v>
      </c>
      <c r="B1018" s="2">
        <v>46210</v>
      </c>
      <c r="C1018" t="s">
        <v>18</v>
      </c>
      <c r="D1018" t="s">
        <v>19</v>
      </c>
      <c r="E1018" t="s">
        <v>20</v>
      </c>
      <c r="F1018" t="s">
        <v>1543</v>
      </c>
      <c r="G1018" t="s">
        <v>30</v>
      </c>
      <c r="H1018" t="s">
        <v>23</v>
      </c>
      <c r="I1018" t="s">
        <v>45</v>
      </c>
      <c r="J1018">
        <v>1</v>
      </c>
      <c r="K1018">
        <v>43100</v>
      </c>
      <c r="L1018">
        <v>0</v>
      </c>
      <c r="N1018">
        <v>6.4</v>
      </c>
      <c r="Q1018" t="s">
        <v>45</v>
      </c>
    </row>
    <row r="1019" spans="1:17" x14ac:dyDescent="0.3">
      <c r="A1019" t="s">
        <v>1601</v>
      </c>
      <c r="B1019" s="2">
        <v>45907</v>
      </c>
      <c r="C1019" t="s">
        <v>26</v>
      </c>
      <c r="D1019" t="s">
        <v>36</v>
      </c>
      <c r="E1019" t="s">
        <v>28</v>
      </c>
      <c r="F1019" t="s">
        <v>180</v>
      </c>
      <c r="G1019" t="s">
        <v>22</v>
      </c>
      <c r="J1019">
        <v>0</v>
      </c>
      <c r="K1019">
        <v>0</v>
      </c>
      <c r="L1019">
        <v>0</v>
      </c>
      <c r="M1019">
        <v>1</v>
      </c>
      <c r="N1019">
        <v>10.199999999999999</v>
      </c>
      <c r="O1019">
        <v>14.7</v>
      </c>
      <c r="P1019">
        <v>3</v>
      </c>
      <c r="Q1019" t="s">
        <v>39</v>
      </c>
    </row>
    <row r="1020" spans="1:17" x14ac:dyDescent="0.3">
      <c r="A1020" t="s">
        <v>1602</v>
      </c>
      <c r="B1020" s="2">
        <v>46112</v>
      </c>
      <c r="C1020" t="s">
        <v>26</v>
      </c>
      <c r="D1020" t="s">
        <v>126</v>
      </c>
      <c r="E1020" t="s">
        <v>48</v>
      </c>
      <c r="F1020" t="s">
        <v>1359</v>
      </c>
      <c r="G1020" t="s">
        <v>22</v>
      </c>
      <c r="J1020">
        <v>0</v>
      </c>
      <c r="K1020">
        <v>0</v>
      </c>
      <c r="L1020">
        <v>0</v>
      </c>
      <c r="M1020">
        <v>1</v>
      </c>
      <c r="N1020">
        <v>6.2</v>
      </c>
      <c r="O1020">
        <v>21.5</v>
      </c>
      <c r="P1020">
        <v>3.9</v>
      </c>
      <c r="Q1020" t="s">
        <v>62</v>
      </c>
    </row>
    <row r="1021" spans="1:17" x14ac:dyDescent="0.3">
      <c r="A1021" t="s">
        <v>1603</v>
      </c>
      <c r="B1021" s="2">
        <v>46013</v>
      </c>
      <c r="C1021" t="s">
        <v>18</v>
      </c>
      <c r="D1021" t="s">
        <v>41</v>
      </c>
      <c r="E1021" t="s">
        <v>20</v>
      </c>
      <c r="F1021" t="s">
        <v>1516</v>
      </c>
      <c r="G1021" t="s">
        <v>44</v>
      </c>
      <c r="H1021" t="s">
        <v>78</v>
      </c>
      <c r="I1021" t="s">
        <v>45</v>
      </c>
      <c r="J1021">
        <v>1</v>
      </c>
      <c r="K1021">
        <v>40300</v>
      </c>
      <c r="L1021">
        <v>0</v>
      </c>
      <c r="N1021">
        <v>17.3</v>
      </c>
      <c r="Q1021" t="s">
        <v>45</v>
      </c>
    </row>
    <row r="1022" spans="1:17" x14ac:dyDescent="0.3">
      <c r="A1022" t="s">
        <v>1604</v>
      </c>
      <c r="B1022" s="2">
        <v>46084</v>
      </c>
      <c r="C1022" t="s">
        <v>26</v>
      </c>
      <c r="D1022" t="s">
        <v>114</v>
      </c>
      <c r="E1022" t="s">
        <v>20</v>
      </c>
      <c r="F1022" t="s">
        <v>1090</v>
      </c>
      <c r="G1022" t="s">
        <v>22</v>
      </c>
      <c r="J1022">
        <v>0</v>
      </c>
      <c r="K1022">
        <v>0</v>
      </c>
      <c r="L1022">
        <v>0</v>
      </c>
      <c r="M1022">
        <v>1</v>
      </c>
      <c r="N1022">
        <v>5.4</v>
      </c>
      <c r="O1022">
        <v>7</v>
      </c>
      <c r="P1022">
        <v>1.9</v>
      </c>
      <c r="Q1022" t="s">
        <v>62</v>
      </c>
    </row>
    <row r="1023" spans="1:17" x14ac:dyDescent="0.3">
      <c r="A1023" t="s">
        <v>1605</v>
      </c>
      <c r="B1023" s="2">
        <v>46136</v>
      </c>
      <c r="C1023" t="s">
        <v>18</v>
      </c>
      <c r="D1023" t="s">
        <v>52</v>
      </c>
      <c r="E1023" t="s">
        <v>28</v>
      </c>
      <c r="F1023" t="s">
        <v>1146</v>
      </c>
      <c r="G1023" t="s">
        <v>30</v>
      </c>
      <c r="H1023" t="s">
        <v>66</v>
      </c>
      <c r="I1023" t="s">
        <v>79</v>
      </c>
      <c r="J1023">
        <v>1</v>
      </c>
      <c r="K1023">
        <v>115600</v>
      </c>
      <c r="L1023">
        <v>0</v>
      </c>
      <c r="N1023">
        <v>2.6</v>
      </c>
      <c r="Q1023" t="s">
        <v>79</v>
      </c>
    </row>
    <row r="1024" spans="1:17" x14ac:dyDescent="0.3">
      <c r="A1024" t="s">
        <v>1606</v>
      </c>
      <c r="B1024" s="2">
        <v>45985</v>
      </c>
      <c r="C1024" t="s">
        <v>26</v>
      </c>
      <c r="D1024" t="s">
        <v>69</v>
      </c>
      <c r="E1024" t="s">
        <v>20</v>
      </c>
      <c r="F1024" t="s">
        <v>589</v>
      </c>
      <c r="G1024" t="s">
        <v>30</v>
      </c>
      <c r="J1024">
        <v>0</v>
      </c>
      <c r="K1024">
        <v>0</v>
      </c>
      <c r="L1024">
        <v>0</v>
      </c>
      <c r="M1024">
        <v>1</v>
      </c>
      <c r="N1024">
        <v>0.9</v>
      </c>
      <c r="O1024">
        <v>12.4</v>
      </c>
      <c r="P1024">
        <v>4.7</v>
      </c>
      <c r="Q1024" t="s">
        <v>31</v>
      </c>
    </row>
    <row r="1025" spans="1:17" x14ac:dyDescent="0.3">
      <c r="A1025" t="s">
        <v>1607</v>
      </c>
      <c r="B1025" s="2">
        <v>46080</v>
      </c>
      <c r="C1025" t="s">
        <v>26</v>
      </c>
      <c r="D1025" t="s">
        <v>36</v>
      </c>
      <c r="E1025" t="s">
        <v>20</v>
      </c>
      <c r="F1025" t="s">
        <v>740</v>
      </c>
      <c r="G1025" t="s">
        <v>22</v>
      </c>
      <c r="J1025">
        <v>0</v>
      </c>
      <c r="K1025">
        <v>0</v>
      </c>
      <c r="L1025">
        <v>0</v>
      </c>
      <c r="M1025">
        <v>1</v>
      </c>
      <c r="N1025">
        <v>1.2</v>
      </c>
      <c r="O1025">
        <v>42.7</v>
      </c>
      <c r="P1025">
        <v>3.4</v>
      </c>
      <c r="Q1025" t="s">
        <v>39</v>
      </c>
    </row>
    <row r="1026" spans="1:17" x14ac:dyDescent="0.3">
      <c r="A1026" t="s">
        <v>1608</v>
      </c>
      <c r="B1026" s="2">
        <v>46103</v>
      </c>
      <c r="C1026" t="s">
        <v>26</v>
      </c>
      <c r="D1026" t="s">
        <v>27</v>
      </c>
      <c r="E1026" t="s">
        <v>20</v>
      </c>
      <c r="F1026" t="s">
        <v>1609</v>
      </c>
      <c r="G1026" t="s">
        <v>22</v>
      </c>
      <c r="J1026">
        <v>0</v>
      </c>
      <c r="K1026">
        <v>0</v>
      </c>
      <c r="L1026">
        <v>0</v>
      </c>
      <c r="M1026">
        <v>1</v>
      </c>
      <c r="N1026">
        <v>3.9</v>
      </c>
      <c r="O1026">
        <v>19.7</v>
      </c>
      <c r="P1026">
        <v>5</v>
      </c>
      <c r="Q1026" t="s">
        <v>39</v>
      </c>
    </row>
    <row r="1027" spans="1:17" x14ac:dyDescent="0.3">
      <c r="A1027" t="s">
        <v>1610</v>
      </c>
      <c r="B1027" s="2">
        <v>46239</v>
      </c>
      <c r="C1027" t="s">
        <v>18</v>
      </c>
      <c r="D1027" t="s">
        <v>19</v>
      </c>
      <c r="E1027" t="s">
        <v>20</v>
      </c>
      <c r="F1027" t="s">
        <v>176</v>
      </c>
      <c r="G1027" t="s">
        <v>30</v>
      </c>
      <c r="H1027" t="s">
        <v>78</v>
      </c>
      <c r="I1027" t="s">
        <v>67</v>
      </c>
      <c r="J1027">
        <v>1</v>
      </c>
      <c r="K1027">
        <v>23100</v>
      </c>
      <c r="L1027">
        <v>0</v>
      </c>
      <c r="N1027">
        <v>3</v>
      </c>
      <c r="Q1027" t="s">
        <v>67</v>
      </c>
    </row>
    <row r="1028" spans="1:17" x14ac:dyDescent="0.3">
      <c r="A1028" t="s">
        <v>1611</v>
      </c>
      <c r="B1028" s="2">
        <v>46190</v>
      </c>
      <c r="C1028" t="s">
        <v>26</v>
      </c>
      <c r="D1028" t="s">
        <v>33</v>
      </c>
      <c r="E1028" t="s">
        <v>20</v>
      </c>
      <c r="F1028" t="s">
        <v>235</v>
      </c>
      <c r="G1028" t="s">
        <v>22</v>
      </c>
      <c r="J1028">
        <v>0</v>
      </c>
      <c r="K1028">
        <v>0</v>
      </c>
      <c r="L1028">
        <v>0</v>
      </c>
      <c r="M1028">
        <v>1</v>
      </c>
      <c r="N1028">
        <v>0.2</v>
      </c>
      <c r="O1028">
        <v>8.1</v>
      </c>
      <c r="P1028">
        <v>5</v>
      </c>
      <c r="Q1028" t="s">
        <v>62</v>
      </c>
    </row>
    <row r="1029" spans="1:17" x14ac:dyDescent="0.3">
      <c r="A1029" t="s">
        <v>1612</v>
      </c>
      <c r="B1029" s="2">
        <v>46091</v>
      </c>
      <c r="C1029" t="s">
        <v>26</v>
      </c>
      <c r="D1029" t="s">
        <v>232</v>
      </c>
      <c r="E1029" t="s">
        <v>20</v>
      </c>
      <c r="F1029" t="s">
        <v>1028</v>
      </c>
      <c r="G1029" t="s">
        <v>22</v>
      </c>
      <c r="J1029">
        <v>0</v>
      </c>
      <c r="K1029">
        <v>0</v>
      </c>
      <c r="L1029">
        <v>0</v>
      </c>
      <c r="M1029">
        <v>1</v>
      </c>
      <c r="N1029">
        <v>5.6</v>
      </c>
      <c r="O1029">
        <v>5.0999999999999996</v>
      </c>
      <c r="P1029">
        <v>4.0999999999999996</v>
      </c>
      <c r="Q1029" t="s">
        <v>39</v>
      </c>
    </row>
    <row r="1030" spans="1:17" x14ac:dyDescent="0.3">
      <c r="A1030" t="s">
        <v>1613</v>
      </c>
      <c r="B1030" s="2">
        <v>45943</v>
      </c>
      <c r="C1030" t="s">
        <v>18</v>
      </c>
      <c r="D1030" t="s">
        <v>95</v>
      </c>
      <c r="E1030" t="s">
        <v>42</v>
      </c>
      <c r="F1030" t="s">
        <v>544</v>
      </c>
      <c r="G1030" t="s">
        <v>44</v>
      </c>
      <c r="H1030" t="s">
        <v>23</v>
      </c>
      <c r="I1030" t="s">
        <v>45</v>
      </c>
      <c r="J1030">
        <v>1</v>
      </c>
      <c r="K1030">
        <v>13500</v>
      </c>
      <c r="L1030">
        <v>0</v>
      </c>
      <c r="N1030">
        <v>23.8</v>
      </c>
      <c r="Q1030" t="s">
        <v>45</v>
      </c>
    </row>
    <row r="1031" spans="1:17" x14ac:dyDescent="0.3">
      <c r="A1031" t="s">
        <v>1614</v>
      </c>
      <c r="B1031" s="2">
        <v>45952</v>
      </c>
      <c r="C1031" t="s">
        <v>26</v>
      </c>
      <c r="D1031" t="s">
        <v>36</v>
      </c>
      <c r="E1031" t="s">
        <v>48</v>
      </c>
      <c r="F1031" t="s">
        <v>1615</v>
      </c>
      <c r="G1031" t="s">
        <v>50</v>
      </c>
      <c r="J1031">
        <v>0</v>
      </c>
      <c r="K1031">
        <v>0</v>
      </c>
      <c r="L1031">
        <v>0</v>
      </c>
      <c r="M1031">
        <v>1</v>
      </c>
      <c r="N1031">
        <v>9.6999999999999993</v>
      </c>
      <c r="O1031">
        <v>5.4</v>
      </c>
      <c r="P1031">
        <v>4.4000000000000004</v>
      </c>
      <c r="Q1031" t="s">
        <v>62</v>
      </c>
    </row>
    <row r="1032" spans="1:17" x14ac:dyDescent="0.3">
      <c r="A1032" t="s">
        <v>1616</v>
      </c>
      <c r="B1032" s="2">
        <v>46086</v>
      </c>
      <c r="C1032" t="s">
        <v>18</v>
      </c>
      <c r="D1032" t="s">
        <v>64</v>
      </c>
      <c r="E1032" t="s">
        <v>20</v>
      </c>
      <c r="F1032" t="s">
        <v>1617</v>
      </c>
      <c r="G1032" t="s">
        <v>22</v>
      </c>
      <c r="H1032" t="s">
        <v>78</v>
      </c>
      <c r="I1032" t="s">
        <v>24</v>
      </c>
      <c r="J1032">
        <v>1</v>
      </c>
      <c r="K1032">
        <v>23600</v>
      </c>
      <c r="L1032">
        <v>23600</v>
      </c>
      <c r="N1032">
        <v>5.4</v>
      </c>
      <c r="Q1032" t="s">
        <v>24</v>
      </c>
    </row>
    <row r="1033" spans="1:17" x14ac:dyDescent="0.3">
      <c r="A1033" t="s">
        <v>1618</v>
      </c>
      <c r="B1033" s="2">
        <v>46093</v>
      </c>
      <c r="C1033" t="s">
        <v>26</v>
      </c>
      <c r="D1033" t="s">
        <v>232</v>
      </c>
      <c r="E1033" t="s">
        <v>42</v>
      </c>
      <c r="F1033" t="s">
        <v>1619</v>
      </c>
      <c r="G1033" t="s">
        <v>30</v>
      </c>
      <c r="J1033">
        <v>0</v>
      </c>
      <c r="K1033">
        <v>0</v>
      </c>
      <c r="L1033">
        <v>0</v>
      </c>
      <c r="M1033">
        <v>1</v>
      </c>
      <c r="N1033">
        <v>11.6</v>
      </c>
      <c r="O1033">
        <v>12</v>
      </c>
      <c r="P1033">
        <v>3.6</v>
      </c>
      <c r="Q1033" t="s">
        <v>39</v>
      </c>
    </row>
    <row r="1034" spans="1:17" x14ac:dyDescent="0.3">
      <c r="A1034" t="s">
        <v>1620</v>
      </c>
      <c r="B1034" s="2">
        <v>46001</v>
      </c>
      <c r="C1034" t="s">
        <v>18</v>
      </c>
      <c r="D1034" t="s">
        <v>95</v>
      </c>
      <c r="E1034" t="s">
        <v>48</v>
      </c>
      <c r="F1034" t="s">
        <v>789</v>
      </c>
      <c r="G1034" t="s">
        <v>22</v>
      </c>
      <c r="H1034" t="s">
        <v>78</v>
      </c>
      <c r="I1034" t="s">
        <v>79</v>
      </c>
      <c r="J1034">
        <v>1</v>
      </c>
      <c r="K1034">
        <v>27900</v>
      </c>
      <c r="L1034">
        <v>0</v>
      </c>
      <c r="N1034">
        <v>22.4</v>
      </c>
      <c r="Q1034" t="s">
        <v>79</v>
      </c>
    </row>
    <row r="1035" spans="1:17" x14ac:dyDescent="0.3">
      <c r="A1035" t="s">
        <v>1621</v>
      </c>
      <c r="B1035" s="2">
        <v>46096</v>
      </c>
      <c r="C1035" t="s">
        <v>18</v>
      </c>
      <c r="D1035" t="s">
        <v>47</v>
      </c>
      <c r="E1035" t="s">
        <v>20</v>
      </c>
      <c r="F1035" t="s">
        <v>937</v>
      </c>
      <c r="G1035" t="s">
        <v>22</v>
      </c>
      <c r="H1035" t="s">
        <v>54</v>
      </c>
      <c r="I1035" t="s">
        <v>45</v>
      </c>
      <c r="J1035">
        <v>1</v>
      </c>
      <c r="K1035">
        <v>49700</v>
      </c>
      <c r="L1035">
        <v>0</v>
      </c>
      <c r="N1035">
        <v>1.8</v>
      </c>
      <c r="Q1035" t="s">
        <v>45</v>
      </c>
    </row>
    <row r="1036" spans="1:17" x14ac:dyDescent="0.3">
      <c r="A1036" t="s">
        <v>1622</v>
      </c>
      <c r="B1036" s="2">
        <v>45912</v>
      </c>
      <c r="C1036" t="s">
        <v>18</v>
      </c>
      <c r="D1036" t="s">
        <v>105</v>
      </c>
      <c r="E1036" t="s">
        <v>48</v>
      </c>
      <c r="F1036" t="s">
        <v>859</v>
      </c>
      <c r="G1036" t="s">
        <v>22</v>
      </c>
      <c r="H1036" t="s">
        <v>86</v>
      </c>
      <c r="I1036" t="s">
        <v>45</v>
      </c>
      <c r="J1036">
        <v>1</v>
      </c>
      <c r="K1036">
        <v>10400</v>
      </c>
      <c r="L1036">
        <v>0</v>
      </c>
      <c r="N1036">
        <v>9.1</v>
      </c>
      <c r="Q1036" t="s">
        <v>45</v>
      </c>
    </row>
    <row r="1037" spans="1:17" x14ac:dyDescent="0.3">
      <c r="A1037" t="s">
        <v>1623</v>
      </c>
      <c r="B1037" s="2">
        <v>46248</v>
      </c>
      <c r="C1037" t="s">
        <v>26</v>
      </c>
      <c r="D1037" t="s">
        <v>69</v>
      </c>
      <c r="E1037" t="s">
        <v>37</v>
      </c>
      <c r="F1037" t="s">
        <v>1624</v>
      </c>
      <c r="G1037" t="s">
        <v>44</v>
      </c>
      <c r="J1037">
        <v>0</v>
      </c>
      <c r="K1037">
        <v>0</v>
      </c>
      <c r="L1037">
        <v>0</v>
      </c>
      <c r="M1037">
        <v>1</v>
      </c>
      <c r="N1037">
        <v>9.1999999999999993</v>
      </c>
      <c r="O1037">
        <v>3.4</v>
      </c>
      <c r="P1037">
        <v>3.9</v>
      </c>
      <c r="Q1037" t="s">
        <v>39</v>
      </c>
    </row>
    <row r="1038" spans="1:17" x14ac:dyDescent="0.3">
      <c r="A1038" t="s">
        <v>1625</v>
      </c>
      <c r="B1038" s="2">
        <v>46044</v>
      </c>
      <c r="C1038" t="s">
        <v>18</v>
      </c>
      <c r="D1038" t="s">
        <v>95</v>
      </c>
      <c r="E1038" t="s">
        <v>48</v>
      </c>
      <c r="F1038" t="s">
        <v>208</v>
      </c>
      <c r="G1038" t="s">
        <v>50</v>
      </c>
      <c r="H1038" t="s">
        <v>86</v>
      </c>
      <c r="I1038" t="s">
        <v>24</v>
      </c>
      <c r="J1038">
        <v>1</v>
      </c>
      <c r="K1038">
        <v>26200</v>
      </c>
      <c r="L1038">
        <v>26200</v>
      </c>
      <c r="N1038">
        <v>9.5</v>
      </c>
      <c r="Q1038" t="s">
        <v>24</v>
      </c>
    </row>
    <row r="1039" spans="1:17" x14ac:dyDescent="0.3">
      <c r="A1039" t="s">
        <v>1626</v>
      </c>
      <c r="B1039" s="2">
        <v>46080</v>
      </c>
      <c r="C1039" t="s">
        <v>26</v>
      </c>
      <c r="D1039" t="s">
        <v>33</v>
      </c>
      <c r="E1039" t="s">
        <v>20</v>
      </c>
      <c r="F1039" t="s">
        <v>1199</v>
      </c>
      <c r="G1039" t="s">
        <v>30</v>
      </c>
      <c r="J1039">
        <v>0</v>
      </c>
      <c r="K1039">
        <v>0</v>
      </c>
      <c r="L1039">
        <v>0</v>
      </c>
      <c r="M1039">
        <v>1</v>
      </c>
      <c r="N1039">
        <v>6.8</v>
      </c>
      <c r="O1039">
        <v>4.9000000000000004</v>
      </c>
      <c r="P1039">
        <v>5</v>
      </c>
      <c r="Q1039" t="s">
        <v>31</v>
      </c>
    </row>
    <row r="1040" spans="1:17" x14ac:dyDescent="0.3">
      <c r="A1040" t="s">
        <v>1627</v>
      </c>
      <c r="B1040" s="2">
        <v>46158</v>
      </c>
      <c r="C1040" t="s">
        <v>18</v>
      </c>
      <c r="D1040" t="s">
        <v>41</v>
      </c>
      <c r="E1040" t="s">
        <v>37</v>
      </c>
      <c r="F1040" t="s">
        <v>1628</v>
      </c>
      <c r="G1040" t="s">
        <v>22</v>
      </c>
      <c r="H1040" t="s">
        <v>54</v>
      </c>
      <c r="I1040" t="s">
        <v>55</v>
      </c>
      <c r="J1040">
        <v>1</v>
      </c>
      <c r="K1040">
        <v>21400</v>
      </c>
      <c r="L1040">
        <v>0</v>
      </c>
      <c r="N1040">
        <v>10.199999999999999</v>
      </c>
      <c r="Q1040" t="s">
        <v>55</v>
      </c>
    </row>
    <row r="1041" spans="1:17" x14ac:dyDescent="0.3">
      <c r="A1041" t="s">
        <v>1629</v>
      </c>
      <c r="B1041" s="2">
        <v>46140</v>
      </c>
      <c r="C1041" t="s">
        <v>18</v>
      </c>
      <c r="D1041" t="s">
        <v>95</v>
      </c>
      <c r="E1041" t="s">
        <v>20</v>
      </c>
      <c r="F1041" t="s">
        <v>1543</v>
      </c>
      <c r="G1041" t="s">
        <v>44</v>
      </c>
      <c r="H1041" t="s">
        <v>23</v>
      </c>
      <c r="I1041" t="s">
        <v>45</v>
      </c>
      <c r="J1041">
        <v>1</v>
      </c>
      <c r="K1041">
        <v>33800</v>
      </c>
      <c r="L1041">
        <v>0</v>
      </c>
      <c r="N1041">
        <v>22.8</v>
      </c>
      <c r="Q1041" t="s">
        <v>45</v>
      </c>
    </row>
    <row r="1042" spans="1:17" x14ac:dyDescent="0.3">
      <c r="A1042" t="s">
        <v>1630</v>
      </c>
      <c r="B1042" s="2">
        <v>46181</v>
      </c>
      <c r="C1042" t="s">
        <v>18</v>
      </c>
      <c r="D1042" t="s">
        <v>41</v>
      </c>
      <c r="E1042" t="s">
        <v>20</v>
      </c>
      <c r="F1042" t="s">
        <v>1631</v>
      </c>
      <c r="G1042" t="s">
        <v>22</v>
      </c>
      <c r="H1042" t="s">
        <v>78</v>
      </c>
      <c r="I1042" t="s">
        <v>45</v>
      </c>
      <c r="J1042">
        <v>1</v>
      </c>
      <c r="K1042">
        <v>81200</v>
      </c>
      <c r="L1042">
        <v>0</v>
      </c>
      <c r="N1042">
        <v>2.2000000000000002</v>
      </c>
      <c r="Q1042" t="s">
        <v>45</v>
      </c>
    </row>
    <row r="1043" spans="1:17" x14ac:dyDescent="0.3">
      <c r="A1043" t="s">
        <v>1632</v>
      </c>
      <c r="B1043" s="2">
        <v>46046</v>
      </c>
      <c r="C1043" t="s">
        <v>26</v>
      </c>
      <c r="D1043" t="s">
        <v>126</v>
      </c>
      <c r="E1043" t="s">
        <v>20</v>
      </c>
      <c r="F1043" t="s">
        <v>1633</v>
      </c>
      <c r="G1043" t="s">
        <v>44</v>
      </c>
      <c r="J1043">
        <v>0</v>
      </c>
      <c r="K1043">
        <v>0</v>
      </c>
      <c r="L1043">
        <v>0</v>
      </c>
      <c r="M1043">
        <v>1</v>
      </c>
      <c r="N1043">
        <v>10.6</v>
      </c>
      <c r="O1043">
        <v>9.5</v>
      </c>
      <c r="P1043">
        <v>3.7</v>
      </c>
      <c r="Q1043" t="s">
        <v>39</v>
      </c>
    </row>
    <row r="1044" spans="1:17" x14ac:dyDescent="0.3">
      <c r="A1044" t="s">
        <v>1634</v>
      </c>
      <c r="B1044" s="2">
        <v>45936</v>
      </c>
      <c r="C1044" t="s">
        <v>18</v>
      </c>
      <c r="D1044" t="s">
        <v>105</v>
      </c>
      <c r="E1044" t="s">
        <v>20</v>
      </c>
      <c r="F1044" t="s">
        <v>495</v>
      </c>
      <c r="G1044" t="s">
        <v>30</v>
      </c>
      <c r="H1044" t="s">
        <v>23</v>
      </c>
      <c r="I1044" t="s">
        <v>24</v>
      </c>
      <c r="J1044">
        <v>1</v>
      </c>
      <c r="K1044">
        <v>53700</v>
      </c>
      <c r="L1044">
        <v>53700</v>
      </c>
      <c r="N1044">
        <v>2.7</v>
      </c>
      <c r="Q1044" t="s">
        <v>24</v>
      </c>
    </row>
    <row r="1045" spans="1:17" x14ac:dyDescent="0.3">
      <c r="A1045" t="s">
        <v>1635</v>
      </c>
      <c r="B1045" s="2">
        <v>46247</v>
      </c>
      <c r="C1045" t="s">
        <v>26</v>
      </c>
      <c r="D1045" t="s">
        <v>232</v>
      </c>
      <c r="E1045" t="s">
        <v>37</v>
      </c>
      <c r="F1045" t="s">
        <v>1636</v>
      </c>
      <c r="G1045" t="s">
        <v>50</v>
      </c>
      <c r="J1045">
        <v>0</v>
      </c>
      <c r="K1045">
        <v>0</v>
      </c>
      <c r="L1045">
        <v>0</v>
      </c>
      <c r="M1045">
        <v>1</v>
      </c>
      <c r="N1045">
        <v>3</v>
      </c>
      <c r="O1045">
        <v>9.9</v>
      </c>
      <c r="P1045">
        <v>3.4</v>
      </c>
      <c r="Q1045" t="s">
        <v>62</v>
      </c>
    </row>
    <row r="1046" spans="1:17" x14ac:dyDescent="0.3">
      <c r="A1046" t="s">
        <v>1637</v>
      </c>
      <c r="B1046" s="2">
        <v>46188</v>
      </c>
      <c r="C1046" t="s">
        <v>26</v>
      </c>
      <c r="D1046" t="s">
        <v>232</v>
      </c>
      <c r="E1046" t="s">
        <v>42</v>
      </c>
      <c r="F1046" t="s">
        <v>252</v>
      </c>
      <c r="G1046" t="s">
        <v>30</v>
      </c>
      <c r="J1046">
        <v>0</v>
      </c>
      <c r="K1046">
        <v>0</v>
      </c>
      <c r="L1046">
        <v>0</v>
      </c>
      <c r="M1046">
        <v>1</v>
      </c>
      <c r="N1046">
        <v>10.7</v>
      </c>
      <c r="O1046">
        <v>4.2</v>
      </c>
      <c r="P1046">
        <v>4</v>
      </c>
      <c r="Q1046" t="s">
        <v>39</v>
      </c>
    </row>
    <row r="1047" spans="1:17" x14ac:dyDescent="0.3">
      <c r="A1047" t="s">
        <v>1638</v>
      </c>
      <c r="B1047" s="2">
        <v>45940</v>
      </c>
      <c r="C1047" t="s">
        <v>26</v>
      </c>
      <c r="D1047" t="s">
        <v>27</v>
      </c>
      <c r="E1047" t="s">
        <v>48</v>
      </c>
      <c r="F1047" t="s">
        <v>1639</v>
      </c>
      <c r="G1047" t="s">
        <v>30</v>
      </c>
      <c r="J1047">
        <v>0</v>
      </c>
      <c r="K1047">
        <v>0</v>
      </c>
      <c r="L1047">
        <v>0</v>
      </c>
      <c r="M1047">
        <v>1</v>
      </c>
      <c r="N1047">
        <v>0.4</v>
      </c>
      <c r="O1047">
        <v>3.7</v>
      </c>
      <c r="P1047">
        <v>5</v>
      </c>
      <c r="Q1047" t="s">
        <v>31</v>
      </c>
    </row>
    <row r="1048" spans="1:17" x14ac:dyDescent="0.3">
      <c r="A1048" t="s">
        <v>1640</v>
      </c>
      <c r="B1048" s="2">
        <v>46169</v>
      </c>
      <c r="C1048" t="s">
        <v>18</v>
      </c>
      <c r="D1048" t="s">
        <v>95</v>
      </c>
      <c r="E1048" t="s">
        <v>28</v>
      </c>
      <c r="F1048" t="s">
        <v>1573</v>
      </c>
      <c r="G1048" t="s">
        <v>22</v>
      </c>
      <c r="H1048" t="s">
        <v>23</v>
      </c>
      <c r="I1048" t="s">
        <v>89</v>
      </c>
      <c r="J1048">
        <v>1</v>
      </c>
      <c r="K1048">
        <v>27800</v>
      </c>
      <c r="L1048">
        <v>0</v>
      </c>
      <c r="N1048">
        <v>18.8</v>
      </c>
      <c r="Q1048" t="s">
        <v>89</v>
      </c>
    </row>
    <row r="1049" spans="1:17" x14ac:dyDescent="0.3">
      <c r="A1049" t="s">
        <v>1641</v>
      </c>
      <c r="B1049" s="2">
        <v>46262</v>
      </c>
      <c r="C1049" t="s">
        <v>18</v>
      </c>
      <c r="D1049" t="s">
        <v>117</v>
      </c>
      <c r="E1049" t="s">
        <v>28</v>
      </c>
      <c r="F1049" t="s">
        <v>1642</v>
      </c>
      <c r="G1049" t="s">
        <v>22</v>
      </c>
      <c r="H1049" t="s">
        <v>54</v>
      </c>
      <c r="I1049" t="s">
        <v>24</v>
      </c>
      <c r="J1049">
        <v>1</v>
      </c>
      <c r="K1049">
        <v>23100</v>
      </c>
      <c r="L1049">
        <v>23100</v>
      </c>
      <c r="N1049">
        <v>6.6</v>
      </c>
      <c r="Q1049" t="s">
        <v>24</v>
      </c>
    </row>
    <row r="1050" spans="1:17" x14ac:dyDescent="0.3">
      <c r="A1050" t="s">
        <v>1643</v>
      </c>
      <c r="B1050" s="2">
        <v>45942</v>
      </c>
      <c r="C1050" t="s">
        <v>26</v>
      </c>
      <c r="D1050" t="s">
        <v>36</v>
      </c>
      <c r="E1050" t="s">
        <v>48</v>
      </c>
      <c r="F1050" t="s">
        <v>1097</v>
      </c>
      <c r="G1050" t="s">
        <v>22</v>
      </c>
      <c r="J1050">
        <v>0</v>
      </c>
      <c r="K1050">
        <v>0</v>
      </c>
      <c r="L1050">
        <v>0</v>
      </c>
      <c r="M1050">
        <v>1</v>
      </c>
      <c r="N1050">
        <v>9.1</v>
      </c>
      <c r="O1050">
        <v>5</v>
      </c>
      <c r="P1050">
        <v>3.1</v>
      </c>
      <c r="Q1050" t="s">
        <v>39</v>
      </c>
    </row>
    <row r="1051" spans="1:17" x14ac:dyDescent="0.3">
      <c r="A1051" t="s">
        <v>1644</v>
      </c>
      <c r="B1051" s="2">
        <v>46113</v>
      </c>
      <c r="C1051" t="s">
        <v>18</v>
      </c>
      <c r="D1051" t="s">
        <v>47</v>
      </c>
      <c r="E1051" t="s">
        <v>20</v>
      </c>
      <c r="F1051" t="s">
        <v>166</v>
      </c>
      <c r="G1051" t="s">
        <v>44</v>
      </c>
      <c r="H1051" t="s">
        <v>23</v>
      </c>
      <c r="I1051" t="s">
        <v>24</v>
      </c>
      <c r="J1051">
        <v>1</v>
      </c>
      <c r="K1051">
        <v>22000</v>
      </c>
      <c r="L1051">
        <v>22000</v>
      </c>
      <c r="N1051">
        <v>14.3</v>
      </c>
      <c r="Q1051" t="s">
        <v>24</v>
      </c>
    </row>
    <row r="1052" spans="1:17" x14ac:dyDescent="0.3">
      <c r="A1052" t="s">
        <v>1645</v>
      </c>
      <c r="B1052" s="2">
        <v>46226</v>
      </c>
      <c r="C1052" t="s">
        <v>26</v>
      </c>
      <c r="D1052" t="s">
        <v>33</v>
      </c>
      <c r="E1052" t="s">
        <v>48</v>
      </c>
      <c r="F1052" t="s">
        <v>131</v>
      </c>
      <c r="G1052" t="s">
        <v>30</v>
      </c>
      <c r="J1052">
        <v>0</v>
      </c>
      <c r="K1052">
        <v>0</v>
      </c>
      <c r="L1052">
        <v>0</v>
      </c>
      <c r="M1052">
        <v>1</v>
      </c>
      <c r="N1052">
        <v>8.4</v>
      </c>
      <c r="O1052">
        <v>6.1</v>
      </c>
      <c r="P1052">
        <v>3.1</v>
      </c>
      <c r="Q1052" t="s">
        <v>39</v>
      </c>
    </row>
    <row r="1053" spans="1:17" x14ac:dyDescent="0.3">
      <c r="A1053" t="s">
        <v>1646</v>
      </c>
      <c r="B1053" s="2">
        <v>46162</v>
      </c>
      <c r="C1053" t="s">
        <v>18</v>
      </c>
      <c r="D1053" t="s">
        <v>47</v>
      </c>
      <c r="E1053" t="s">
        <v>37</v>
      </c>
      <c r="F1053" t="s">
        <v>260</v>
      </c>
      <c r="G1053" t="s">
        <v>30</v>
      </c>
      <c r="H1053" t="s">
        <v>23</v>
      </c>
      <c r="I1053" t="s">
        <v>67</v>
      </c>
      <c r="J1053">
        <v>1</v>
      </c>
      <c r="K1053">
        <v>19100</v>
      </c>
      <c r="L1053">
        <v>0</v>
      </c>
      <c r="N1053">
        <v>8</v>
      </c>
      <c r="Q1053" t="s">
        <v>67</v>
      </c>
    </row>
    <row r="1054" spans="1:17" x14ac:dyDescent="0.3">
      <c r="A1054" t="s">
        <v>1647</v>
      </c>
      <c r="B1054" s="2">
        <v>46103</v>
      </c>
      <c r="C1054" t="s">
        <v>26</v>
      </c>
      <c r="D1054" t="s">
        <v>126</v>
      </c>
      <c r="E1054" t="s">
        <v>37</v>
      </c>
      <c r="F1054" t="s">
        <v>551</v>
      </c>
      <c r="G1054" t="s">
        <v>22</v>
      </c>
      <c r="J1054">
        <v>0</v>
      </c>
      <c r="K1054">
        <v>0</v>
      </c>
      <c r="L1054">
        <v>0</v>
      </c>
      <c r="M1054">
        <v>1</v>
      </c>
      <c r="N1054">
        <v>10.8</v>
      </c>
      <c r="O1054">
        <v>7.5</v>
      </c>
      <c r="P1054">
        <v>2.6</v>
      </c>
      <c r="Q1054" t="s">
        <v>39</v>
      </c>
    </row>
    <row r="1055" spans="1:17" x14ac:dyDescent="0.3">
      <c r="A1055" t="s">
        <v>1648</v>
      </c>
      <c r="B1055" s="2">
        <v>45964</v>
      </c>
      <c r="C1055" t="s">
        <v>26</v>
      </c>
      <c r="D1055" t="s">
        <v>114</v>
      </c>
      <c r="E1055" t="s">
        <v>28</v>
      </c>
      <c r="F1055" t="s">
        <v>987</v>
      </c>
      <c r="G1055" t="s">
        <v>22</v>
      </c>
      <c r="J1055">
        <v>0</v>
      </c>
      <c r="K1055">
        <v>0</v>
      </c>
      <c r="L1055">
        <v>0</v>
      </c>
      <c r="M1055">
        <v>1</v>
      </c>
      <c r="N1055">
        <v>4.2</v>
      </c>
      <c r="O1055">
        <v>2.4</v>
      </c>
      <c r="P1055">
        <v>4.9000000000000004</v>
      </c>
      <c r="Q1055" t="s">
        <v>31</v>
      </c>
    </row>
    <row r="1056" spans="1:17" x14ac:dyDescent="0.3">
      <c r="A1056" t="s">
        <v>1649</v>
      </c>
      <c r="B1056" s="2">
        <v>46013</v>
      </c>
      <c r="C1056" t="s">
        <v>26</v>
      </c>
      <c r="D1056" t="s">
        <v>33</v>
      </c>
      <c r="E1056" t="s">
        <v>37</v>
      </c>
      <c r="F1056" t="s">
        <v>449</v>
      </c>
      <c r="G1056" t="s">
        <v>22</v>
      </c>
      <c r="J1056">
        <v>0</v>
      </c>
      <c r="K1056">
        <v>0</v>
      </c>
      <c r="L1056">
        <v>0</v>
      </c>
      <c r="M1056">
        <v>1</v>
      </c>
      <c r="N1056">
        <v>11.3</v>
      </c>
      <c r="O1056">
        <v>4.2</v>
      </c>
      <c r="P1056">
        <v>3.3</v>
      </c>
      <c r="Q1056" t="s">
        <v>31</v>
      </c>
    </row>
    <row r="1057" spans="1:17" x14ac:dyDescent="0.3">
      <c r="A1057" t="s">
        <v>1650</v>
      </c>
      <c r="B1057" s="2">
        <v>46094</v>
      </c>
      <c r="C1057" t="s">
        <v>18</v>
      </c>
      <c r="D1057" t="s">
        <v>41</v>
      </c>
      <c r="E1057" t="s">
        <v>28</v>
      </c>
      <c r="F1057" t="s">
        <v>551</v>
      </c>
      <c r="G1057" t="s">
        <v>44</v>
      </c>
      <c r="H1057" t="s">
        <v>23</v>
      </c>
      <c r="I1057" t="s">
        <v>24</v>
      </c>
      <c r="J1057">
        <v>1</v>
      </c>
      <c r="K1057">
        <v>7500</v>
      </c>
      <c r="L1057">
        <v>7500</v>
      </c>
      <c r="N1057">
        <v>14.1</v>
      </c>
      <c r="Q1057" t="s">
        <v>24</v>
      </c>
    </row>
    <row r="1058" spans="1:17" x14ac:dyDescent="0.3">
      <c r="A1058" t="s">
        <v>1651</v>
      </c>
      <c r="B1058" s="2">
        <v>46123</v>
      </c>
      <c r="C1058" t="s">
        <v>26</v>
      </c>
      <c r="D1058" t="s">
        <v>27</v>
      </c>
      <c r="E1058" t="s">
        <v>37</v>
      </c>
      <c r="F1058" t="s">
        <v>687</v>
      </c>
      <c r="G1058" t="s">
        <v>44</v>
      </c>
      <c r="J1058">
        <v>0</v>
      </c>
      <c r="K1058">
        <v>0</v>
      </c>
      <c r="L1058">
        <v>0</v>
      </c>
      <c r="M1058">
        <v>1</v>
      </c>
      <c r="N1058">
        <v>1.7</v>
      </c>
      <c r="O1058">
        <v>6.4</v>
      </c>
      <c r="P1058">
        <v>3.4</v>
      </c>
      <c r="Q1058" t="s">
        <v>31</v>
      </c>
    </row>
    <row r="1059" spans="1:17" x14ac:dyDescent="0.3">
      <c r="A1059" t="s">
        <v>1652</v>
      </c>
      <c r="B1059" s="2">
        <v>46054</v>
      </c>
      <c r="C1059" t="s">
        <v>18</v>
      </c>
      <c r="D1059" t="s">
        <v>41</v>
      </c>
      <c r="E1059" t="s">
        <v>48</v>
      </c>
      <c r="F1059" t="s">
        <v>522</v>
      </c>
      <c r="G1059" t="s">
        <v>50</v>
      </c>
      <c r="H1059" t="s">
        <v>66</v>
      </c>
      <c r="I1059" t="s">
        <v>67</v>
      </c>
      <c r="J1059">
        <v>1</v>
      </c>
      <c r="K1059">
        <v>15900</v>
      </c>
      <c r="L1059">
        <v>0</v>
      </c>
      <c r="N1059">
        <v>9</v>
      </c>
      <c r="Q1059" t="s">
        <v>67</v>
      </c>
    </row>
    <row r="1060" spans="1:17" x14ac:dyDescent="0.3">
      <c r="A1060" t="s">
        <v>1653</v>
      </c>
      <c r="B1060" s="2">
        <v>45916</v>
      </c>
      <c r="C1060" t="s">
        <v>18</v>
      </c>
      <c r="D1060" t="s">
        <v>19</v>
      </c>
      <c r="E1060" t="s">
        <v>42</v>
      </c>
      <c r="F1060" t="s">
        <v>1373</v>
      </c>
      <c r="G1060" t="s">
        <v>44</v>
      </c>
      <c r="H1060" t="s">
        <v>78</v>
      </c>
      <c r="I1060" t="s">
        <v>55</v>
      </c>
      <c r="J1060">
        <v>1</v>
      </c>
      <c r="K1060">
        <v>17400</v>
      </c>
      <c r="L1060">
        <v>0</v>
      </c>
      <c r="N1060">
        <v>9.9</v>
      </c>
      <c r="Q1060" t="s">
        <v>55</v>
      </c>
    </row>
    <row r="1061" spans="1:17" x14ac:dyDescent="0.3">
      <c r="A1061" t="s">
        <v>1654</v>
      </c>
      <c r="B1061" s="2">
        <v>46252</v>
      </c>
      <c r="C1061" t="s">
        <v>26</v>
      </c>
      <c r="D1061" t="s">
        <v>36</v>
      </c>
      <c r="E1061" t="s">
        <v>28</v>
      </c>
      <c r="F1061" t="s">
        <v>1655</v>
      </c>
      <c r="G1061" t="s">
        <v>22</v>
      </c>
      <c r="J1061">
        <v>0</v>
      </c>
      <c r="K1061">
        <v>0</v>
      </c>
      <c r="L1061">
        <v>0</v>
      </c>
      <c r="M1061">
        <v>1</v>
      </c>
      <c r="N1061">
        <v>10.3</v>
      </c>
      <c r="O1061">
        <v>8.5</v>
      </c>
      <c r="P1061">
        <v>4.8</v>
      </c>
      <c r="Q1061" t="s">
        <v>31</v>
      </c>
    </row>
    <row r="1062" spans="1:17" x14ac:dyDescent="0.3">
      <c r="A1062" t="s">
        <v>1656</v>
      </c>
      <c r="B1062" s="2">
        <v>46170</v>
      </c>
      <c r="C1062" t="s">
        <v>26</v>
      </c>
      <c r="D1062" t="s">
        <v>114</v>
      </c>
      <c r="E1062" t="s">
        <v>37</v>
      </c>
      <c r="F1062" t="s">
        <v>260</v>
      </c>
      <c r="G1062" t="s">
        <v>50</v>
      </c>
      <c r="J1062">
        <v>0</v>
      </c>
      <c r="K1062">
        <v>0</v>
      </c>
      <c r="L1062">
        <v>0</v>
      </c>
      <c r="M1062">
        <v>1</v>
      </c>
      <c r="N1062">
        <v>1.3</v>
      </c>
      <c r="O1062">
        <v>5.6</v>
      </c>
      <c r="P1062">
        <v>2.8</v>
      </c>
      <c r="Q1062" t="s">
        <v>39</v>
      </c>
    </row>
    <row r="1063" spans="1:17" x14ac:dyDescent="0.3">
      <c r="A1063" t="s">
        <v>1657</v>
      </c>
      <c r="B1063" s="2">
        <v>46252</v>
      </c>
      <c r="C1063" t="s">
        <v>26</v>
      </c>
      <c r="D1063" t="s">
        <v>33</v>
      </c>
      <c r="E1063" t="s">
        <v>48</v>
      </c>
      <c r="F1063" t="s">
        <v>540</v>
      </c>
      <c r="G1063" t="s">
        <v>30</v>
      </c>
      <c r="J1063">
        <v>0</v>
      </c>
      <c r="K1063">
        <v>0</v>
      </c>
      <c r="L1063">
        <v>0</v>
      </c>
      <c r="M1063">
        <v>1</v>
      </c>
      <c r="N1063">
        <v>5.6</v>
      </c>
      <c r="O1063">
        <v>4.5</v>
      </c>
      <c r="P1063">
        <v>4.4000000000000004</v>
      </c>
      <c r="Q1063" t="s">
        <v>39</v>
      </c>
    </row>
    <row r="1064" spans="1:17" x14ac:dyDescent="0.3">
      <c r="A1064" t="s">
        <v>1658</v>
      </c>
      <c r="B1064" s="2">
        <v>46110</v>
      </c>
      <c r="C1064" t="s">
        <v>26</v>
      </c>
      <c r="D1064" t="s">
        <v>33</v>
      </c>
      <c r="E1064" t="s">
        <v>20</v>
      </c>
      <c r="F1064" t="s">
        <v>355</v>
      </c>
      <c r="G1064" t="s">
        <v>30</v>
      </c>
      <c r="J1064">
        <v>0</v>
      </c>
      <c r="K1064">
        <v>0</v>
      </c>
      <c r="L1064">
        <v>0</v>
      </c>
      <c r="M1064">
        <v>1</v>
      </c>
      <c r="N1064">
        <v>4.5</v>
      </c>
      <c r="O1064">
        <v>4.9000000000000004</v>
      </c>
      <c r="P1064">
        <v>4.2</v>
      </c>
      <c r="Q1064" t="s">
        <v>62</v>
      </c>
    </row>
    <row r="1065" spans="1:17" x14ac:dyDescent="0.3">
      <c r="A1065" t="s">
        <v>1659</v>
      </c>
      <c r="B1065" s="2">
        <v>46232</v>
      </c>
      <c r="C1065" t="s">
        <v>18</v>
      </c>
      <c r="D1065" t="s">
        <v>117</v>
      </c>
      <c r="E1065" t="s">
        <v>37</v>
      </c>
      <c r="F1065" t="s">
        <v>1402</v>
      </c>
      <c r="G1065" t="s">
        <v>44</v>
      </c>
      <c r="H1065" t="s">
        <v>23</v>
      </c>
      <c r="I1065" t="s">
        <v>45</v>
      </c>
      <c r="J1065">
        <v>1</v>
      </c>
      <c r="K1065">
        <v>81700</v>
      </c>
      <c r="L1065">
        <v>0</v>
      </c>
      <c r="N1065">
        <v>10</v>
      </c>
      <c r="Q1065" t="s">
        <v>45</v>
      </c>
    </row>
    <row r="1066" spans="1:17" x14ac:dyDescent="0.3">
      <c r="A1066" t="s">
        <v>1660</v>
      </c>
      <c r="B1066" s="2">
        <v>46048</v>
      </c>
      <c r="C1066" t="s">
        <v>18</v>
      </c>
      <c r="D1066" t="s">
        <v>64</v>
      </c>
      <c r="E1066" t="s">
        <v>48</v>
      </c>
      <c r="F1066" t="s">
        <v>563</v>
      </c>
      <c r="G1066" t="s">
        <v>22</v>
      </c>
      <c r="H1066" t="s">
        <v>23</v>
      </c>
      <c r="I1066" t="s">
        <v>24</v>
      </c>
      <c r="J1066">
        <v>1</v>
      </c>
      <c r="K1066">
        <v>5000</v>
      </c>
      <c r="L1066">
        <v>5000</v>
      </c>
      <c r="N1066">
        <v>2.4</v>
      </c>
      <c r="Q1066" t="s">
        <v>24</v>
      </c>
    </row>
    <row r="1067" spans="1:17" x14ac:dyDescent="0.3">
      <c r="A1067" t="s">
        <v>1661</v>
      </c>
      <c r="B1067" s="2">
        <v>46089</v>
      </c>
      <c r="C1067" t="s">
        <v>26</v>
      </c>
      <c r="D1067" t="s">
        <v>126</v>
      </c>
      <c r="E1067" t="s">
        <v>20</v>
      </c>
      <c r="F1067" t="s">
        <v>1166</v>
      </c>
      <c r="G1067" t="s">
        <v>44</v>
      </c>
      <c r="J1067">
        <v>0</v>
      </c>
      <c r="K1067">
        <v>0</v>
      </c>
      <c r="L1067">
        <v>0</v>
      </c>
      <c r="M1067">
        <v>1</v>
      </c>
      <c r="N1067">
        <v>5.8</v>
      </c>
      <c r="O1067">
        <v>9</v>
      </c>
      <c r="P1067">
        <v>2.7</v>
      </c>
      <c r="Q1067" t="s">
        <v>39</v>
      </c>
    </row>
    <row r="1068" spans="1:17" x14ac:dyDescent="0.3">
      <c r="A1068" t="s">
        <v>1662</v>
      </c>
      <c r="B1068" s="2">
        <v>46238</v>
      </c>
      <c r="C1068" t="s">
        <v>18</v>
      </c>
      <c r="D1068" t="s">
        <v>64</v>
      </c>
      <c r="E1068" t="s">
        <v>20</v>
      </c>
      <c r="F1068" t="s">
        <v>276</v>
      </c>
      <c r="G1068" t="s">
        <v>30</v>
      </c>
      <c r="H1068" t="s">
        <v>78</v>
      </c>
      <c r="I1068" t="s">
        <v>24</v>
      </c>
      <c r="J1068">
        <v>1</v>
      </c>
      <c r="K1068">
        <v>51100</v>
      </c>
      <c r="L1068">
        <v>51100</v>
      </c>
      <c r="N1068">
        <v>10.199999999999999</v>
      </c>
      <c r="Q1068" t="s">
        <v>24</v>
      </c>
    </row>
    <row r="1069" spans="1:17" x14ac:dyDescent="0.3">
      <c r="A1069" t="s">
        <v>1663</v>
      </c>
      <c r="B1069" s="2">
        <v>46008</v>
      </c>
      <c r="C1069" t="s">
        <v>18</v>
      </c>
      <c r="D1069" t="s">
        <v>117</v>
      </c>
      <c r="E1069" t="s">
        <v>37</v>
      </c>
      <c r="F1069" t="s">
        <v>814</v>
      </c>
      <c r="G1069" t="s">
        <v>22</v>
      </c>
      <c r="H1069" t="s">
        <v>23</v>
      </c>
      <c r="I1069" t="s">
        <v>45</v>
      </c>
      <c r="J1069">
        <v>1</v>
      </c>
      <c r="K1069">
        <v>73800</v>
      </c>
      <c r="L1069">
        <v>0</v>
      </c>
      <c r="N1069">
        <v>19.5</v>
      </c>
      <c r="Q1069" t="s">
        <v>45</v>
      </c>
    </row>
    <row r="1070" spans="1:17" x14ac:dyDescent="0.3">
      <c r="A1070" t="s">
        <v>1664</v>
      </c>
      <c r="B1070" s="2">
        <v>46181</v>
      </c>
      <c r="C1070" t="s">
        <v>18</v>
      </c>
      <c r="D1070" t="s">
        <v>64</v>
      </c>
      <c r="E1070" t="s">
        <v>28</v>
      </c>
      <c r="F1070" t="s">
        <v>589</v>
      </c>
      <c r="G1070" t="s">
        <v>22</v>
      </c>
      <c r="H1070" t="s">
        <v>23</v>
      </c>
      <c r="I1070" t="s">
        <v>67</v>
      </c>
      <c r="J1070">
        <v>1</v>
      </c>
      <c r="K1070">
        <v>7200</v>
      </c>
      <c r="L1070">
        <v>0</v>
      </c>
      <c r="N1070">
        <v>17.3</v>
      </c>
      <c r="Q1070" t="s">
        <v>67</v>
      </c>
    </row>
    <row r="1071" spans="1:17" x14ac:dyDescent="0.3">
      <c r="A1071" t="s">
        <v>1665</v>
      </c>
      <c r="B1071" s="2">
        <v>46058</v>
      </c>
      <c r="C1071" t="s">
        <v>18</v>
      </c>
      <c r="D1071" t="s">
        <v>95</v>
      </c>
      <c r="E1071" t="s">
        <v>37</v>
      </c>
      <c r="F1071" t="s">
        <v>838</v>
      </c>
      <c r="G1071" t="s">
        <v>30</v>
      </c>
      <c r="H1071" t="s">
        <v>78</v>
      </c>
      <c r="I1071" t="s">
        <v>55</v>
      </c>
      <c r="J1071">
        <v>1</v>
      </c>
      <c r="K1071">
        <v>38000</v>
      </c>
      <c r="L1071">
        <v>0</v>
      </c>
      <c r="N1071">
        <v>22.2</v>
      </c>
      <c r="Q1071" t="s">
        <v>55</v>
      </c>
    </row>
    <row r="1072" spans="1:17" x14ac:dyDescent="0.3">
      <c r="A1072" t="s">
        <v>1666</v>
      </c>
      <c r="B1072" s="2">
        <v>45997</v>
      </c>
      <c r="C1072" t="s">
        <v>18</v>
      </c>
      <c r="D1072" t="s">
        <v>95</v>
      </c>
      <c r="E1072" t="s">
        <v>48</v>
      </c>
      <c r="F1072" t="s">
        <v>1008</v>
      </c>
      <c r="G1072" t="s">
        <v>30</v>
      </c>
      <c r="H1072" t="s">
        <v>86</v>
      </c>
      <c r="I1072" t="s">
        <v>89</v>
      </c>
      <c r="J1072">
        <v>1</v>
      </c>
      <c r="K1072">
        <v>16900</v>
      </c>
      <c r="L1072">
        <v>0</v>
      </c>
      <c r="N1072">
        <v>5</v>
      </c>
      <c r="Q1072" t="s">
        <v>89</v>
      </c>
    </row>
    <row r="1073" spans="1:17" x14ac:dyDescent="0.3">
      <c r="A1073" t="s">
        <v>1667</v>
      </c>
      <c r="B1073" s="2">
        <v>46241</v>
      </c>
      <c r="C1073" t="s">
        <v>18</v>
      </c>
      <c r="D1073" t="s">
        <v>95</v>
      </c>
      <c r="E1073" t="s">
        <v>48</v>
      </c>
      <c r="F1073" t="s">
        <v>611</v>
      </c>
      <c r="G1073" t="s">
        <v>30</v>
      </c>
      <c r="H1073" t="s">
        <v>23</v>
      </c>
      <c r="I1073" t="s">
        <v>24</v>
      </c>
      <c r="J1073">
        <v>1</v>
      </c>
      <c r="K1073">
        <v>66100</v>
      </c>
      <c r="L1073">
        <v>66100</v>
      </c>
      <c r="N1073">
        <v>7.8</v>
      </c>
      <c r="Q1073" t="s">
        <v>24</v>
      </c>
    </row>
    <row r="1074" spans="1:17" x14ac:dyDescent="0.3">
      <c r="A1074" t="s">
        <v>1668</v>
      </c>
      <c r="B1074" s="2">
        <v>46231</v>
      </c>
      <c r="C1074" t="s">
        <v>18</v>
      </c>
      <c r="D1074" t="s">
        <v>52</v>
      </c>
      <c r="E1074" t="s">
        <v>20</v>
      </c>
      <c r="F1074" t="s">
        <v>932</v>
      </c>
      <c r="G1074" t="s">
        <v>50</v>
      </c>
      <c r="H1074" t="s">
        <v>78</v>
      </c>
      <c r="I1074" t="s">
        <v>79</v>
      </c>
      <c r="J1074">
        <v>1</v>
      </c>
      <c r="K1074">
        <v>8400</v>
      </c>
      <c r="L1074">
        <v>0</v>
      </c>
      <c r="N1074">
        <v>13.4</v>
      </c>
      <c r="Q1074" t="s">
        <v>79</v>
      </c>
    </row>
    <row r="1075" spans="1:17" x14ac:dyDescent="0.3">
      <c r="A1075" t="s">
        <v>1669</v>
      </c>
      <c r="B1075" s="2">
        <v>46112</v>
      </c>
      <c r="C1075" t="s">
        <v>18</v>
      </c>
      <c r="D1075" t="s">
        <v>64</v>
      </c>
      <c r="E1075" t="s">
        <v>20</v>
      </c>
      <c r="F1075" t="s">
        <v>314</v>
      </c>
      <c r="G1075" t="s">
        <v>30</v>
      </c>
      <c r="H1075" t="s">
        <v>86</v>
      </c>
      <c r="I1075" t="s">
        <v>24</v>
      </c>
      <c r="J1075">
        <v>1</v>
      </c>
      <c r="K1075">
        <v>12100</v>
      </c>
      <c r="L1075">
        <v>12100</v>
      </c>
      <c r="N1075">
        <v>13.6</v>
      </c>
      <c r="Q1075" t="s">
        <v>24</v>
      </c>
    </row>
    <row r="1076" spans="1:17" x14ac:dyDescent="0.3">
      <c r="A1076" t="s">
        <v>1670</v>
      </c>
      <c r="B1076" s="2">
        <v>46128</v>
      </c>
      <c r="C1076" t="s">
        <v>26</v>
      </c>
      <c r="D1076" t="s">
        <v>36</v>
      </c>
      <c r="E1076" t="s">
        <v>37</v>
      </c>
      <c r="F1076" t="s">
        <v>903</v>
      </c>
      <c r="G1076" t="s">
        <v>30</v>
      </c>
      <c r="J1076">
        <v>0</v>
      </c>
      <c r="K1076">
        <v>0</v>
      </c>
      <c r="L1076">
        <v>0</v>
      </c>
      <c r="M1076">
        <v>1</v>
      </c>
      <c r="N1076">
        <v>4.3</v>
      </c>
      <c r="O1076">
        <v>3.6</v>
      </c>
      <c r="P1076">
        <v>4.3</v>
      </c>
      <c r="Q1076" t="s">
        <v>225</v>
      </c>
    </row>
    <row r="1077" spans="1:17" x14ac:dyDescent="0.3">
      <c r="A1077" t="s">
        <v>1671</v>
      </c>
      <c r="B1077" s="2">
        <v>46230</v>
      </c>
      <c r="C1077" t="s">
        <v>18</v>
      </c>
      <c r="D1077" t="s">
        <v>64</v>
      </c>
      <c r="E1077" t="s">
        <v>20</v>
      </c>
      <c r="F1077" t="s">
        <v>368</v>
      </c>
      <c r="G1077" t="s">
        <v>44</v>
      </c>
      <c r="H1077" t="s">
        <v>23</v>
      </c>
      <c r="I1077" t="s">
        <v>24</v>
      </c>
      <c r="J1077">
        <v>1</v>
      </c>
      <c r="K1077">
        <v>37400</v>
      </c>
      <c r="L1077">
        <v>37400</v>
      </c>
      <c r="N1077">
        <v>17.8</v>
      </c>
      <c r="Q1077" t="s">
        <v>24</v>
      </c>
    </row>
    <row r="1078" spans="1:17" x14ac:dyDescent="0.3">
      <c r="A1078" t="s">
        <v>1672</v>
      </c>
      <c r="B1078" s="2">
        <v>46234</v>
      </c>
      <c r="C1078" t="s">
        <v>18</v>
      </c>
      <c r="D1078" t="s">
        <v>19</v>
      </c>
      <c r="E1078" t="s">
        <v>48</v>
      </c>
      <c r="F1078" t="s">
        <v>1673</v>
      </c>
      <c r="G1078" t="s">
        <v>50</v>
      </c>
      <c r="H1078" t="s">
        <v>54</v>
      </c>
      <c r="I1078" t="s">
        <v>45</v>
      </c>
      <c r="J1078">
        <v>1</v>
      </c>
      <c r="K1078">
        <v>20700</v>
      </c>
      <c r="L1078">
        <v>0</v>
      </c>
      <c r="N1078">
        <v>7.5</v>
      </c>
      <c r="Q1078" t="s">
        <v>45</v>
      </c>
    </row>
    <row r="1079" spans="1:17" x14ac:dyDescent="0.3">
      <c r="A1079" t="s">
        <v>1674</v>
      </c>
      <c r="B1079" s="2">
        <v>46196</v>
      </c>
      <c r="C1079" t="s">
        <v>26</v>
      </c>
      <c r="D1079" t="s">
        <v>232</v>
      </c>
      <c r="E1079" t="s">
        <v>42</v>
      </c>
      <c r="F1079" t="s">
        <v>1675</v>
      </c>
      <c r="G1079" t="s">
        <v>50</v>
      </c>
      <c r="J1079">
        <v>0</v>
      </c>
      <c r="K1079">
        <v>0</v>
      </c>
      <c r="L1079">
        <v>0</v>
      </c>
      <c r="M1079">
        <v>1</v>
      </c>
      <c r="N1079">
        <v>8.1999999999999993</v>
      </c>
      <c r="O1079">
        <v>20.5</v>
      </c>
      <c r="P1079">
        <v>4.9000000000000004</v>
      </c>
      <c r="Q1079" t="s">
        <v>31</v>
      </c>
    </row>
    <row r="1080" spans="1:17" x14ac:dyDescent="0.3">
      <c r="A1080" t="s">
        <v>1676</v>
      </c>
      <c r="B1080" s="2">
        <v>46149</v>
      </c>
      <c r="C1080" t="s">
        <v>18</v>
      </c>
      <c r="D1080" t="s">
        <v>105</v>
      </c>
      <c r="E1080" t="s">
        <v>28</v>
      </c>
      <c r="F1080" t="s">
        <v>1008</v>
      </c>
      <c r="G1080" t="s">
        <v>50</v>
      </c>
      <c r="H1080" t="s">
        <v>78</v>
      </c>
      <c r="I1080" t="s">
        <v>67</v>
      </c>
      <c r="J1080">
        <v>1</v>
      </c>
      <c r="K1080">
        <v>23600</v>
      </c>
      <c r="L1080">
        <v>0</v>
      </c>
      <c r="N1080">
        <v>12.4</v>
      </c>
      <c r="Q1080" t="s">
        <v>67</v>
      </c>
    </row>
    <row r="1081" spans="1:17" x14ac:dyDescent="0.3">
      <c r="A1081" t="s">
        <v>1677</v>
      </c>
      <c r="B1081" s="2">
        <v>46091</v>
      </c>
      <c r="C1081" t="s">
        <v>26</v>
      </c>
      <c r="D1081" t="s">
        <v>232</v>
      </c>
      <c r="E1081" t="s">
        <v>20</v>
      </c>
      <c r="F1081" t="s">
        <v>1678</v>
      </c>
      <c r="G1081" t="s">
        <v>30</v>
      </c>
      <c r="J1081">
        <v>0</v>
      </c>
      <c r="K1081">
        <v>0</v>
      </c>
      <c r="L1081">
        <v>0</v>
      </c>
      <c r="M1081">
        <v>1</v>
      </c>
      <c r="N1081">
        <v>10.5</v>
      </c>
      <c r="O1081">
        <v>3.6</v>
      </c>
      <c r="P1081">
        <v>4.7</v>
      </c>
      <c r="Q1081" t="s">
        <v>62</v>
      </c>
    </row>
    <row r="1082" spans="1:17" x14ac:dyDescent="0.3">
      <c r="A1082" t="s">
        <v>1679</v>
      </c>
      <c r="B1082" s="2">
        <v>46249</v>
      </c>
      <c r="C1082" t="s">
        <v>26</v>
      </c>
      <c r="D1082" t="s">
        <v>232</v>
      </c>
      <c r="E1082" t="s">
        <v>28</v>
      </c>
      <c r="F1082" t="s">
        <v>170</v>
      </c>
      <c r="G1082" t="s">
        <v>50</v>
      </c>
      <c r="J1082">
        <v>0</v>
      </c>
      <c r="K1082">
        <v>0</v>
      </c>
      <c r="L1082">
        <v>0</v>
      </c>
      <c r="M1082">
        <v>1</v>
      </c>
      <c r="N1082">
        <v>6.3</v>
      </c>
      <c r="O1082">
        <v>7.9</v>
      </c>
      <c r="P1082">
        <v>5</v>
      </c>
      <c r="Q1082" t="s">
        <v>39</v>
      </c>
    </row>
    <row r="1083" spans="1:17" x14ac:dyDescent="0.3">
      <c r="A1083" t="s">
        <v>1680</v>
      </c>
      <c r="B1083" s="2">
        <v>46051</v>
      </c>
      <c r="C1083" t="s">
        <v>18</v>
      </c>
      <c r="D1083" t="s">
        <v>95</v>
      </c>
      <c r="E1083" t="s">
        <v>37</v>
      </c>
      <c r="F1083" t="s">
        <v>224</v>
      </c>
      <c r="G1083" t="s">
        <v>44</v>
      </c>
      <c r="H1083" t="s">
        <v>23</v>
      </c>
      <c r="I1083" t="s">
        <v>55</v>
      </c>
      <c r="J1083">
        <v>1</v>
      </c>
      <c r="K1083">
        <v>20700</v>
      </c>
      <c r="L1083">
        <v>0</v>
      </c>
      <c r="N1083">
        <v>20.3</v>
      </c>
      <c r="Q1083" t="s">
        <v>55</v>
      </c>
    </row>
    <row r="1084" spans="1:17" x14ac:dyDescent="0.3">
      <c r="A1084" t="s">
        <v>1681</v>
      </c>
      <c r="B1084" s="2">
        <v>45979</v>
      </c>
      <c r="C1084" t="s">
        <v>18</v>
      </c>
      <c r="D1084" t="s">
        <v>105</v>
      </c>
      <c r="E1084" t="s">
        <v>20</v>
      </c>
      <c r="F1084" t="s">
        <v>889</v>
      </c>
      <c r="G1084" t="s">
        <v>22</v>
      </c>
      <c r="H1084" t="s">
        <v>23</v>
      </c>
      <c r="I1084" t="s">
        <v>55</v>
      </c>
      <c r="J1084">
        <v>1</v>
      </c>
      <c r="K1084">
        <v>72700</v>
      </c>
      <c r="L1084">
        <v>0</v>
      </c>
      <c r="N1084">
        <v>19.3</v>
      </c>
      <c r="Q1084" t="s">
        <v>55</v>
      </c>
    </row>
    <row r="1085" spans="1:17" x14ac:dyDescent="0.3">
      <c r="A1085" t="s">
        <v>1682</v>
      </c>
      <c r="B1085" s="2">
        <v>46120</v>
      </c>
      <c r="C1085" t="s">
        <v>26</v>
      </c>
      <c r="D1085" t="s">
        <v>27</v>
      </c>
      <c r="E1085" t="s">
        <v>20</v>
      </c>
      <c r="F1085" t="s">
        <v>1683</v>
      </c>
      <c r="G1085" t="s">
        <v>50</v>
      </c>
      <c r="J1085">
        <v>0</v>
      </c>
      <c r="K1085">
        <v>0</v>
      </c>
      <c r="L1085">
        <v>0</v>
      </c>
      <c r="M1085">
        <v>1</v>
      </c>
      <c r="N1085">
        <v>9.3000000000000007</v>
      </c>
      <c r="O1085">
        <v>23</v>
      </c>
      <c r="P1085">
        <v>3.7</v>
      </c>
      <c r="Q1085" t="s">
        <v>31</v>
      </c>
    </row>
    <row r="1086" spans="1:17" x14ac:dyDescent="0.3">
      <c r="A1086" t="s">
        <v>1684</v>
      </c>
      <c r="B1086" s="2">
        <v>46020</v>
      </c>
      <c r="C1086" t="s">
        <v>26</v>
      </c>
      <c r="D1086" t="s">
        <v>114</v>
      </c>
      <c r="E1086" t="s">
        <v>42</v>
      </c>
      <c r="F1086" t="s">
        <v>91</v>
      </c>
      <c r="G1086" t="s">
        <v>22</v>
      </c>
      <c r="J1086">
        <v>0</v>
      </c>
      <c r="K1086">
        <v>0</v>
      </c>
      <c r="L1086">
        <v>0</v>
      </c>
      <c r="M1086">
        <v>1</v>
      </c>
      <c r="N1086">
        <v>4.7</v>
      </c>
      <c r="O1086">
        <v>3.5</v>
      </c>
      <c r="P1086">
        <v>4.5999999999999996</v>
      </c>
      <c r="Q1086" t="s">
        <v>39</v>
      </c>
    </row>
    <row r="1087" spans="1:17" x14ac:dyDescent="0.3">
      <c r="A1087" t="s">
        <v>1685</v>
      </c>
      <c r="B1087" s="2">
        <v>46252</v>
      </c>
      <c r="C1087" t="s">
        <v>18</v>
      </c>
      <c r="D1087" t="s">
        <v>47</v>
      </c>
      <c r="E1087" t="s">
        <v>37</v>
      </c>
      <c r="F1087" t="s">
        <v>438</v>
      </c>
      <c r="G1087" t="s">
        <v>22</v>
      </c>
      <c r="H1087" t="s">
        <v>66</v>
      </c>
      <c r="I1087" t="s">
        <v>67</v>
      </c>
      <c r="J1087">
        <v>1</v>
      </c>
      <c r="K1087">
        <v>17200</v>
      </c>
      <c r="L1087">
        <v>0</v>
      </c>
      <c r="N1087">
        <v>22.5</v>
      </c>
      <c r="Q1087" t="s">
        <v>67</v>
      </c>
    </row>
    <row r="1088" spans="1:17" x14ac:dyDescent="0.3">
      <c r="A1088" t="s">
        <v>1686</v>
      </c>
      <c r="B1088" s="2">
        <v>45905</v>
      </c>
      <c r="C1088" t="s">
        <v>26</v>
      </c>
      <c r="D1088" t="s">
        <v>72</v>
      </c>
      <c r="E1088" t="s">
        <v>20</v>
      </c>
      <c r="F1088" t="s">
        <v>742</v>
      </c>
      <c r="G1088" t="s">
        <v>22</v>
      </c>
      <c r="J1088">
        <v>0</v>
      </c>
      <c r="K1088">
        <v>0</v>
      </c>
      <c r="L1088">
        <v>0</v>
      </c>
      <c r="M1088">
        <v>1</v>
      </c>
      <c r="N1088">
        <v>3.3</v>
      </c>
      <c r="O1088">
        <v>11.2</v>
      </c>
      <c r="P1088">
        <v>3.2</v>
      </c>
      <c r="Q1088" t="s">
        <v>39</v>
      </c>
    </row>
    <row r="1089" spans="1:17" x14ac:dyDescent="0.3">
      <c r="A1089" t="s">
        <v>1687</v>
      </c>
      <c r="B1089" s="2">
        <v>46258</v>
      </c>
      <c r="C1089" t="s">
        <v>18</v>
      </c>
      <c r="D1089" t="s">
        <v>47</v>
      </c>
      <c r="E1089" t="s">
        <v>20</v>
      </c>
      <c r="F1089" t="s">
        <v>1609</v>
      </c>
      <c r="G1089" t="s">
        <v>50</v>
      </c>
      <c r="H1089" t="s">
        <v>78</v>
      </c>
      <c r="I1089" t="s">
        <v>79</v>
      </c>
      <c r="J1089">
        <v>1</v>
      </c>
      <c r="K1089">
        <v>63100</v>
      </c>
      <c r="L1089">
        <v>0</v>
      </c>
      <c r="N1089">
        <v>0.8</v>
      </c>
      <c r="Q1089" t="s">
        <v>79</v>
      </c>
    </row>
    <row r="1090" spans="1:17" x14ac:dyDescent="0.3">
      <c r="A1090" t="s">
        <v>1688</v>
      </c>
      <c r="B1090" s="2">
        <v>46239</v>
      </c>
      <c r="C1090" t="s">
        <v>26</v>
      </c>
      <c r="D1090" t="s">
        <v>36</v>
      </c>
      <c r="E1090" t="s">
        <v>20</v>
      </c>
      <c r="F1090" t="s">
        <v>1689</v>
      </c>
      <c r="G1090" t="s">
        <v>44</v>
      </c>
      <c r="J1090">
        <v>0</v>
      </c>
      <c r="K1090">
        <v>0</v>
      </c>
      <c r="L1090">
        <v>0</v>
      </c>
      <c r="M1090">
        <v>1</v>
      </c>
      <c r="N1090">
        <v>12</v>
      </c>
      <c r="O1090">
        <v>3.7</v>
      </c>
      <c r="P1090">
        <v>3.9</v>
      </c>
      <c r="Q1090" t="s">
        <v>62</v>
      </c>
    </row>
    <row r="1091" spans="1:17" x14ac:dyDescent="0.3">
      <c r="A1091" t="s">
        <v>1690</v>
      </c>
      <c r="B1091" s="2">
        <v>46146</v>
      </c>
      <c r="C1091" t="s">
        <v>18</v>
      </c>
      <c r="D1091" t="s">
        <v>64</v>
      </c>
      <c r="E1091" t="s">
        <v>20</v>
      </c>
      <c r="F1091" t="s">
        <v>1691</v>
      </c>
      <c r="G1091" t="s">
        <v>30</v>
      </c>
      <c r="H1091" t="s">
        <v>54</v>
      </c>
      <c r="I1091" t="s">
        <v>24</v>
      </c>
      <c r="J1091">
        <v>1</v>
      </c>
      <c r="K1091">
        <v>6900</v>
      </c>
      <c r="L1091">
        <v>6900</v>
      </c>
      <c r="N1091">
        <v>22.9</v>
      </c>
      <c r="Q1091" t="s">
        <v>24</v>
      </c>
    </row>
    <row r="1092" spans="1:17" x14ac:dyDescent="0.3">
      <c r="A1092" t="s">
        <v>1692</v>
      </c>
      <c r="B1092" s="2">
        <v>46261</v>
      </c>
      <c r="C1092" t="s">
        <v>26</v>
      </c>
      <c r="D1092" t="s">
        <v>126</v>
      </c>
      <c r="E1092" t="s">
        <v>37</v>
      </c>
      <c r="F1092" t="s">
        <v>524</v>
      </c>
      <c r="G1092" t="s">
        <v>22</v>
      </c>
      <c r="J1092">
        <v>0</v>
      </c>
      <c r="K1092">
        <v>0</v>
      </c>
      <c r="L1092">
        <v>0</v>
      </c>
      <c r="M1092">
        <v>1</v>
      </c>
      <c r="N1092">
        <v>6.5</v>
      </c>
      <c r="O1092">
        <v>10.3</v>
      </c>
      <c r="P1092">
        <v>4.2</v>
      </c>
      <c r="Q1092" t="s">
        <v>39</v>
      </c>
    </row>
    <row r="1093" spans="1:17" x14ac:dyDescent="0.3">
      <c r="A1093" t="s">
        <v>1693</v>
      </c>
      <c r="B1093" s="2">
        <v>46079</v>
      </c>
      <c r="C1093" t="s">
        <v>26</v>
      </c>
      <c r="D1093" t="s">
        <v>126</v>
      </c>
      <c r="E1093" t="s">
        <v>42</v>
      </c>
      <c r="F1093" t="s">
        <v>1694</v>
      </c>
      <c r="G1093" t="s">
        <v>30</v>
      </c>
      <c r="J1093">
        <v>0</v>
      </c>
      <c r="K1093">
        <v>0</v>
      </c>
      <c r="L1093">
        <v>0</v>
      </c>
      <c r="M1093">
        <v>1</v>
      </c>
      <c r="N1093">
        <v>11.6</v>
      </c>
      <c r="O1093">
        <v>2.4</v>
      </c>
      <c r="P1093">
        <v>3.5</v>
      </c>
      <c r="Q1093" t="s">
        <v>62</v>
      </c>
    </row>
    <row r="1094" spans="1:17" x14ac:dyDescent="0.3">
      <c r="A1094" t="s">
        <v>1695</v>
      </c>
      <c r="B1094" s="2">
        <v>46230</v>
      </c>
      <c r="C1094" t="s">
        <v>26</v>
      </c>
      <c r="D1094" t="s">
        <v>69</v>
      </c>
      <c r="E1094" t="s">
        <v>28</v>
      </c>
      <c r="F1094" t="s">
        <v>514</v>
      </c>
      <c r="G1094" t="s">
        <v>22</v>
      </c>
      <c r="J1094">
        <v>0</v>
      </c>
      <c r="K1094">
        <v>0</v>
      </c>
      <c r="L1094">
        <v>0</v>
      </c>
      <c r="M1094">
        <v>1</v>
      </c>
      <c r="N1094">
        <v>0.5</v>
      </c>
      <c r="O1094">
        <v>2.2999999999999998</v>
      </c>
      <c r="P1094">
        <v>5</v>
      </c>
      <c r="Q1094" t="s">
        <v>31</v>
      </c>
    </row>
    <row r="1095" spans="1:17" x14ac:dyDescent="0.3">
      <c r="A1095" t="s">
        <v>1696</v>
      </c>
      <c r="B1095" s="2">
        <v>46213</v>
      </c>
      <c r="C1095" t="s">
        <v>18</v>
      </c>
      <c r="D1095" t="s">
        <v>117</v>
      </c>
      <c r="E1095" t="s">
        <v>48</v>
      </c>
      <c r="F1095" t="s">
        <v>162</v>
      </c>
      <c r="G1095" t="s">
        <v>50</v>
      </c>
      <c r="H1095" t="s">
        <v>23</v>
      </c>
      <c r="I1095" t="s">
        <v>45</v>
      </c>
      <c r="J1095">
        <v>1</v>
      </c>
      <c r="K1095">
        <v>17600</v>
      </c>
      <c r="L1095">
        <v>0</v>
      </c>
      <c r="N1095">
        <v>21.4</v>
      </c>
      <c r="Q1095" t="s">
        <v>45</v>
      </c>
    </row>
    <row r="1096" spans="1:17" x14ac:dyDescent="0.3">
      <c r="A1096" t="s">
        <v>1697</v>
      </c>
      <c r="B1096" s="2">
        <v>46145</v>
      </c>
      <c r="C1096" t="s">
        <v>18</v>
      </c>
      <c r="D1096" t="s">
        <v>95</v>
      </c>
      <c r="E1096" t="s">
        <v>28</v>
      </c>
      <c r="F1096" t="s">
        <v>304</v>
      </c>
      <c r="G1096" t="s">
        <v>50</v>
      </c>
      <c r="H1096" t="s">
        <v>78</v>
      </c>
      <c r="I1096" t="s">
        <v>24</v>
      </c>
      <c r="J1096">
        <v>1</v>
      </c>
      <c r="K1096">
        <v>23600</v>
      </c>
      <c r="L1096">
        <v>23600</v>
      </c>
      <c r="N1096">
        <v>7.3</v>
      </c>
      <c r="Q1096" t="s">
        <v>24</v>
      </c>
    </row>
    <row r="1097" spans="1:17" x14ac:dyDescent="0.3">
      <c r="A1097" t="s">
        <v>1698</v>
      </c>
      <c r="B1097" s="2">
        <v>46159</v>
      </c>
      <c r="C1097" t="s">
        <v>18</v>
      </c>
      <c r="D1097" t="s">
        <v>19</v>
      </c>
      <c r="E1097" t="s">
        <v>42</v>
      </c>
      <c r="F1097" t="s">
        <v>1456</v>
      </c>
      <c r="G1097" t="s">
        <v>30</v>
      </c>
      <c r="H1097" t="s">
        <v>78</v>
      </c>
      <c r="I1097" t="s">
        <v>89</v>
      </c>
      <c r="J1097">
        <v>1</v>
      </c>
      <c r="K1097">
        <v>9000</v>
      </c>
      <c r="L1097">
        <v>0</v>
      </c>
      <c r="N1097">
        <v>19</v>
      </c>
      <c r="Q1097" t="s">
        <v>89</v>
      </c>
    </row>
    <row r="1098" spans="1:17" x14ac:dyDescent="0.3">
      <c r="A1098" t="s">
        <v>1699</v>
      </c>
      <c r="B1098" s="2">
        <v>46226</v>
      </c>
      <c r="C1098" t="s">
        <v>18</v>
      </c>
      <c r="D1098" t="s">
        <v>19</v>
      </c>
      <c r="E1098" t="s">
        <v>42</v>
      </c>
      <c r="F1098" t="s">
        <v>1609</v>
      </c>
      <c r="G1098" t="s">
        <v>22</v>
      </c>
      <c r="H1098" t="s">
        <v>86</v>
      </c>
      <c r="I1098" t="s">
        <v>24</v>
      </c>
      <c r="J1098">
        <v>1</v>
      </c>
      <c r="K1098">
        <v>64100</v>
      </c>
      <c r="L1098">
        <v>64100</v>
      </c>
      <c r="N1098">
        <v>11.5</v>
      </c>
      <c r="Q1098" t="s">
        <v>24</v>
      </c>
    </row>
    <row r="1099" spans="1:17" x14ac:dyDescent="0.3">
      <c r="A1099" t="s">
        <v>1700</v>
      </c>
      <c r="B1099" s="2">
        <v>46072</v>
      </c>
      <c r="C1099" t="s">
        <v>18</v>
      </c>
      <c r="D1099" t="s">
        <v>105</v>
      </c>
      <c r="E1099" t="s">
        <v>20</v>
      </c>
      <c r="F1099" t="s">
        <v>1701</v>
      </c>
      <c r="G1099" t="s">
        <v>22</v>
      </c>
      <c r="H1099" t="s">
        <v>86</v>
      </c>
      <c r="I1099" t="s">
        <v>24</v>
      </c>
      <c r="J1099">
        <v>1</v>
      </c>
      <c r="K1099">
        <v>7000</v>
      </c>
      <c r="L1099">
        <v>7000</v>
      </c>
      <c r="N1099">
        <v>15.1</v>
      </c>
      <c r="Q1099" t="s">
        <v>24</v>
      </c>
    </row>
    <row r="1100" spans="1:17" x14ac:dyDescent="0.3">
      <c r="A1100" t="s">
        <v>1702</v>
      </c>
      <c r="B1100" s="2">
        <v>46142</v>
      </c>
      <c r="C1100" t="s">
        <v>26</v>
      </c>
      <c r="D1100" t="s">
        <v>33</v>
      </c>
      <c r="E1100" t="s">
        <v>37</v>
      </c>
      <c r="F1100" t="s">
        <v>966</v>
      </c>
      <c r="G1100" t="s">
        <v>30</v>
      </c>
      <c r="J1100">
        <v>0</v>
      </c>
      <c r="K1100">
        <v>0</v>
      </c>
      <c r="L1100">
        <v>0</v>
      </c>
      <c r="M1100">
        <v>1</v>
      </c>
      <c r="N1100">
        <v>10.8</v>
      </c>
      <c r="O1100">
        <v>7.4</v>
      </c>
      <c r="P1100">
        <v>3.8</v>
      </c>
      <c r="Q1100" t="s">
        <v>39</v>
      </c>
    </row>
    <row r="1101" spans="1:17" x14ac:dyDescent="0.3">
      <c r="A1101" t="s">
        <v>1703</v>
      </c>
      <c r="B1101" s="2">
        <v>46042</v>
      </c>
      <c r="C1101" t="s">
        <v>18</v>
      </c>
      <c r="D1101" t="s">
        <v>47</v>
      </c>
      <c r="E1101" t="s">
        <v>20</v>
      </c>
      <c r="F1101" t="s">
        <v>990</v>
      </c>
      <c r="G1101" t="s">
        <v>30</v>
      </c>
      <c r="H1101" t="s">
        <v>54</v>
      </c>
      <c r="I1101" t="s">
        <v>24</v>
      </c>
      <c r="J1101">
        <v>1</v>
      </c>
      <c r="K1101">
        <v>17500</v>
      </c>
      <c r="L1101">
        <v>17500</v>
      </c>
      <c r="N1101">
        <v>5.4</v>
      </c>
      <c r="Q1101" t="s">
        <v>24</v>
      </c>
    </row>
    <row r="1102" spans="1:17" x14ac:dyDescent="0.3">
      <c r="A1102" t="s">
        <v>1704</v>
      </c>
      <c r="B1102" s="2">
        <v>46232</v>
      </c>
      <c r="C1102" t="s">
        <v>18</v>
      </c>
      <c r="D1102" t="s">
        <v>52</v>
      </c>
      <c r="E1102" t="s">
        <v>37</v>
      </c>
      <c r="F1102" t="s">
        <v>1199</v>
      </c>
      <c r="G1102" t="s">
        <v>30</v>
      </c>
      <c r="H1102" t="s">
        <v>54</v>
      </c>
      <c r="I1102" t="s">
        <v>79</v>
      </c>
      <c r="J1102">
        <v>1</v>
      </c>
      <c r="K1102">
        <v>18000</v>
      </c>
      <c r="L1102">
        <v>0</v>
      </c>
      <c r="N1102">
        <v>17.5</v>
      </c>
      <c r="Q1102" t="s">
        <v>79</v>
      </c>
    </row>
    <row r="1103" spans="1:17" x14ac:dyDescent="0.3">
      <c r="A1103" t="s">
        <v>1705</v>
      </c>
      <c r="B1103" s="2">
        <v>46146</v>
      </c>
      <c r="C1103" t="s">
        <v>26</v>
      </c>
      <c r="D1103" t="s">
        <v>33</v>
      </c>
      <c r="E1103" t="s">
        <v>20</v>
      </c>
      <c r="F1103" t="s">
        <v>1706</v>
      </c>
      <c r="G1103" t="s">
        <v>22</v>
      </c>
      <c r="J1103">
        <v>0</v>
      </c>
      <c r="K1103">
        <v>0</v>
      </c>
      <c r="L1103">
        <v>0</v>
      </c>
      <c r="M1103">
        <v>1</v>
      </c>
      <c r="N1103">
        <v>6.5</v>
      </c>
      <c r="O1103">
        <v>8.6</v>
      </c>
      <c r="P1103">
        <v>4.2</v>
      </c>
      <c r="Q1103" t="s">
        <v>225</v>
      </c>
    </row>
    <row r="1104" spans="1:17" x14ac:dyDescent="0.3">
      <c r="A1104" t="s">
        <v>1707</v>
      </c>
      <c r="B1104" s="2">
        <v>46008</v>
      </c>
      <c r="C1104" t="s">
        <v>26</v>
      </c>
      <c r="D1104" t="s">
        <v>36</v>
      </c>
      <c r="E1104" t="s">
        <v>20</v>
      </c>
      <c r="F1104" t="s">
        <v>445</v>
      </c>
      <c r="G1104" t="s">
        <v>30</v>
      </c>
      <c r="J1104">
        <v>0</v>
      </c>
      <c r="K1104">
        <v>0</v>
      </c>
      <c r="L1104">
        <v>0</v>
      </c>
      <c r="M1104">
        <v>1</v>
      </c>
      <c r="N1104">
        <v>2.2999999999999998</v>
      </c>
      <c r="O1104">
        <v>21</v>
      </c>
      <c r="P1104">
        <v>4.5</v>
      </c>
      <c r="Q1104" t="s">
        <v>31</v>
      </c>
    </row>
    <row r="1105" spans="1:17" x14ac:dyDescent="0.3">
      <c r="A1105" t="s">
        <v>1708</v>
      </c>
      <c r="B1105" s="2">
        <v>45924</v>
      </c>
      <c r="C1105" t="s">
        <v>26</v>
      </c>
      <c r="D1105" t="s">
        <v>27</v>
      </c>
      <c r="E1105" t="s">
        <v>42</v>
      </c>
      <c r="F1105" t="s">
        <v>1709</v>
      </c>
      <c r="G1105" t="s">
        <v>30</v>
      </c>
      <c r="J1105">
        <v>0</v>
      </c>
      <c r="K1105">
        <v>0</v>
      </c>
      <c r="L1105">
        <v>0</v>
      </c>
      <c r="M1105">
        <v>1</v>
      </c>
      <c r="N1105">
        <v>7.3</v>
      </c>
      <c r="O1105">
        <v>9.4</v>
      </c>
      <c r="P1105">
        <v>4.4000000000000004</v>
      </c>
      <c r="Q1105" t="s">
        <v>31</v>
      </c>
    </row>
    <row r="1106" spans="1:17" x14ac:dyDescent="0.3">
      <c r="A1106" t="s">
        <v>1710</v>
      </c>
      <c r="B1106" s="2">
        <v>45991</v>
      </c>
      <c r="C1106" t="s">
        <v>26</v>
      </c>
      <c r="D1106" t="s">
        <v>72</v>
      </c>
      <c r="E1106" t="s">
        <v>20</v>
      </c>
      <c r="F1106" t="s">
        <v>572</v>
      </c>
      <c r="G1106" t="s">
        <v>50</v>
      </c>
      <c r="J1106">
        <v>0</v>
      </c>
      <c r="K1106">
        <v>0</v>
      </c>
      <c r="L1106">
        <v>0</v>
      </c>
      <c r="M1106">
        <v>1</v>
      </c>
      <c r="N1106">
        <v>12</v>
      </c>
      <c r="O1106">
        <v>12.2</v>
      </c>
      <c r="P1106">
        <v>4.3</v>
      </c>
      <c r="Q1106" t="s">
        <v>39</v>
      </c>
    </row>
    <row r="1107" spans="1:17" x14ac:dyDescent="0.3">
      <c r="A1107" t="s">
        <v>1711</v>
      </c>
      <c r="B1107" s="2">
        <v>46013</v>
      </c>
      <c r="C1107" t="s">
        <v>18</v>
      </c>
      <c r="D1107" t="s">
        <v>52</v>
      </c>
      <c r="E1107" t="s">
        <v>20</v>
      </c>
      <c r="F1107" t="s">
        <v>433</v>
      </c>
      <c r="G1107" t="s">
        <v>30</v>
      </c>
      <c r="H1107" t="s">
        <v>78</v>
      </c>
      <c r="I1107" t="s">
        <v>55</v>
      </c>
      <c r="J1107">
        <v>1</v>
      </c>
      <c r="K1107">
        <v>14900</v>
      </c>
      <c r="L1107">
        <v>0</v>
      </c>
      <c r="N1107">
        <v>9.9</v>
      </c>
      <c r="Q1107" t="s">
        <v>55</v>
      </c>
    </row>
    <row r="1108" spans="1:17" x14ac:dyDescent="0.3">
      <c r="A1108" t="s">
        <v>1712</v>
      </c>
      <c r="B1108" s="2">
        <v>45990</v>
      </c>
      <c r="C1108" t="s">
        <v>18</v>
      </c>
      <c r="D1108" t="s">
        <v>47</v>
      </c>
      <c r="E1108" t="s">
        <v>48</v>
      </c>
      <c r="F1108" t="s">
        <v>1713</v>
      </c>
      <c r="G1108" t="s">
        <v>22</v>
      </c>
      <c r="H1108" t="s">
        <v>23</v>
      </c>
      <c r="I1108" t="s">
        <v>24</v>
      </c>
      <c r="J1108">
        <v>1</v>
      </c>
      <c r="K1108">
        <v>6800</v>
      </c>
      <c r="L1108">
        <v>6800</v>
      </c>
      <c r="N1108">
        <v>16</v>
      </c>
      <c r="Q1108" t="s">
        <v>24</v>
      </c>
    </row>
    <row r="1109" spans="1:17" x14ac:dyDescent="0.3">
      <c r="A1109" t="s">
        <v>1714</v>
      </c>
      <c r="B1109" s="2">
        <v>45929</v>
      </c>
      <c r="C1109" t="s">
        <v>26</v>
      </c>
      <c r="D1109" t="s">
        <v>72</v>
      </c>
      <c r="E1109" t="s">
        <v>48</v>
      </c>
      <c r="F1109" t="s">
        <v>70</v>
      </c>
      <c r="G1109" t="s">
        <v>30</v>
      </c>
      <c r="J1109">
        <v>0</v>
      </c>
      <c r="K1109">
        <v>0</v>
      </c>
      <c r="L1109">
        <v>0</v>
      </c>
      <c r="M1109">
        <v>1</v>
      </c>
      <c r="N1109">
        <v>5.6</v>
      </c>
      <c r="O1109">
        <v>26.7</v>
      </c>
      <c r="P1109">
        <v>3.5</v>
      </c>
      <c r="Q1109" t="s">
        <v>39</v>
      </c>
    </row>
    <row r="1110" spans="1:17" x14ac:dyDescent="0.3">
      <c r="A1110" t="s">
        <v>1715</v>
      </c>
      <c r="B1110" s="2">
        <v>45962</v>
      </c>
      <c r="C1110" t="s">
        <v>26</v>
      </c>
      <c r="D1110" t="s">
        <v>33</v>
      </c>
      <c r="E1110" t="s">
        <v>28</v>
      </c>
      <c r="F1110" t="s">
        <v>336</v>
      </c>
      <c r="G1110" t="s">
        <v>30</v>
      </c>
      <c r="J1110">
        <v>0</v>
      </c>
      <c r="K1110">
        <v>0</v>
      </c>
      <c r="L1110">
        <v>0</v>
      </c>
      <c r="M1110">
        <v>1</v>
      </c>
      <c r="N1110">
        <v>2.2999999999999998</v>
      </c>
      <c r="O1110">
        <v>6.7</v>
      </c>
      <c r="P1110">
        <v>4.5</v>
      </c>
      <c r="Q1110" t="s">
        <v>39</v>
      </c>
    </row>
    <row r="1111" spans="1:17" x14ac:dyDescent="0.3">
      <c r="A1111" t="s">
        <v>1716</v>
      </c>
      <c r="B1111" s="2">
        <v>46090</v>
      </c>
      <c r="C1111" t="s">
        <v>18</v>
      </c>
      <c r="D1111" t="s">
        <v>41</v>
      </c>
      <c r="E1111" t="s">
        <v>20</v>
      </c>
      <c r="F1111" t="s">
        <v>850</v>
      </c>
      <c r="G1111" t="s">
        <v>50</v>
      </c>
      <c r="H1111" t="s">
        <v>66</v>
      </c>
      <c r="I1111" t="s">
        <v>67</v>
      </c>
      <c r="J1111">
        <v>1</v>
      </c>
      <c r="K1111">
        <v>70000</v>
      </c>
      <c r="L1111">
        <v>0</v>
      </c>
      <c r="N1111">
        <v>0.5</v>
      </c>
      <c r="Q1111" t="s">
        <v>67</v>
      </c>
    </row>
    <row r="1112" spans="1:17" x14ac:dyDescent="0.3">
      <c r="A1112" t="s">
        <v>1717</v>
      </c>
      <c r="B1112" s="2">
        <v>46058</v>
      </c>
      <c r="C1112" t="s">
        <v>26</v>
      </c>
      <c r="D1112" t="s">
        <v>33</v>
      </c>
      <c r="E1112" t="s">
        <v>48</v>
      </c>
      <c r="F1112" t="s">
        <v>1718</v>
      </c>
      <c r="G1112" t="s">
        <v>44</v>
      </c>
      <c r="J1112">
        <v>0</v>
      </c>
      <c r="K1112">
        <v>0</v>
      </c>
      <c r="L1112">
        <v>0</v>
      </c>
      <c r="M1112">
        <v>1</v>
      </c>
      <c r="N1112">
        <v>4.9000000000000004</v>
      </c>
      <c r="O1112">
        <v>10.7</v>
      </c>
      <c r="P1112">
        <v>2.6</v>
      </c>
      <c r="Q1112" t="s">
        <v>39</v>
      </c>
    </row>
    <row r="1113" spans="1:17" x14ac:dyDescent="0.3">
      <c r="A1113" t="s">
        <v>1719</v>
      </c>
      <c r="B1113" s="2">
        <v>45936</v>
      </c>
      <c r="C1113" t="s">
        <v>18</v>
      </c>
      <c r="D1113" t="s">
        <v>117</v>
      </c>
      <c r="E1113" t="s">
        <v>28</v>
      </c>
      <c r="F1113" t="s">
        <v>384</v>
      </c>
      <c r="G1113" t="s">
        <v>50</v>
      </c>
      <c r="H1113" t="s">
        <v>23</v>
      </c>
      <c r="I1113" t="s">
        <v>89</v>
      </c>
      <c r="J1113">
        <v>1</v>
      </c>
      <c r="K1113">
        <v>10600</v>
      </c>
      <c r="L1113">
        <v>0</v>
      </c>
      <c r="N1113">
        <v>3.8</v>
      </c>
      <c r="Q1113" t="s">
        <v>89</v>
      </c>
    </row>
    <row r="1114" spans="1:17" x14ac:dyDescent="0.3">
      <c r="A1114" t="s">
        <v>1720</v>
      </c>
      <c r="B1114" s="2">
        <v>45945</v>
      </c>
      <c r="C1114" t="s">
        <v>18</v>
      </c>
      <c r="D1114" t="s">
        <v>105</v>
      </c>
      <c r="E1114" t="s">
        <v>20</v>
      </c>
      <c r="F1114" t="s">
        <v>1721</v>
      </c>
      <c r="G1114" t="s">
        <v>44</v>
      </c>
      <c r="H1114" t="s">
        <v>23</v>
      </c>
      <c r="I1114" t="s">
        <v>55</v>
      </c>
      <c r="J1114">
        <v>1</v>
      </c>
      <c r="K1114">
        <v>24800</v>
      </c>
      <c r="L1114">
        <v>0</v>
      </c>
      <c r="N1114">
        <v>4</v>
      </c>
      <c r="Q1114" t="s">
        <v>55</v>
      </c>
    </row>
    <row r="1115" spans="1:17" x14ac:dyDescent="0.3">
      <c r="A1115" t="s">
        <v>1722</v>
      </c>
      <c r="B1115" s="2">
        <v>46202</v>
      </c>
      <c r="C1115" t="s">
        <v>18</v>
      </c>
      <c r="D1115" t="s">
        <v>117</v>
      </c>
      <c r="E1115" t="s">
        <v>42</v>
      </c>
      <c r="F1115" t="s">
        <v>1723</v>
      </c>
      <c r="G1115" t="s">
        <v>22</v>
      </c>
      <c r="H1115" t="s">
        <v>86</v>
      </c>
      <c r="I1115" t="s">
        <v>79</v>
      </c>
      <c r="J1115">
        <v>1</v>
      </c>
      <c r="K1115">
        <v>12700</v>
      </c>
      <c r="L1115">
        <v>0</v>
      </c>
      <c r="N1115">
        <v>17.100000000000001</v>
      </c>
      <c r="Q1115" t="s">
        <v>79</v>
      </c>
    </row>
    <row r="1116" spans="1:17" x14ac:dyDescent="0.3">
      <c r="A1116" t="s">
        <v>1724</v>
      </c>
      <c r="B1116" s="2">
        <v>46050</v>
      </c>
      <c r="C1116" t="s">
        <v>26</v>
      </c>
      <c r="D1116" t="s">
        <v>33</v>
      </c>
      <c r="E1116" t="s">
        <v>42</v>
      </c>
      <c r="F1116" t="s">
        <v>887</v>
      </c>
      <c r="G1116" t="s">
        <v>22</v>
      </c>
      <c r="J1116">
        <v>0</v>
      </c>
      <c r="K1116">
        <v>0</v>
      </c>
      <c r="L1116">
        <v>0</v>
      </c>
      <c r="M1116">
        <v>1</v>
      </c>
      <c r="N1116">
        <v>10.3</v>
      </c>
      <c r="O1116">
        <v>4.3</v>
      </c>
      <c r="P1116">
        <v>2.6</v>
      </c>
      <c r="Q1116" t="s">
        <v>31</v>
      </c>
    </row>
    <row r="1117" spans="1:17" x14ac:dyDescent="0.3">
      <c r="A1117" t="s">
        <v>1725</v>
      </c>
      <c r="B1117" s="2">
        <v>46035</v>
      </c>
      <c r="C1117" t="s">
        <v>26</v>
      </c>
      <c r="D1117" t="s">
        <v>232</v>
      </c>
      <c r="E1117" t="s">
        <v>37</v>
      </c>
      <c r="F1117" t="s">
        <v>996</v>
      </c>
      <c r="G1117" t="s">
        <v>30</v>
      </c>
      <c r="J1117">
        <v>0</v>
      </c>
      <c r="K1117">
        <v>0</v>
      </c>
      <c r="L1117">
        <v>0</v>
      </c>
      <c r="M1117">
        <v>1</v>
      </c>
      <c r="N1117">
        <v>2.5</v>
      </c>
      <c r="O1117">
        <v>3.8</v>
      </c>
      <c r="P1117">
        <v>3.3</v>
      </c>
      <c r="Q1117" t="s">
        <v>39</v>
      </c>
    </row>
    <row r="1118" spans="1:17" x14ac:dyDescent="0.3">
      <c r="A1118" t="s">
        <v>1726</v>
      </c>
      <c r="B1118" s="2">
        <v>46048</v>
      </c>
      <c r="C1118" t="s">
        <v>18</v>
      </c>
      <c r="D1118" t="s">
        <v>47</v>
      </c>
      <c r="E1118" t="s">
        <v>20</v>
      </c>
      <c r="F1118" t="s">
        <v>827</v>
      </c>
      <c r="G1118" t="s">
        <v>30</v>
      </c>
      <c r="H1118" t="s">
        <v>66</v>
      </c>
      <c r="I1118" t="s">
        <v>24</v>
      </c>
      <c r="J1118">
        <v>1</v>
      </c>
      <c r="K1118">
        <v>24200</v>
      </c>
      <c r="L1118">
        <v>24200</v>
      </c>
      <c r="N1118">
        <v>17.8</v>
      </c>
      <c r="Q1118" t="s">
        <v>24</v>
      </c>
    </row>
    <row r="1119" spans="1:17" x14ac:dyDescent="0.3">
      <c r="A1119" t="s">
        <v>1727</v>
      </c>
      <c r="B1119" s="2">
        <v>46257</v>
      </c>
      <c r="C1119" t="s">
        <v>26</v>
      </c>
      <c r="D1119" t="s">
        <v>69</v>
      </c>
      <c r="E1119" t="s">
        <v>20</v>
      </c>
      <c r="F1119" t="s">
        <v>611</v>
      </c>
      <c r="G1119" t="s">
        <v>50</v>
      </c>
      <c r="J1119">
        <v>0</v>
      </c>
      <c r="K1119">
        <v>0</v>
      </c>
      <c r="L1119">
        <v>0</v>
      </c>
      <c r="M1119">
        <v>1</v>
      </c>
      <c r="N1119">
        <v>9.4</v>
      </c>
      <c r="O1119">
        <v>31.7</v>
      </c>
      <c r="P1119">
        <v>3.4</v>
      </c>
      <c r="Q1119" t="s">
        <v>39</v>
      </c>
    </row>
    <row r="1120" spans="1:17" x14ac:dyDescent="0.3">
      <c r="A1120" t="s">
        <v>1728</v>
      </c>
      <c r="B1120" s="2">
        <v>45981</v>
      </c>
      <c r="C1120" t="s">
        <v>18</v>
      </c>
      <c r="D1120" t="s">
        <v>52</v>
      </c>
      <c r="E1120" t="s">
        <v>28</v>
      </c>
      <c r="F1120" t="s">
        <v>1380</v>
      </c>
      <c r="G1120" t="s">
        <v>44</v>
      </c>
      <c r="H1120" t="s">
        <v>23</v>
      </c>
      <c r="I1120" t="s">
        <v>55</v>
      </c>
      <c r="J1120">
        <v>1</v>
      </c>
      <c r="K1120">
        <v>43900</v>
      </c>
      <c r="L1120">
        <v>0</v>
      </c>
      <c r="N1120">
        <v>4</v>
      </c>
      <c r="Q1120" t="s">
        <v>55</v>
      </c>
    </row>
    <row r="1121" spans="1:17" x14ac:dyDescent="0.3">
      <c r="A1121" t="s">
        <v>1729</v>
      </c>
      <c r="B1121" s="2">
        <v>45917</v>
      </c>
      <c r="C1121" t="s">
        <v>18</v>
      </c>
      <c r="D1121" t="s">
        <v>19</v>
      </c>
      <c r="E1121" t="s">
        <v>28</v>
      </c>
      <c r="F1121" t="s">
        <v>1730</v>
      </c>
      <c r="G1121" t="s">
        <v>22</v>
      </c>
      <c r="H1121" t="s">
        <v>86</v>
      </c>
      <c r="I1121" t="s">
        <v>79</v>
      </c>
      <c r="J1121">
        <v>1</v>
      </c>
      <c r="K1121">
        <v>63100</v>
      </c>
      <c r="L1121">
        <v>0</v>
      </c>
      <c r="N1121">
        <v>17.600000000000001</v>
      </c>
      <c r="Q1121" t="s">
        <v>79</v>
      </c>
    </row>
    <row r="1122" spans="1:17" x14ac:dyDescent="0.3">
      <c r="A1122" t="s">
        <v>1731</v>
      </c>
      <c r="B1122" s="2">
        <v>46045</v>
      </c>
      <c r="C1122" t="s">
        <v>26</v>
      </c>
      <c r="D1122" t="s">
        <v>232</v>
      </c>
      <c r="E1122" t="s">
        <v>48</v>
      </c>
      <c r="F1122" t="s">
        <v>1286</v>
      </c>
      <c r="G1122" t="s">
        <v>22</v>
      </c>
      <c r="J1122">
        <v>0</v>
      </c>
      <c r="K1122">
        <v>0</v>
      </c>
      <c r="L1122">
        <v>0</v>
      </c>
      <c r="M1122">
        <v>1</v>
      </c>
      <c r="N1122">
        <v>10.3</v>
      </c>
      <c r="O1122">
        <v>2.7</v>
      </c>
      <c r="P1122">
        <v>2.9</v>
      </c>
      <c r="Q1122" t="s">
        <v>39</v>
      </c>
    </row>
    <row r="1123" spans="1:17" x14ac:dyDescent="0.3">
      <c r="A1123" t="s">
        <v>1732</v>
      </c>
      <c r="B1123" s="2">
        <v>45916</v>
      </c>
      <c r="C1123" t="s">
        <v>26</v>
      </c>
      <c r="D1123" t="s">
        <v>69</v>
      </c>
      <c r="E1123" t="s">
        <v>28</v>
      </c>
      <c r="F1123" t="s">
        <v>1733</v>
      </c>
      <c r="G1123" t="s">
        <v>50</v>
      </c>
      <c r="J1123">
        <v>0</v>
      </c>
      <c r="K1123">
        <v>0</v>
      </c>
      <c r="L1123">
        <v>0</v>
      </c>
      <c r="M1123">
        <v>1</v>
      </c>
      <c r="N1123">
        <v>11.4</v>
      </c>
      <c r="O1123">
        <v>6.1</v>
      </c>
      <c r="P1123">
        <v>3.9</v>
      </c>
      <c r="Q1123" t="s">
        <v>31</v>
      </c>
    </row>
    <row r="1124" spans="1:17" x14ac:dyDescent="0.3">
      <c r="A1124" t="s">
        <v>1734</v>
      </c>
      <c r="B1124" s="2">
        <v>46093</v>
      </c>
      <c r="C1124" t="s">
        <v>26</v>
      </c>
      <c r="D1124" t="s">
        <v>69</v>
      </c>
      <c r="E1124" t="s">
        <v>20</v>
      </c>
      <c r="F1124" t="s">
        <v>493</v>
      </c>
      <c r="G1124" t="s">
        <v>44</v>
      </c>
      <c r="J1124">
        <v>0</v>
      </c>
      <c r="K1124">
        <v>0</v>
      </c>
      <c r="L1124">
        <v>0</v>
      </c>
      <c r="M1124">
        <v>1</v>
      </c>
      <c r="N1124">
        <v>0.3</v>
      </c>
      <c r="O1124">
        <v>5.6</v>
      </c>
      <c r="P1124">
        <v>4.3</v>
      </c>
      <c r="Q1124" t="s">
        <v>31</v>
      </c>
    </row>
    <row r="1125" spans="1:17" x14ac:dyDescent="0.3">
      <c r="A1125" t="s">
        <v>1735</v>
      </c>
      <c r="B1125" s="2">
        <v>46214</v>
      </c>
      <c r="C1125" t="s">
        <v>26</v>
      </c>
      <c r="D1125" t="s">
        <v>27</v>
      </c>
      <c r="E1125" t="s">
        <v>28</v>
      </c>
      <c r="F1125" t="s">
        <v>1736</v>
      </c>
      <c r="G1125" t="s">
        <v>44</v>
      </c>
      <c r="J1125">
        <v>0</v>
      </c>
      <c r="K1125">
        <v>0</v>
      </c>
      <c r="L1125">
        <v>0</v>
      </c>
      <c r="M1125">
        <v>1</v>
      </c>
      <c r="N1125">
        <v>4.5</v>
      </c>
      <c r="O1125">
        <v>4.0999999999999996</v>
      </c>
      <c r="P1125">
        <v>4.7</v>
      </c>
      <c r="Q1125" t="s">
        <v>39</v>
      </c>
    </row>
    <row r="1126" spans="1:17" x14ac:dyDescent="0.3">
      <c r="A1126" t="s">
        <v>1737</v>
      </c>
      <c r="B1126" s="2">
        <v>46017</v>
      </c>
      <c r="C1126" t="s">
        <v>26</v>
      </c>
      <c r="D1126" t="s">
        <v>232</v>
      </c>
      <c r="E1126" t="s">
        <v>20</v>
      </c>
      <c r="F1126" t="s">
        <v>1286</v>
      </c>
      <c r="G1126" t="s">
        <v>30</v>
      </c>
      <c r="J1126">
        <v>0</v>
      </c>
      <c r="K1126">
        <v>0</v>
      </c>
      <c r="L1126">
        <v>0</v>
      </c>
      <c r="M1126">
        <v>1</v>
      </c>
      <c r="N1126">
        <v>0.9</v>
      </c>
      <c r="O1126">
        <v>6.5</v>
      </c>
      <c r="P1126">
        <v>3.3</v>
      </c>
      <c r="Q1126" t="s">
        <v>39</v>
      </c>
    </row>
    <row r="1127" spans="1:17" x14ac:dyDescent="0.3">
      <c r="A1127" t="s">
        <v>1738</v>
      </c>
      <c r="B1127" s="2">
        <v>46042</v>
      </c>
      <c r="C1127" t="s">
        <v>26</v>
      </c>
      <c r="D1127" t="s">
        <v>27</v>
      </c>
      <c r="E1127" t="s">
        <v>37</v>
      </c>
      <c r="F1127" t="s">
        <v>517</v>
      </c>
      <c r="G1127" t="s">
        <v>22</v>
      </c>
      <c r="J1127">
        <v>0</v>
      </c>
      <c r="K1127">
        <v>0</v>
      </c>
      <c r="L1127">
        <v>0</v>
      </c>
      <c r="M1127">
        <v>1</v>
      </c>
      <c r="N1127">
        <v>2.5</v>
      </c>
      <c r="O1127">
        <v>5.5</v>
      </c>
      <c r="P1127">
        <v>5</v>
      </c>
      <c r="Q1127" t="s">
        <v>62</v>
      </c>
    </row>
    <row r="1128" spans="1:17" x14ac:dyDescent="0.3">
      <c r="A1128" t="s">
        <v>1739</v>
      </c>
      <c r="B1128" s="2">
        <v>45983</v>
      </c>
      <c r="C1128" t="s">
        <v>18</v>
      </c>
      <c r="D1128" t="s">
        <v>47</v>
      </c>
      <c r="E1128" t="s">
        <v>37</v>
      </c>
      <c r="F1128" t="s">
        <v>594</v>
      </c>
      <c r="G1128" t="s">
        <v>30</v>
      </c>
      <c r="H1128" t="s">
        <v>78</v>
      </c>
      <c r="I1128" t="s">
        <v>45</v>
      </c>
      <c r="J1128">
        <v>1</v>
      </c>
      <c r="K1128">
        <v>6900</v>
      </c>
      <c r="L1128">
        <v>0</v>
      </c>
      <c r="N1128">
        <v>23.8</v>
      </c>
      <c r="Q1128" t="s">
        <v>45</v>
      </c>
    </row>
    <row r="1129" spans="1:17" x14ac:dyDescent="0.3">
      <c r="A1129" t="s">
        <v>1740</v>
      </c>
      <c r="B1129" s="2">
        <v>46050</v>
      </c>
      <c r="C1129" t="s">
        <v>18</v>
      </c>
      <c r="D1129" t="s">
        <v>105</v>
      </c>
      <c r="E1129" t="s">
        <v>37</v>
      </c>
      <c r="F1129" t="s">
        <v>292</v>
      </c>
      <c r="G1129" t="s">
        <v>22</v>
      </c>
      <c r="H1129" t="s">
        <v>86</v>
      </c>
      <c r="I1129" t="s">
        <v>45</v>
      </c>
      <c r="J1129">
        <v>1</v>
      </c>
      <c r="K1129">
        <v>44500</v>
      </c>
      <c r="L1129">
        <v>0</v>
      </c>
      <c r="N1129">
        <v>21.3</v>
      </c>
      <c r="Q1129" t="s">
        <v>45</v>
      </c>
    </row>
    <row r="1130" spans="1:17" x14ac:dyDescent="0.3">
      <c r="A1130" t="s">
        <v>1741</v>
      </c>
      <c r="B1130" s="2">
        <v>46195</v>
      </c>
      <c r="C1130" t="s">
        <v>18</v>
      </c>
      <c r="D1130" t="s">
        <v>41</v>
      </c>
      <c r="E1130" t="s">
        <v>20</v>
      </c>
      <c r="F1130" t="s">
        <v>320</v>
      </c>
      <c r="G1130" t="s">
        <v>44</v>
      </c>
      <c r="H1130" t="s">
        <v>78</v>
      </c>
      <c r="I1130" t="s">
        <v>67</v>
      </c>
      <c r="J1130">
        <v>1</v>
      </c>
      <c r="K1130">
        <v>28500</v>
      </c>
      <c r="L1130">
        <v>0</v>
      </c>
      <c r="N1130">
        <v>12.4</v>
      </c>
      <c r="Q1130" t="s">
        <v>67</v>
      </c>
    </row>
    <row r="1131" spans="1:17" x14ac:dyDescent="0.3">
      <c r="A1131" t="s">
        <v>1742</v>
      </c>
      <c r="B1131" s="2">
        <v>45910</v>
      </c>
      <c r="C1131" t="s">
        <v>18</v>
      </c>
      <c r="D1131" t="s">
        <v>47</v>
      </c>
      <c r="E1131" t="s">
        <v>20</v>
      </c>
      <c r="F1131" t="s">
        <v>1743</v>
      </c>
      <c r="G1131" t="s">
        <v>44</v>
      </c>
      <c r="H1131" t="s">
        <v>86</v>
      </c>
      <c r="I1131" t="s">
        <v>55</v>
      </c>
      <c r="J1131">
        <v>1</v>
      </c>
      <c r="K1131">
        <v>8300</v>
      </c>
      <c r="L1131">
        <v>0</v>
      </c>
      <c r="N1131">
        <v>16.600000000000001</v>
      </c>
      <c r="Q1131" t="s">
        <v>55</v>
      </c>
    </row>
    <row r="1132" spans="1:17" x14ac:dyDescent="0.3">
      <c r="A1132" t="s">
        <v>1744</v>
      </c>
      <c r="B1132" s="2">
        <v>46229</v>
      </c>
      <c r="C1132" t="s">
        <v>26</v>
      </c>
      <c r="D1132" t="s">
        <v>27</v>
      </c>
      <c r="E1132" t="s">
        <v>20</v>
      </c>
      <c r="F1132" t="s">
        <v>138</v>
      </c>
      <c r="G1132" t="s">
        <v>30</v>
      </c>
      <c r="J1132">
        <v>0</v>
      </c>
      <c r="K1132">
        <v>0</v>
      </c>
      <c r="L1132">
        <v>0</v>
      </c>
      <c r="M1132">
        <v>1</v>
      </c>
      <c r="N1132">
        <v>8.5</v>
      </c>
      <c r="O1132">
        <v>8</v>
      </c>
      <c r="P1132">
        <v>5</v>
      </c>
      <c r="Q1132" t="s">
        <v>39</v>
      </c>
    </row>
    <row r="1133" spans="1:17" x14ac:dyDescent="0.3">
      <c r="A1133" t="s">
        <v>1745</v>
      </c>
      <c r="B1133" s="2">
        <v>46253</v>
      </c>
      <c r="C1133" t="s">
        <v>18</v>
      </c>
      <c r="D1133" t="s">
        <v>95</v>
      </c>
      <c r="E1133" t="s">
        <v>48</v>
      </c>
      <c r="F1133" t="s">
        <v>342</v>
      </c>
      <c r="G1133" t="s">
        <v>30</v>
      </c>
      <c r="H1133" t="s">
        <v>78</v>
      </c>
      <c r="I1133" t="s">
        <v>45</v>
      </c>
      <c r="J1133">
        <v>1</v>
      </c>
      <c r="K1133">
        <v>17600</v>
      </c>
      <c r="L1133">
        <v>0</v>
      </c>
      <c r="N1133">
        <v>23.1</v>
      </c>
      <c r="Q1133" t="s">
        <v>45</v>
      </c>
    </row>
    <row r="1134" spans="1:17" x14ac:dyDescent="0.3">
      <c r="A1134" t="s">
        <v>1746</v>
      </c>
      <c r="B1134" s="2">
        <v>46221</v>
      </c>
      <c r="C1134" t="s">
        <v>18</v>
      </c>
      <c r="D1134" t="s">
        <v>52</v>
      </c>
      <c r="E1134" t="s">
        <v>48</v>
      </c>
      <c r="F1134" t="s">
        <v>1747</v>
      </c>
      <c r="G1134" t="s">
        <v>50</v>
      </c>
      <c r="H1134" t="s">
        <v>78</v>
      </c>
      <c r="I1134" t="s">
        <v>55</v>
      </c>
      <c r="J1134">
        <v>1</v>
      </c>
      <c r="K1134">
        <v>26600</v>
      </c>
      <c r="L1134">
        <v>0</v>
      </c>
      <c r="N1134">
        <v>3.3</v>
      </c>
      <c r="Q1134" t="s">
        <v>55</v>
      </c>
    </row>
    <row r="1135" spans="1:17" x14ac:dyDescent="0.3">
      <c r="A1135" t="s">
        <v>1748</v>
      </c>
      <c r="B1135" s="2">
        <v>45934</v>
      </c>
      <c r="C1135" t="s">
        <v>18</v>
      </c>
      <c r="D1135" t="s">
        <v>19</v>
      </c>
      <c r="E1135" t="s">
        <v>42</v>
      </c>
      <c r="F1135" t="s">
        <v>1468</v>
      </c>
      <c r="G1135" t="s">
        <v>44</v>
      </c>
      <c r="H1135" t="s">
        <v>54</v>
      </c>
      <c r="I1135" t="s">
        <v>45</v>
      </c>
      <c r="J1135">
        <v>1</v>
      </c>
      <c r="K1135">
        <v>14200</v>
      </c>
      <c r="L1135">
        <v>0</v>
      </c>
      <c r="N1135">
        <v>19.899999999999999</v>
      </c>
      <c r="Q1135" t="s">
        <v>45</v>
      </c>
    </row>
    <row r="1136" spans="1:17" x14ac:dyDescent="0.3">
      <c r="A1136" t="s">
        <v>1749</v>
      </c>
      <c r="B1136" s="2">
        <v>46230</v>
      </c>
      <c r="C1136" t="s">
        <v>26</v>
      </c>
      <c r="D1136" t="s">
        <v>114</v>
      </c>
      <c r="E1136" t="s">
        <v>48</v>
      </c>
      <c r="F1136" t="s">
        <v>1750</v>
      </c>
      <c r="G1136" t="s">
        <v>30</v>
      </c>
      <c r="J1136">
        <v>0</v>
      </c>
      <c r="K1136">
        <v>0</v>
      </c>
      <c r="L1136">
        <v>0</v>
      </c>
      <c r="M1136">
        <v>1</v>
      </c>
      <c r="N1136">
        <v>11.8</v>
      </c>
      <c r="O1136">
        <v>6.6</v>
      </c>
      <c r="P1136">
        <v>5</v>
      </c>
      <c r="Q1136" t="s">
        <v>39</v>
      </c>
    </row>
    <row r="1137" spans="1:17" x14ac:dyDescent="0.3">
      <c r="A1137" t="s">
        <v>1751</v>
      </c>
      <c r="B1137" s="2">
        <v>46126</v>
      </c>
      <c r="C1137" t="s">
        <v>18</v>
      </c>
      <c r="D1137" t="s">
        <v>95</v>
      </c>
      <c r="E1137" t="s">
        <v>48</v>
      </c>
      <c r="F1137" t="s">
        <v>1752</v>
      </c>
      <c r="G1137" t="s">
        <v>30</v>
      </c>
      <c r="H1137" t="s">
        <v>78</v>
      </c>
      <c r="I1137" t="s">
        <v>89</v>
      </c>
      <c r="J1137">
        <v>1</v>
      </c>
      <c r="K1137">
        <v>11300</v>
      </c>
      <c r="L1137">
        <v>0</v>
      </c>
      <c r="N1137">
        <v>22.4</v>
      </c>
      <c r="Q1137" t="s">
        <v>89</v>
      </c>
    </row>
    <row r="1138" spans="1:17" x14ac:dyDescent="0.3">
      <c r="A1138" t="s">
        <v>1753</v>
      </c>
      <c r="B1138" s="2">
        <v>46017</v>
      </c>
      <c r="C1138" t="s">
        <v>26</v>
      </c>
      <c r="D1138" t="s">
        <v>33</v>
      </c>
      <c r="E1138" t="s">
        <v>20</v>
      </c>
      <c r="F1138" t="s">
        <v>1020</v>
      </c>
      <c r="G1138" t="s">
        <v>44</v>
      </c>
      <c r="J1138">
        <v>0</v>
      </c>
      <c r="K1138">
        <v>0</v>
      </c>
      <c r="L1138">
        <v>0</v>
      </c>
      <c r="M1138">
        <v>1</v>
      </c>
      <c r="N1138">
        <v>4.9000000000000004</v>
      </c>
      <c r="O1138">
        <v>8.9</v>
      </c>
      <c r="P1138">
        <v>3.9</v>
      </c>
      <c r="Q1138" t="s">
        <v>31</v>
      </c>
    </row>
    <row r="1139" spans="1:17" x14ac:dyDescent="0.3">
      <c r="A1139" t="s">
        <v>1754</v>
      </c>
      <c r="B1139" s="2">
        <v>46216</v>
      </c>
      <c r="C1139" t="s">
        <v>18</v>
      </c>
      <c r="D1139" t="s">
        <v>47</v>
      </c>
      <c r="E1139" t="s">
        <v>37</v>
      </c>
      <c r="F1139" t="s">
        <v>855</v>
      </c>
      <c r="G1139" t="s">
        <v>44</v>
      </c>
      <c r="H1139" t="s">
        <v>54</v>
      </c>
      <c r="I1139" t="s">
        <v>45</v>
      </c>
      <c r="J1139">
        <v>1</v>
      </c>
      <c r="K1139">
        <v>29000</v>
      </c>
      <c r="L1139">
        <v>0</v>
      </c>
      <c r="N1139">
        <v>9.6</v>
      </c>
      <c r="Q1139" t="s">
        <v>45</v>
      </c>
    </row>
    <row r="1140" spans="1:17" x14ac:dyDescent="0.3">
      <c r="A1140" t="s">
        <v>1755</v>
      </c>
      <c r="B1140" s="2">
        <v>46138</v>
      </c>
      <c r="C1140" t="s">
        <v>18</v>
      </c>
      <c r="D1140" t="s">
        <v>105</v>
      </c>
      <c r="E1140" t="s">
        <v>20</v>
      </c>
      <c r="F1140" t="s">
        <v>370</v>
      </c>
      <c r="G1140" t="s">
        <v>44</v>
      </c>
      <c r="H1140" t="s">
        <v>86</v>
      </c>
      <c r="I1140" t="s">
        <v>89</v>
      </c>
      <c r="J1140">
        <v>1</v>
      </c>
      <c r="K1140">
        <v>52700</v>
      </c>
      <c r="L1140">
        <v>0</v>
      </c>
      <c r="N1140">
        <v>14</v>
      </c>
      <c r="Q1140" t="s">
        <v>89</v>
      </c>
    </row>
    <row r="1141" spans="1:17" x14ac:dyDescent="0.3">
      <c r="A1141" t="s">
        <v>1756</v>
      </c>
      <c r="B1141" s="2">
        <v>46240</v>
      </c>
      <c r="C1141" t="s">
        <v>26</v>
      </c>
      <c r="D1141" t="s">
        <v>72</v>
      </c>
      <c r="E1141" t="s">
        <v>48</v>
      </c>
      <c r="F1141" t="s">
        <v>1757</v>
      </c>
      <c r="G1141" t="s">
        <v>50</v>
      </c>
      <c r="J1141">
        <v>0</v>
      </c>
      <c r="K1141">
        <v>0</v>
      </c>
      <c r="L1141">
        <v>0</v>
      </c>
      <c r="M1141">
        <v>1</v>
      </c>
      <c r="N1141">
        <v>9.6</v>
      </c>
      <c r="O1141">
        <v>4.0999999999999996</v>
      </c>
      <c r="P1141">
        <v>3.8</v>
      </c>
      <c r="Q1141" t="s">
        <v>31</v>
      </c>
    </row>
    <row r="1142" spans="1:17" x14ac:dyDescent="0.3">
      <c r="A1142" t="s">
        <v>1758</v>
      </c>
      <c r="B1142" s="2">
        <v>46207</v>
      </c>
      <c r="C1142" t="s">
        <v>26</v>
      </c>
      <c r="D1142" t="s">
        <v>126</v>
      </c>
      <c r="E1142" t="s">
        <v>20</v>
      </c>
      <c r="F1142" t="s">
        <v>681</v>
      </c>
      <c r="G1142" t="s">
        <v>50</v>
      </c>
      <c r="J1142">
        <v>0</v>
      </c>
      <c r="K1142">
        <v>0</v>
      </c>
      <c r="L1142">
        <v>0</v>
      </c>
      <c r="M1142">
        <v>1</v>
      </c>
      <c r="N1142">
        <v>3.8</v>
      </c>
      <c r="O1142">
        <v>12</v>
      </c>
      <c r="P1142">
        <v>4.4000000000000004</v>
      </c>
      <c r="Q1142" t="s">
        <v>39</v>
      </c>
    </row>
    <row r="1143" spans="1:17" x14ac:dyDescent="0.3">
      <c r="A1143" t="s">
        <v>1759</v>
      </c>
      <c r="B1143" s="2">
        <v>46114</v>
      </c>
      <c r="C1143" t="s">
        <v>18</v>
      </c>
      <c r="D1143" t="s">
        <v>19</v>
      </c>
      <c r="E1143" t="s">
        <v>28</v>
      </c>
      <c r="F1143" t="s">
        <v>859</v>
      </c>
      <c r="G1143" t="s">
        <v>22</v>
      </c>
      <c r="H1143" t="s">
        <v>23</v>
      </c>
      <c r="I1143" t="s">
        <v>45</v>
      </c>
      <c r="J1143">
        <v>1</v>
      </c>
      <c r="K1143">
        <v>23900</v>
      </c>
      <c r="L1143">
        <v>0</v>
      </c>
      <c r="N1143">
        <v>20.6</v>
      </c>
      <c r="Q1143" t="s">
        <v>45</v>
      </c>
    </row>
    <row r="1144" spans="1:17" x14ac:dyDescent="0.3">
      <c r="A1144" t="s">
        <v>1760</v>
      </c>
      <c r="B1144" s="2">
        <v>46144</v>
      </c>
      <c r="C1144" t="s">
        <v>26</v>
      </c>
      <c r="D1144" t="s">
        <v>27</v>
      </c>
      <c r="E1144" t="s">
        <v>20</v>
      </c>
      <c r="F1144" t="s">
        <v>1273</v>
      </c>
      <c r="G1144" t="s">
        <v>44</v>
      </c>
      <c r="J1144">
        <v>0</v>
      </c>
      <c r="K1144">
        <v>0</v>
      </c>
      <c r="L1144">
        <v>0</v>
      </c>
      <c r="M1144">
        <v>1</v>
      </c>
      <c r="N1144">
        <v>11.2</v>
      </c>
      <c r="O1144">
        <v>20.9</v>
      </c>
      <c r="P1144">
        <v>3.7</v>
      </c>
      <c r="Q1144" t="s">
        <v>62</v>
      </c>
    </row>
    <row r="1145" spans="1:17" x14ac:dyDescent="0.3">
      <c r="A1145" t="s">
        <v>1761</v>
      </c>
      <c r="B1145" s="2">
        <v>45931</v>
      </c>
      <c r="C1145" t="s">
        <v>26</v>
      </c>
      <c r="D1145" t="s">
        <v>126</v>
      </c>
      <c r="E1145" t="s">
        <v>20</v>
      </c>
      <c r="F1145" t="s">
        <v>138</v>
      </c>
      <c r="G1145" t="s">
        <v>22</v>
      </c>
      <c r="J1145">
        <v>0</v>
      </c>
      <c r="K1145">
        <v>0</v>
      </c>
      <c r="L1145">
        <v>0</v>
      </c>
      <c r="M1145">
        <v>1</v>
      </c>
      <c r="N1145">
        <v>10.1</v>
      </c>
      <c r="O1145">
        <v>24.6</v>
      </c>
      <c r="P1145">
        <v>3.5</v>
      </c>
      <c r="Q1145" t="s">
        <v>31</v>
      </c>
    </row>
    <row r="1146" spans="1:17" x14ac:dyDescent="0.3">
      <c r="A1146" t="s">
        <v>1762</v>
      </c>
      <c r="B1146" s="2">
        <v>45920</v>
      </c>
      <c r="C1146" t="s">
        <v>18</v>
      </c>
      <c r="D1146" t="s">
        <v>117</v>
      </c>
      <c r="E1146" t="s">
        <v>20</v>
      </c>
      <c r="F1146" t="s">
        <v>1249</v>
      </c>
      <c r="G1146" t="s">
        <v>50</v>
      </c>
      <c r="H1146" t="s">
        <v>78</v>
      </c>
      <c r="I1146" t="s">
        <v>79</v>
      </c>
      <c r="J1146">
        <v>1</v>
      </c>
      <c r="K1146">
        <v>33000</v>
      </c>
      <c r="L1146">
        <v>0</v>
      </c>
      <c r="N1146">
        <v>12.4</v>
      </c>
      <c r="Q1146" t="s">
        <v>79</v>
      </c>
    </row>
    <row r="1147" spans="1:17" x14ac:dyDescent="0.3">
      <c r="A1147" t="s">
        <v>1763</v>
      </c>
      <c r="B1147" s="2">
        <v>45924</v>
      </c>
      <c r="C1147" t="s">
        <v>26</v>
      </c>
      <c r="D1147" t="s">
        <v>114</v>
      </c>
      <c r="E1147" t="s">
        <v>37</v>
      </c>
      <c r="F1147" t="s">
        <v>1003</v>
      </c>
      <c r="G1147" t="s">
        <v>22</v>
      </c>
      <c r="J1147">
        <v>0</v>
      </c>
      <c r="K1147">
        <v>0</v>
      </c>
      <c r="L1147">
        <v>0</v>
      </c>
      <c r="M1147">
        <v>1</v>
      </c>
      <c r="N1147">
        <v>9.6999999999999993</v>
      </c>
      <c r="O1147">
        <v>3.7</v>
      </c>
      <c r="P1147">
        <v>2</v>
      </c>
      <c r="Q1147" t="s">
        <v>39</v>
      </c>
    </row>
    <row r="1148" spans="1:17" x14ac:dyDescent="0.3">
      <c r="A1148" t="s">
        <v>1764</v>
      </c>
      <c r="B1148" s="2">
        <v>46108</v>
      </c>
      <c r="C1148" t="s">
        <v>26</v>
      </c>
      <c r="D1148" t="s">
        <v>126</v>
      </c>
      <c r="E1148" t="s">
        <v>20</v>
      </c>
      <c r="F1148" t="s">
        <v>754</v>
      </c>
      <c r="G1148" t="s">
        <v>50</v>
      </c>
      <c r="J1148">
        <v>0</v>
      </c>
      <c r="K1148">
        <v>0</v>
      </c>
      <c r="L1148">
        <v>0</v>
      </c>
      <c r="M1148">
        <v>1</v>
      </c>
      <c r="N1148">
        <v>6.8</v>
      </c>
      <c r="O1148">
        <v>10.199999999999999</v>
      </c>
      <c r="P1148">
        <v>4.7</v>
      </c>
      <c r="Q1148" t="s">
        <v>39</v>
      </c>
    </row>
    <row r="1149" spans="1:17" x14ac:dyDescent="0.3">
      <c r="A1149" t="s">
        <v>1765</v>
      </c>
      <c r="B1149" s="2">
        <v>46012</v>
      </c>
      <c r="C1149" t="s">
        <v>26</v>
      </c>
      <c r="D1149" t="s">
        <v>36</v>
      </c>
      <c r="E1149" t="s">
        <v>48</v>
      </c>
      <c r="F1149" t="s">
        <v>665</v>
      </c>
      <c r="G1149" t="s">
        <v>50</v>
      </c>
      <c r="J1149">
        <v>0</v>
      </c>
      <c r="K1149">
        <v>0</v>
      </c>
      <c r="L1149">
        <v>0</v>
      </c>
      <c r="M1149">
        <v>1</v>
      </c>
      <c r="N1149">
        <v>9.9</v>
      </c>
      <c r="O1149">
        <v>5.2</v>
      </c>
      <c r="P1149">
        <v>3</v>
      </c>
      <c r="Q1149" t="s">
        <v>31</v>
      </c>
    </row>
    <row r="1150" spans="1:17" x14ac:dyDescent="0.3">
      <c r="A1150" t="s">
        <v>1766</v>
      </c>
      <c r="B1150" s="2">
        <v>45906</v>
      </c>
      <c r="C1150" t="s">
        <v>26</v>
      </c>
      <c r="D1150" t="s">
        <v>69</v>
      </c>
      <c r="E1150" t="s">
        <v>28</v>
      </c>
      <c r="F1150" t="s">
        <v>710</v>
      </c>
      <c r="G1150" t="s">
        <v>30</v>
      </c>
      <c r="J1150">
        <v>0</v>
      </c>
      <c r="K1150">
        <v>0</v>
      </c>
      <c r="L1150">
        <v>0</v>
      </c>
      <c r="M1150">
        <v>1</v>
      </c>
      <c r="N1150">
        <v>2.2999999999999998</v>
      </c>
      <c r="O1150">
        <v>8.1</v>
      </c>
      <c r="P1150">
        <v>4.2</v>
      </c>
      <c r="Q1150" t="s">
        <v>62</v>
      </c>
    </row>
    <row r="1151" spans="1:17" x14ac:dyDescent="0.3">
      <c r="A1151" t="s">
        <v>1767</v>
      </c>
      <c r="B1151" s="2">
        <v>46109</v>
      </c>
      <c r="C1151" t="s">
        <v>26</v>
      </c>
      <c r="D1151" t="s">
        <v>27</v>
      </c>
      <c r="E1151" t="s">
        <v>20</v>
      </c>
      <c r="F1151" t="s">
        <v>825</v>
      </c>
      <c r="G1151" t="s">
        <v>44</v>
      </c>
      <c r="J1151">
        <v>0</v>
      </c>
      <c r="K1151">
        <v>0</v>
      </c>
      <c r="L1151">
        <v>0</v>
      </c>
      <c r="M1151">
        <v>1</v>
      </c>
      <c r="N1151">
        <v>1.9</v>
      </c>
      <c r="O1151">
        <v>8.6</v>
      </c>
      <c r="P1151">
        <v>4.5999999999999996</v>
      </c>
      <c r="Q1151" t="s">
        <v>225</v>
      </c>
    </row>
    <row r="1152" spans="1:17" x14ac:dyDescent="0.3">
      <c r="A1152" t="s">
        <v>1768</v>
      </c>
      <c r="B1152" s="2">
        <v>45914</v>
      </c>
      <c r="C1152" t="s">
        <v>26</v>
      </c>
      <c r="D1152" t="s">
        <v>232</v>
      </c>
      <c r="E1152" t="s">
        <v>48</v>
      </c>
      <c r="F1152" t="s">
        <v>558</v>
      </c>
      <c r="G1152" t="s">
        <v>50</v>
      </c>
      <c r="J1152">
        <v>0</v>
      </c>
      <c r="K1152">
        <v>0</v>
      </c>
      <c r="L1152">
        <v>0</v>
      </c>
      <c r="M1152">
        <v>1</v>
      </c>
      <c r="N1152">
        <v>8.6</v>
      </c>
      <c r="O1152">
        <v>16</v>
      </c>
      <c r="P1152">
        <v>5</v>
      </c>
      <c r="Q1152" t="s">
        <v>39</v>
      </c>
    </row>
    <row r="1153" spans="1:17" x14ac:dyDescent="0.3">
      <c r="A1153" t="s">
        <v>1769</v>
      </c>
      <c r="B1153" s="2">
        <v>45963</v>
      </c>
      <c r="C1153" t="s">
        <v>26</v>
      </c>
      <c r="D1153" t="s">
        <v>33</v>
      </c>
      <c r="E1153" t="s">
        <v>28</v>
      </c>
      <c r="F1153" t="s">
        <v>250</v>
      </c>
      <c r="G1153" t="s">
        <v>30</v>
      </c>
      <c r="J1153">
        <v>0</v>
      </c>
      <c r="K1153">
        <v>0</v>
      </c>
      <c r="L1153">
        <v>0</v>
      </c>
      <c r="M1153">
        <v>1</v>
      </c>
      <c r="N1153">
        <v>11.5</v>
      </c>
      <c r="O1153">
        <v>2</v>
      </c>
      <c r="P1153">
        <v>3.9</v>
      </c>
      <c r="Q1153" t="s">
        <v>31</v>
      </c>
    </row>
    <row r="1154" spans="1:17" x14ac:dyDescent="0.3">
      <c r="A1154" t="s">
        <v>1770</v>
      </c>
      <c r="B1154" s="2">
        <v>46092</v>
      </c>
      <c r="C1154" t="s">
        <v>26</v>
      </c>
      <c r="D1154" t="s">
        <v>126</v>
      </c>
      <c r="E1154" t="s">
        <v>28</v>
      </c>
      <c r="F1154" t="s">
        <v>1205</v>
      </c>
      <c r="G1154" t="s">
        <v>22</v>
      </c>
      <c r="J1154">
        <v>0</v>
      </c>
      <c r="K1154">
        <v>0</v>
      </c>
      <c r="L1154">
        <v>0</v>
      </c>
      <c r="M1154">
        <v>1</v>
      </c>
      <c r="N1154">
        <v>7.9</v>
      </c>
      <c r="O1154">
        <v>5.8</v>
      </c>
      <c r="P1154">
        <v>4.9000000000000004</v>
      </c>
      <c r="Q1154" t="s">
        <v>31</v>
      </c>
    </row>
    <row r="1155" spans="1:17" x14ac:dyDescent="0.3">
      <c r="A1155" t="s">
        <v>1771</v>
      </c>
      <c r="B1155" s="2">
        <v>46062</v>
      </c>
      <c r="C1155" t="s">
        <v>26</v>
      </c>
      <c r="D1155" t="s">
        <v>69</v>
      </c>
      <c r="E1155" t="s">
        <v>37</v>
      </c>
      <c r="F1155" t="s">
        <v>1427</v>
      </c>
      <c r="G1155" t="s">
        <v>30</v>
      </c>
      <c r="J1155">
        <v>0</v>
      </c>
      <c r="K1155">
        <v>0</v>
      </c>
      <c r="L1155">
        <v>0</v>
      </c>
      <c r="M1155">
        <v>1</v>
      </c>
      <c r="N1155">
        <v>11.3</v>
      </c>
      <c r="O1155">
        <v>8.3000000000000007</v>
      </c>
      <c r="P1155">
        <v>4.2</v>
      </c>
      <c r="Q1155" t="s">
        <v>31</v>
      </c>
    </row>
    <row r="1156" spans="1:17" x14ac:dyDescent="0.3">
      <c r="A1156" t="s">
        <v>1772</v>
      </c>
      <c r="B1156" s="2">
        <v>46090</v>
      </c>
      <c r="C1156" t="s">
        <v>26</v>
      </c>
      <c r="D1156" t="s">
        <v>33</v>
      </c>
      <c r="E1156" t="s">
        <v>42</v>
      </c>
      <c r="F1156" t="s">
        <v>952</v>
      </c>
      <c r="G1156" t="s">
        <v>50</v>
      </c>
      <c r="J1156">
        <v>0</v>
      </c>
      <c r="K1156">
        <v>0</v>
      </c>
      <c r="L1156">
        <v>0</v>
      </c>
      <c r="M1156">
        <v>1</v>
      </c>
      <c r="N1156">
        <v>3.8</v>
      </c>
      <c r="O1156">
        <v>4.4000000000000004</v>
      </c>
      <c r="P1156">
        <v>5</v>
      </c>
      <c r="Q1156" t="s">
        <v>39</v>
      </c>
    </row>
    <row r="1157" spans="1:17" x14ac:dyDescent="0.3">
      <c r="A1157" t="s">
        <v>1773</v>
      </c>
      <c r="B1157" s="2">
        <v>46061</v>
      </c>
      <c r="C1157" t="s">
        <v>26</v>
      </c>
      <c r="D1157" t="s">
        <v>33</v>
      </c>
      <c r="E1157" t="s">
        <v>20</v>
      </c>
      <c r="F1157" t="s">
        <v>1186</v>
      </c>
      <c r="G1157" t="s">
        <v>22</v>
      </c>
      <c r="J1157">
        <v>0</v>
      </c>
      <c r="K1157">
        <v>0</v>
      </c>
      <c r="L1157">
        <v>0</v>
      </c>
      <c r="M1157">
        <v>1</v>
      </c>
      <c r="N1157">
        <v>1.5</v>
      </c>
      <c r="O1157">
        <v>6.5</v>
      </c>
      <c r="P1157">
        <v>2.5</v>
      </c>
      <c r="Q1157" t="s">
        <v>39</v>
      </c>
    </row>
    <row r="1158" spans="1:17" x14ac:dyDescent="0.3">
      <c r="A1158" t="s">
        <v>1774</v>
      </c>
      <c r="B1158" s="2">
        <v>45918</v>
      </c>
      <c r="C1158" t="s">
        <v>18</v>
      </c>
      <c r="D1158" t="s">
        <v>105</v>
      </c>
      <c r="E1158" t="s">
        <v>20</v>
      </c>
      <c r="F1158" t="s">
        <v>783</v>
      </c>
      <c r="G1158" t="s">
        <v>44</v>
      </c>
      <c r="H1158" t="s">
        <v>23</v>
      </c>
      <c r="I1158" t="s">
        <v>55</v>
      </c>
      <c r="J1158">
        <v>1</v>
      </c>
      <c r="K1158">
        <v>30600</v>
      </c>
      <c r="L1158">
        <v>0</v>
      </c>
      <c r="N1158">
        <v>18.600000000000001</v>
      </c>
      <c r="Q1158" t="s">
        <v>55</v>
      </c>
    </row>
    <row r="1159" spans="1:17" x14ac:dyDescent="0.3">
      <c r="A1159" t="s">
        <v>1775</v>
      </c>
      <c r="B1159" s="2">
        <v>46237</v>
      </c>
      <c r="C1159" t="s">
        <v>26</v>
      </c>
      <c r="D1159" t="s">
        <v>33</v>
      </c>
      <c r="E1159" t="s">
        <v>20</v>
      </c>
      <c r="F1159" t="s">
        <v>1085</v>
      </c>
      <c r="G1159" t="s">
        <v>30</v>
      </c>
      <c r="J1159">
        <v>0</v>
      </c>
      <c r="K1159">
        <v>0</v>
      </c>
      <c r="L1159">
        <v>0</v>
      </c>
      <c r="M1159">
        <v>1</v>
      </c>
      <c r="N1159">
        <v>8.8000000000000007</v>
      </c>
      <c r="O1159">
        <v>5.4</v>
      </c>
      <c r="P1159">
        <v>4.7</v>
      </c>
      <c r="Q1159" t="s">
        <v>39</v>
      </c>
    </row>
    <row r="1160" spans="1:17" x14ac:dyDescent="0.3">
      <c r="A1160" t="s">
        <v>1776</v>
      </c>
      <c r="B1160" s="2">
        <v>46152</v>
      </c>
      <c r="C1160" t="s">
        <v>26</v>
      </c>
      <c r="D1160" t="s">
        <v>232</v>
      </c>
      <c r="E1160" t="s">
        <v>20</v>
      </c>
      <c r="F1160" t="s">
        <v>276</v>
      </c>
      <c r="G1160" t="s">
        <v>30</v>
      </c>
      <c r="J1160">
        <v>0</v>
      </c>
      <c r="K1160">
        <v>0</v>
      </c>
      <c r="L1160">
        <v>0</v>
      </c>
      <c r="M1160">
        <v>1</v>
      </c>
      <c r="N1160">
        <v>6.1</v>
      </c>
      <c r="O1160">
        <v>4.9000000000000004</v>
      </c>
      <c r="P1160">
        <v>3.9</v>
      </c>
      <c r="Q1160" t="s">
        <v>39</v>
      </c>
    </row>
    <row r="1161" spans="1:17" x14ac:dyDescent="0.3">
      <c r="A1161" t="s">
        <v>1777</v>
      </c>
      <c r="B1161" s="2">
        <v>46055</v>
      </c>
      <c r="C1161" t="s">
        <v>18</v>
      </c>
      <c r="D1161" t="s">
        <v>105</v>
      </c>
      <c r="E1161" t="s">
        <v>20</v>
      </c>
      <c r="F1161" t="s">
        <v>1297</v>
      </c>
      <c r="G1161" t="s">
        <v>30</v>
      </c>
      <c r="H1161" t="s">
        <v>66</v>
      </c>
      <c r="I1161" t="s">
        <v>24</v>
      </c>
      <c r="J1161">
        <v>1</v>
      </c>
      <c r="K1161">
        <v>20400</v>
      </c>
      <c r="L1161">
        <v>20400</v>
      </c>
      <c r="N1161">
        <v>18.899999999999999</v>
      </c>
      <c r="Q1161" t="s">
        <v>24</v>
      </c>
    </row>
    <row r="1162" spans="1:17" x14ac:dyDescent="0.3">
      <c r="A1162" t="s">
        <v>1778</v>
      </c>
      <c r="B1162" s="2">
        <v>46182</v>
      </c>
      <c r="C1162" t="s">
        <v>26</v>
      </c>
      <c r="D1162" t="s">
        <v>27</v>
      </c>
      <c r="E1162" t="s">
        <v>20</v>
      </c>
      <c r="F1162" t="s">
        <v>1186</v>
      </c>
      <c r="G1162" t="s">
        <v>50</v>
      </c>
      <c r="J1162">
        <v>0</v>
      </c>
      <c r="K1162">
        <v>0</v>
      </c>
      <c r="L1162">
        <v>0</v>
      </c>
      <c r="M1162">
        <v>1</v>
      </c>
      <c r="N1162">
        <v>1</v>
      </c>
      <c r="O1162">
        <v>2.2999999999999998</v>
      </c>
      <c r="P1162">
        <v>3</v>
      </c>
      <c r="Q1162" t="s">
        <v>39</v>
      </c>
    </row>
    <row r="1163" spans="1:17" x14ac:dyDescent="0.3">
      <c r="A1163" t="s">
        <v>1779</v>
      </c>
      <c r="B1163" s="2">
        <v>46087</v>
      </c>
      <c r="C1163" t="s">
        <v>18</v>
      </c>
      <c r="D1163" t="s">
        <v>41</v>
      </c>
      <c r="E1163" t="s">
        <v>48</v>
      </c>
      <c r="F1163" t="s">
        <v>360</v>
      </c>
      <c r="G1163" t="s">
        <v>50</v>
      </c>
      <c r="H1163" t="s">
        <v>23</v>
      </c>
      <c r="I1163" t="s">
        <v>89</v>
      </c>
      <c r="J1163">
        <v>1</v>
      </c>
      <c r="K1163">
        <v>11700</v>
      </c>
      <c r="L1163">
        <v>0</v>
      </c>
      <c r="N1163">
        <v>19.600000000000001</v>
      </c>
      <c r="Q1163" t="s">
        <v>89</v>
      </c>
    </row>
    <row r="1164" spans="1:17" x14ac:dyDescent="0.3">
      <c r="A1164" t="s">
        <v>1780</v>
      </c>
      <c r="B1164" s="2">
        <v>46258</v>
      </c>
      <c r="C1164" t="s">
        <v>18</v>
      </c>
      <c r="D1164" t="s">
        <v>41</v>
      </c>
      <c r="E1164" t="s">
        <v>20</v>
      </c>
      <c r="F1164" t="s">
        <v>1781</v>
      </c>
      <c r="G1164" t="s">
        <v>44</v>
      </c>
      <c r="H1164" t="s">
        <v>78</v>
      </c>
      <c r="I1164" t="s">
        <v>89</v>
      </c>
      <c r="J1164">
        <v>1</v>
      </c>
      <c r="K1164">
        <v>45500</v>
      </c>
      <c r="L1164">
        <v>0</v>
      </c>
      <c r="N1164">
        <v>13.9</v>
      </c>
      <c r="Q1164" t="s">
        <v>89</v>
      </c>
    </row>
    <row r="1165" spans="1:17" x14ac:dyDescent="0.3">
      <c r="A1165" t="s">
        <v>1782</v>
      </c>
      <c r="B1165" s="2">
        <v>46232</v>
      </c>
      <c r="C1165" t="s">
        <v>26</v>
      </c>
      <c r="D1165" t="s">
        <v>114</v>
      </c>
      <c r="E1165" t="s">
        <v>28</v>
      </c>
      <c r="F1165" t="s">
        <v>531</v>
      </c>
      <c r="G1165" t="s">
        <v>22</v>
      </c>
      <c r="J1165">
        <v>0</v>
      </c>
      <c r="K1165">
        <v>0</v>
      </c>
      <c r="L1165">
        <v>0</v>
      </c>
      <c r="M1165">
        <v>1</v>
      </c>
      <c r="N1165">
        <v>2.1</v>
      </c>
      <c r="O1165">
        <v>7.1</v>
      </c>
      <c r="P1165">
        <v>4.0999999999999996</v>
      </c>
      <c r="Q1165" t="s">
        <v>31</v>
      </c>
    </row>
    <row r="1166" spans="1:17" x14ac:dyDescent="0.3">
      <c r="A1166" t="s">
        <v>1783</v>
      </c>
      <c r="B1166" s="2">
        <v>46241</v>
      </c>
      <c r="C1166" t="s">
        <v>18</v>
      </c>
      <c r="D1166" t="s">
        <v>105</v>
      </c>
      <c r="E1166" t="s">
        <v>20</v>
      </c>
      <c r="F1166" t="s">
        <v>1784</v>
      </c>
      <c r="G1166" t="s">
        <v>22</v>
      </c>
      <c r="H1166" t="s">
        <v>23</v>
      </c>
      <c r="I1166" t="s">
        <v>55</v>
      </c>
      <c r="J1166">
        <v>1</v>
      </c>
      <c r="K1166">
        <v>31600</v>
      </c>
      <c r="L1166">
        <v>0</v>
      </c>
      <c r="N1166">
        <v>23.9</v>
      </c>
      <c r="Q1166" t="s">
        <v>55</v>
      </c>
    </row>
    <row r="1167" spans="1:17" x14ac:dyDescent="0.3">
      <c r="A1167" t="s">
        <v>1785</v>
      </c>
      <c r="B1167" s="2">
        <v>45997</v>
      </c>
      <c r="C1167" t="s">
        <v>26</v>
      </c>
      <c r="D1167" t="s">
        <v>27</v>
      </c>
      <c r="E1167" t="s">
        <v>48</v>
      </c>
      <c r="F1167" t="s">
        <v>939</v>
      </c>
      <c r="G1167" t="s">
        <v>44</v>
      </c>
      <c r="J1167">
        <v>0</v>
      </c>
      <c r="K1167">
        <v>0</v>
      </c>
      <c r="L1167">
        <v>0</v>
      </c>
      <c r="M1167">
        <v>1</v>
      </c>
      <c r="N1167">
        <v>5</v>
      </c>
      <c r="O1167">
        <v>5.6</v>
      </c>
      <c r="P1167">
        <v>4.2</v>
      </c>
      <c r="Q1167" t="s">
        <v>39</v>
      </c>
    </row>
    <row r="1168" spans="1:17" x14ac:dyDescent="0.3">
      <c r="A1168" t="s">
        <v>1786</v>
      </c>
      <c r="B1168" s="2">
        <v>46017</v>
      </c>
      <c r="C1168" t="s">
        <v>26</v>
      </c>
      <c r="D1168" t="s">
        <v>36</v>
      </c>
      <c r="E1168" t="s">
        <v>20</v>
      </c>
      <c r="F1168" t="s">
        <v>551</v>
      </c>
      <c r="G1168" t="s">
        <v>44</v>
      </c>
      <c r="J1168">
        <v>0</v>
      </c>
      <c r="K1168">
        <v>0</v>
      </c>
      <c r="L1168">
        <v>0</v>
      </c>
      <c r="M1168">
        <v>1</v>
      </c>
      <c r="N1168">
        <v>0.8</v>
      </c>
      <c r="O1168">
        <v>10.199999999999999</v>
      </c>
      <c r="P1168">
        <v>3.1</v>
      </c>
      <c r="Q1168" t="s">
        <v>62</v>
      </c>
    </row>
    <row r="1169" spans="1:17" x14ac:dyDescent="0.3">
      <c r="A1169" t="s">
        <v>1787</v>
      </c>
      <c r="B1169" s="2">
        <v>46029</v>
      </c>
      <c r="C1169" t="s">
        <v>18</v>
      </c>
      <c r="D1169" t="s">
        <v>105</v>
      </c>
      <c r="E1169" t="s">
        <v>20</v>
      </c>
      <c r="F1169" t="s">
        <v>840</v>
      </c>
      <c r="G1169" t="s">
        <v>22</v>
      </c>
      <c r="H1169" t="s">
        <v>23</v>
      </c>
      <c r="I1169" t="s">
        <v>45</v>
      </c>
      <c r="J1169">
        <v>1</v>
      </c>
      <c r="K1169">
        <v>15500</v>
      </c>
      <c r="L1169">
        <v>0</v>
      </c>
      <c r="N1169">
        <v>11.1</v>
      </c>
      <c r="Q1169" t="s">
        <v>45</v>
      </c>
    </row>
    <row r="1170" spans="1:17" x14ac:dyDescent="0.3">
      <c r="A1170" t="s">
        <v>1788</v>
      </c>
      <c r="B1170" s="2">
        <v>46160</v>
      </c>
      <c r="C1170" t="s">
        <v>18</v>
      </c>
      <c r="D1170" t="s">
        <v>117</v>
      </c>
      <c r="E1170" t="s">
        <v>20</v>
      </c>
      <c r="F1170" t="s">
        <v>349</v>
      </c>
      <c r="G1170" t="s">
        <v>50</v>
      </c>
      <c r="H1170" t="s">
        <v>86</v>
      </c>
      <c r="I1170" t="s">
        <v>45</v>
      </c>
      <c r="J1170">
        <v>1</v>
      </c>
      <c r="K1170">
        <v>31700</v>
      </c>
      <c r="L1170">
        <v>0</v>
      </c>
      <c r="N1170">
        <v>7.8</v>
      </c>
      <c r="Q1170" t="s">
        <v>45</v>
      </c>
    </row>
    <row r="1171" spans="1:17" x14ac:dyDescent="0.3">
      <c r="A1171" t="s">
        <v>1789</v>
      </c>
      <c r="B1171" s="2">
        <v>46157</v>
      </c>
      <c r="C1171" t="s">
        <v>18</v>
      </c>
      <c r="D1171" t="s">
        <v>19</v>
      </c>
      <c r="E1171" t="s">
        <v>20</v>
      </c>
      <c r="F1171" t="s">
        <v>81</v>
      </c>
      <c r="G1171" t="s">
        <v>22</v>
      </c>
      <c r="H1171" t="s">
        <v>86</v>
      </c>
      <c r="I1171" t="s">
        <v>79</v>
      </c>
      <c r="J1171">
        <v>1</v>
      </c>
      <c r="K1171">
        <v>64100</v>
      </c>
      <c r="L1171">
        <v>0</v>
      </c>
      <c r="N1171">
        <v>17.3</v>
      </c>
      <c r="Q1171" t="s">
        <v>79</v>
      </c>
    </row>
    <row r="1172" spans="1:17" x14ac:dyDescent="0.3">
      <c r="A1172" t="s">
        <v>1790</v>
      </c>
      <c r="B1172" s="2">
        <v>46264</v>
      </c>
      <c r="C1172" t="s">
        <v>26</v>
      </c>
      <c r="D1172" t="s">
        <v>36</v>
      </c>
      <c r="E1172" t="s">
        <v>28</v>
      </c>
      <c r="F1172" t="s">
        <v>1135</v>
      </c>
      <c r="G1172" t="s">
        <v>22</v>
      </c>
      <c r="J1172">
        <v>0</v>
      </c>
      <c r="K1172">
        <v>0</v>
      </c>
      <c r="L1172">
        <v>0</v>
      </c>
      <c r="M1172">
        <v>1</v>
      </c>
      <c r="N1172">
        <v>4.9000000000000004</v>
      </c>
      <c r="O1172">
        <v>7.6</v>
      </c>
      <c r="P1172">
        <v>5</v>
      </c>
      <c r="Q1172" t="s">
        <v>31</v>
      </c>
    </row>
    <row r="1173" spans="1:17" x14ac:dyDescent="0.3">
      <c r="A1173" t="s">
        <v>1791</v>
      </c>
      <c r="B1173" s="2">
        <v>46034</v>
      </c>
      <c r="C1173" t="s">
        <v>26</v>
      </c>
      <c r="D1173" t="s">
        <v>72</v>
      </c>
      <c r="E1173" t="s">
        <v>42</v>
      </c>
      <c r="F1173" t="s">
        <v>1354</v>
      </c>
      <c r="G1173" t="s">
        <v>22</v>
      </c>
      <c r="J1173">
        <v>0</v>
      </c>
      <c r="K1173">
        <v>0</v>
      </c>
      <c r="L1173">
        <v>0</v>
      </c>
      <c r="M1173">
        <v>1</v>
      </c>
      <c r="N1173">
        <v>6.8</v>
      </c>
      <c r="O1173">
        <v>2.7</v>
      </c>
      <c r="P1173">
        <v>3.8</v>
      </c>
      <c r="Q1173" t="s">
        <v>62</v>
      </c>
    </row>
    <row r="1174" spans="1:17" x14ac:dyDescent="0.3">
      <c r="A1174" t="s">
        <v>1792</v>
      </c>
      <c r="B1174" s="2">
        <v>46045</v>
      </c>
      <c r="C1174" t="s">
        <v>26</v>
      </c>
      <c r="D1174" t="s">
        <v>72</v>
      </c>
      <c r="E1174" t="s">
        <v>37</v>
      </c>
      <c r="F1174" t="s">
        <v>384</v>
      </c>
      <c r="G1174" t="s">
        <v>50</v>
      </c>
      <c r="J1174">
        <v>0</v>
      </c>
      <c r="K1174">
        <v>0</v>
      </c>
      <c r="L1174">
        <v>0</v>
      </c>
      <c r="M1174">
        <v>1</v>
      </c>
      <c r="N1174">
        <v>6.2</v>
      </c>
      <c r="O1174">
        <v>9.1</v>
      </c>
      <c r="P1174">
        <v>3.9</v>
      </c>
      <c r="Q1174" t="s">
        <v>39</v>
      </c>
    </row>
    <row r="1175" spans="1:17" x14ac:dyDescent="0.3">
      <c r="A1175" t="s">
        <v>1793</v>
      </c>
      <c r="B1175" s="2">
        <v>46114</v>
      </c>
      <c r="C1175" t="s">
        <v>18</v>
      </c>
      <c r="D1175" t="s">
        <v>117</v>
      </c>
      <c r="E1175" t="s">
        <v>37</v>
      </c>
      <c r="F1175" t="s">
        <v>129</v>
      </c>
      <c r="G1175" t="s">
        <v>44</v>
      </c>
      <c r="H1175" t="s">
        <v>54</v>
      </c>
      <c r="I1175" t="s">
        <v>24</v>
      </c>
      <c r="J1175">
        <v>1</v>
      </c>
      <c r="K1175">
        <v>41100</v>
      </c>
      <c r="L1175">
        <v>41100</v>
      </c>
      <c r="N1175">
        <v>20.9</v>
      </c>
      <c r="Q1175" t="s">
        <v>24</v>
      </c>
    </row>
    <row r="1176" spans="1:17" x14ac:dyDescent="0.3">
      <c r="A1176" t="s">
        <v>1794</v>
      </c>
      <c r="B1176" s="2">
        <v>46076</v>
      </c>
      <c r="C1176" t="s">
        <v>26</v>
      </c>
      <c r="D1176" t="s">
        <v>36</v>
      </c>
      <c r="E1176" t="s">
        <v>20</v>
      </c>
      <c r="F1176" t="s">
        <v>1059</v>
      </c>
      <c r="G1176" t="s">
        <v>44</v>
      </c>
      <c r="J1176">
        <v>0</v>
      </c>
      <c r="K1176">
        <v>0</v>
      </c>
      <c r="L1176">
        <v>0</v>
      </c>
      <c r="M1176">
        <v>1</v>
      </c>
      <c r="N1176">
        <v>8.1</v>
      </c>
      <c r="O1176">
        <v>10.8</v>
      </c>
      <c r="P1176">
        <v>4.4000000000000004</v>
      </c>
      <c r="Q1176" t="s">
        <v>39</v>
      </c>
    </row>
    <row r="1177" spans="1:17" x14ac:dyDescent="0.3">
      <c r="A1177" t="s">
        <v>1795</v>
      </c>
      <c r="B1177" s="2">
        <v>45911</v>
      </c>
      <c r="C1177" t="s">
        <v>18</v>
      </c>
      <c r="D1177" t="s">
        <v>41</v>
      </c>
      <c r="E1177" t="s">
        <v>20</v>
      </c>
      <c r="F1177" t="s">
        <v>754</v>
      </c>
      <c r="G1177" t="s">
        <v>30</v>
      </c>
      <c r="H1177" t="s">
        <v>23</v>
      </c>
      <c r="I1177" t="s">
        <v>45</v>
      </c>
      <c r="J1177">
        <v>1</v>
      </c>
      <c r="K1177">
        <v>71200</v>
      </c>
      <c r="L1177">
        <v>0</v>
      </c>
      <c r="N1177">
        <v>23.8</v>
      </c>
      <c r="Q1177" t="s">
        <v>45</v>
      </c>
    </row>
    <row r="1178" spans="1:17" x14ac:dyDescent="0.3">
      <c r="A1178" t="s">
        <v>1796</v>
      </c>
      <c r="B1178" s="2">
        <v>46160</v>
      </c>
      <c r="C1178" t="s">
        <v>26</v>
      </c>
      <c r="D1178" t="s">
        <v>69</v>
      </c>
      <c r="E1178" t="s">
        <v>48</v>
      </c>
      <c r="F1178" t="s">
        <v>1162</v>
      </c>
      <c r="G1178" t="s">
        <v>22</v>
      </c>
      <c r="J1178">
        <v>0</v>
      </c>
      <c r="K1178">
        <v>0</v>
      </c>
      <c r="L1178">
        <v>0</v>
      </c>
      <c r="M1178">
        <v>1</v>
      </c>
      <c r="N1178">
        <v>8.6</v>
      </c>
      <c r="O1178">
        <v>4.4000000000000004</v>
      </c>
      <c r="P1178">
        <v>4.9000000000000004</v>
      </c>
      <c r="Q1178" t="s">
        <v>39</v>
      </c>
    </row>
    <row r="1179" spans="1:17" x14ac:dyDescent="0.3">
      <c r="A1179" t="s">
        <v>1797</v>
      </c>
      <c r="B1179" s="2">
        <v>46080</v>
      </c>
      <c r="C1179" t="s">
        <v>18</v>
      </c>
      <c r="D1179" t="s">
        <v>41</v>
      </c>
      <c r="E1179" t="s">
        <v>20</v>
      </c>
      <c r="F1179" t="s">
        <v>404</v>
      </c>
      <c r="G1179" t="s">
        <v>44</v>
      </c>
      <c r="H1179" t="s">
        <v>23</v>
      </c>
      <c r="I1179" t="s">
        <v>89</v>
      </c>
      <c r="J1179">
        <v>1</v>
      </c>
      <c r="K1179">
        <v>26100</v>
      </c>
      <c r="L1179">
        <v>0</v>
      </c>
      <c r="N1179">
        <v>10.8</v>
      </c>
      <c r="Q1179" t="s">
        <v>89</v>
      </c>
    </row>
    <row r="1180" spans="1:17" x14ac:dyDescent="0.3">
      <c r="A1180" t="s">
        <v>1798</v>
      </c>
      <c r="B1180" s="2">
        <v>45987</v>
      </c>
      <c r="C1180" t="s">
        <v>26</v>
      </c>
      <c r="D1180" t="s">
        <v>72</v>
      </c>
      <c r="E1180" t="s">
        <v>20</v>
      </c>
      <c r="F1180" t="s">
        <v>160</v>
      </c>
      <c r="G1180" t="s">
        <v>22</v>
      </c>
      <c r="J1180">
        <v>0</v>
      </c>
      <c r="K1180">
        <v>0</v>
      </c>
      <c r="L1180">
        <v>0</v>
      </c>
      <c r="M1180">
        <v>1</v>
      </c>
      <c r="N1180">
        <v>11.2</v>
      </c>
      <c r="O1180">
        <v>18.3</v>
      </c>
      <c r="P1180">
        <v>4.5999999999999996</v>
      </c>
      <c r="Q1180" t="s">
        <v>31</v>
      </c>
    </row>
    <row r="1181" spans="1:17" x14ac:dyDescent="0.3">
      <c r="A1181" t="s">
        <v>1799</v>
      </c>
      <c r="B1181" s="2">
        <v>46230</v>
      </c>
      <c r="C1181" t="s">
        <v>18</v>
      </c>
      <c r="D1181" t="s">
        <v>105</v>
      </c>
      <c r="E1181" t="s">
        <v>48</v>
      </c>
      <c r="F1181" t="s">
        <v>1800</v>
      </c>
      <c r="G1181" t="s">
        <v>44</v>
      </c>
      <c r="H1181" t="s">
        <v>54</v>
      </c>
      <c r="I1181" t="s">
        <v>55</v>
      </c>
      <c r="J1181">
        <v>1</v>
      </c>
      <c r="K1181">
        <v>18800</v>
      </c>
      <c r="L1181">
        <v>0</v>
      </c>
      <c r="N1181">
        <v>4.5999999999999996</v>
      </c>
      <c r="Q1181" t="s">
        <v>55</v>
      </c>
    </row>
    <row r="1182" spans="1:17" x14ac:dyDescent="0.3">
      <c r="A1182" t="s">
        <v>1801</v>
      </c>
      <c r="B1182" s="2">
        <v>46164</v>
      </c>
      <c r="C1182" t="s">
        <v>26</v>
      </c>
      <c r="D1182" t="s">
        <v>126</v>
      </c>
      <c r="E1182" t="s">
        <v>48</v>
      </c>
      <c r="F1182" t="s">
        <v>939</v>
      </c>
      <c r="G1182" t="s">
        <v>30</v>
      </c>
      <c r="J1182">
        <v>0</v>
      </c>
      <c r="K1182">
        <v>0</v>
      </c>
      <c r="L1182">
        <v>0</v>
      </c>
      <c r="M1182">
        <v>1</v>
      </c>
      <c r="N1182">
        <v>6.4</v>
      </c>
      <c r="O1182">
        <v>2.8</v>
      </c>
      <c r="P1182">
        <v>5</v>
      </c>
      <c r="Q1182" t="s">
        <v>39</v>
      </c>
    </row>
    <row r="1183" spans="1:17" x14ac:dyDescent="0.3">
      <c r="A1183" t="s">
        <v>1802</v>
      </c>
      <c r="B1183" s="2">
        <v>46034</v>
      </c>
      <c r="C1183" t="s">
        <v>18</v>
      </c>
      <c r="D1183" t="s">
        <v>47</v>
      </c>
      <c r="E1183" t="s">
        <v>20</v>
      </c>
      <c r="F1183" t="s">
        <v>1747</v>
      </c>
      <c r="G1183" t="s">
        <v>50</v>
      </c>
      <c r="H1183" t="s">
        <v>23</v>
      </c>
      <c r="I1183" t="s">
        <v>79</v>
      </c>
      <c r="J1183">
        <v>1</v>
      </c>
      <c r="K1183">
        <v>29300</v>
      </c>
      <c r="L1183">
        <v>0</v>
      </c>
      <c r="N1183">
        <v>3.3</v>
      </c>
      <c r="Q1183" t="s">
        <v>79</v>
      </c>
    </row>
    <row r="1184" spans="1:17" x14ac:dyDescent="0.3">
      <c r="A1184" t="s">
        <v>1803</v>
      </c>
      <c r="B1184" s="2">
        <v>46068</v>
      </c>
      <c r="C1184" t="s">
        <v>26</v>
      </c>
      <c r="D1184" t="s">
        <v>126</v>
      </c>
      <c r="E1184" t="s">
        <v>48</v>
      </c>
      <c r="F1184" t="s">
        <v>449</v>
      </c>
      <c r="G1184" t="s">
        <v>44</v>
      </c>
      <c r="J1184">
        <v>0</v>
      </c>
      <c r="K1184">
        <v>0</v>
      </c>
      <c r="L1184">
        <v>0</v>
      </c>
      <c r="M1184">
        <v>1</v>
      </c>
      <c r="N1184">
        <v>10.9</v>
      </c>
      <c r="O1184">
        <v>7.6</v>
      </c>
      <c r="P1184">
        <v>5</v>
      </c>
      <c r="Q1184" t="s">
        <v>62</v>
      </c>
    </row>
    <row r="1185" spans="1:17" x14ac:dyDescent="0.3">
      <c r="A1185" t="s">
        <v>1804</v>
      </c>
      <c r="B1185" s="2">
        <v>46048</v>
      </c>
      <c r="C1185" t="s">
        <v>26</v>
      </c>
      <c r="D1185" t="s">
        <v>33</v>
      </c>
      <c r="E1185" t="s">
        <v>20</v>
      </c>
      <c r="F1185" t="s">
        <v>463</v>
      </c>
      <c r="G1185" t="s">
        <v>22</v>
      </c>
      <c r="J1185">
        <v>0</v>
      </c>
      <c r="K1185">
        <v>0</v>
      </c>
      <c r="L1185">
        <v>0</v>
      </c>
      <c r="M1185">
        <v>1</v>
      </c>
      <c r="N1185">
        <v>3</v>
      </c>
      <c r="O1185">
        <v>4.7</v>
      </c>
      <c r="P1185">
        <v>4</v>
      </c>
      <c r="Q1185" t="s">
        <v>39</v>
      </c>
    </row>
    <row r="1186" spans="1:17" x14ac:dyDescent="0.3">
      <c r="A1186" t="s">
        <v>1805</v>
      </c>
      <c r="B1186" s="2">
        <v>46069</v>
      </c>
      <c r="C1186" t="s">
        <v>18</v>
      </c>
      <c r="D1186" t="s">
        <v>19</v>
      </c>
      <c r="E1186" t="s">
        <v>20</v>
      </c>
      <c r="F1186" t="s">
        <v>222</v>
      </c>
      <c r="G1186" t="s">
        <v>22</v>
      </c>
      <c r="H1186" t="s">
        <v>86</v>
      </c>
      <c r="I1186" t="s">
        <v>89</v>
      </c>
      <c r="J1186">
        <v>1</v>
      </c>
      <c r="K1186">
        <v>16000</v>
      </c>
      <c r="L1186">
        <v>0</v>
      </c>
      <c r="N1186">
        <v>7.5</v>
      </c>
      <c r="Q1186" t="s">
        <v>89</v>
      </c>
    </row>
    <row r="1187" spans="1:17" x14ac:dyDescent="0.3">
      <c r="A1187" t="s">
        <v>1806</v>
      </c>
      <c r="B1187" s="2">
        <v>46006</v>
      </c>
      <c r="C1187" t="s">
        <v>26</v>
      </c>
      <c r="D1187" t="s">
        <v>72</v>
      </c>
      <c r="E1187" t="s">
        <v>20</v>
      </c>
      <c r="F1187" t="s">
        <v>773</v>
      </c>
      <c r="G1187" t="s">
        <v>30</v>
      </c>
      <c r="J1187">
        <v>0</v>
      </c>
      <c r="K1187">
        <v>0</v>
      </c>
      <c r="L1187">
        <v>0</v>
      </c>
      <c r="M1187">
        <v>1</v>
      </c>
      <c r="N1187">
        <v>0.9</v>
      </c>
      <c r="O1187">
        <v>11.9</v>
      </c>
      <c r="P1187">
        <v>3.6</v>
      </c>
      <c r="Q1187" t="s">
        <v>39</v>
      </c>
    </row>
    <row r="1188" spans="1:17" x14ac:dyDescent="0.3">
      <c r="A1188" t="s">
        <v>1807</v>
      </c>
      <c r="B1188" s="2">
        <v>45904</v>
      </c>
      <c r="C1188" t="s">
        <v>26</v>
      </c>
      <c r="D1188" t="s">
        <v>232</v>
      </c>
      <c r="E1188" t="s">
        <v>48</v>
      </c>
      <c r="F1188" t="s">
        <v>1373</v>
      </c>
      <c r="G1188" t="s">
        <v>44</v>
      </c>
      <c r="J1188">
        <v>0</v>
      </c>
      <c r="K1188">
        <v>0</v>
      </c>
      <c r="L1188">
        <v>0</v>
      </c>
      <c r="M1188">
        <v>1</v>
      </c>
      <c r="N1188">
        <v>8</v>
      </c>
      <c r="O1188">
        <v>7.7</v>
      </c>
      <c r="P1188">
        <v>3.4</v>
      </c>
      <c r="Q1188" t="s">
        <v>39</v>
      </c>
    </row>
    <row r="1189" spans="1:17" x14ac:dyDescent="0.3">
      <c r="A1189" t="s">
        <v>1808</v>
      </c>
      <c r="B1189" s="2">
        <v>46175</v>
      </c>
      <c r="C1189" t="s">
        <v>18</v>
      </c>
      <c r="D1189" t="s">
        <v>19</v>
      </c>
      <c r="E1189" t="s">
        <v>28</v>
      </c>
      <c r="F1189" t="s">
        <v>542</v>
      </c>
      <c r="G1189" t="s">
        <v>50</v>
      </c>
      <c r="H1189" t="s">
        <v>78</v>
      </c>
      <c r="I1189" t="s">
        <v>24</v>
      </c>
      <c r="J1189">
        <v>1</v>
      </c>
      <c r="K1189">
        <v>27000</v>
      </c>
      <c r="L1189">
        <v>27000</v>
      </c>
      <c r="N1189">
        <v>3.6</v>
      </c>
      <c r="Q1189" t="s">
        <v>24</v>
      </c>
    </row>
    <row r="1190" spans="1:17" x14ac:dyDescent="0.3">
      <c r="A1190" t="s">
        <v>1809</v>
      </c>
      <c r="B1190" s="2">
        <v>46087</v>
      </c>
      <c r="C1190" t="s">
        <v>18</v>
      </c>
      <c r="D1190" t="s">
        <v>105</v>
      </c>
      <c r="E1190" t="s">
        <v>28</v>
      </c>
      <c r="F1190" t="s">
        <v>1810</v>
      </c>
      <c r="G1190" t="s">
        <v>44</v>
      </c>
      <c r="H1190" t="s">
        <v>23</v>
      </c>
      <c r="I1190" t="s">
        <v>24</v>
      </c>
      <c r="J1190">
        <v>1</v>
      </c>
      <c r="K1190">
        <v>43200</v>
      </c>
      <c r="L1190">
        <v>43200</v>
      </c>
      <c r="N1190">
        <v>5.9</v>
      </c>
      <c r="Q1190" t="s">
        <v>24</v>
      </c>
    </row>
    <row r="1191" spans="1:17" x14ac:dyDescent="0.3">
      <c r="A1191" t="s">
        <v>1811</v>
      </c>
      <c r="B1191" s="2">
        <v>45925</v>
      </c>
      <c r="C1191" t="s">
        <v>26</v>
      </c>
      <c r="D1191" t="s">
        <v>126</v>
      </c>
      <c r="E1191" t="s">
        <v>20</v>
      </c>
      <c r="F1191" t="s">
        <v>364</v>
      </c>
      <c r="G1191" t="s">
        <v>44</v>
      </c>
      <c r="J1191">
        <v>0</v>
      </c>
      <c r="K1191">
        <v>0</v>
      </c>
      <c r="L1191">
        <v>0</v>
      </c>
      <c r="M1191">
        <v>1</v>
      </c>
      <c r="N1191">
        <v>5.5</v>
      </c>
      <c r="O1191">
        <v>5.6</v>
      </c>
      <c r="P1191">
        <v>4.7</v>
      </c>
      <c r="Q1191" t="s">
        <v>62</v>
      </c>
    </row>
    <row r="1192" spans="1:17" x14ac:dyDescent="0.3">
      <c r="A1192" t="s">
        <v>1812</v>
      </c>
      <c r="B1192" s="2">
        <v>46174</v>
      </c>
      <c r="C1192" t="s">
        <v>18</v>
      </c>
      <c r="D1192" t="s">
        <v>47</v>
      </c>
      <c r="E1192" t="s">
        <v>37</v>
      </c>
      <c r="F1192" t="s">
        <v>34</v>
      </c>
      <c r="G1192" t="s">
        <v>30</v>
      </c>
      <c r="H1192" t="s">
        <v>54</v>
      </c>
      <c r="I1192" t="s">
        <v>45</v>
      </c>
      <c r="J1192">
        <v>1</v>
      </c>
      <c r="K1192">
        <v>23800</v>
      </c>
      <c r="L1192">
        <v>0</v>
      </c>
      <c r="N1192">
        <v>17.100000000000001</v>
      </c>
      <c r="Q1192" t="s">
        <v>45</v>
      </c>
    </row>
    <row r="1193" spans="1:17" x14ac:dyDescent="0.3">
      <c r="A1193" t="s">
        <v>1813</v>
      </c>
      <c r="B1193" s="2">
        <v>46102</v>
      </c>
      <c r="C1193" t="s">
        <v>26</v>
      </c>
      <c r="D1193" t="s">
        <v>69</v>
      </c>
      <c r="E1193" t="s">
        <v>48</v>
      </c>
      <c r="F1193" t="s">
        <v>1814</v>
      </c>
      <c r="G1193" t="s">
        <v>22</v>
      </c>
      <c r="J1193">
        <v>0</v>
      </c>
      <c r="K1193">
        <v>0</v>
      </c>
      <c r="L1193">
        <v>0</v>
      </c>
      <c r="M1193">
        <v>1</v>
      </c>
      <c r="N1193">
        <v>10.3</v>
      </c>
      <c r="O1193">
        <v>3.3</v>
      </c>
      <c r="P1193">
        <v>5</v>
      </c>
      <c r="Q1193" t="s">
        <v>62</v>
      </c>
    </row>
    <row r="1194" spans="1:17" x14ac:dyDescent="0.3">
      <c r="A1194" t="s">
        <v>1815</v>
      </c>
      <c r="B1194" s="2">
        <v>46017</v>
      </c>
      <c r="C1194" t="s">
        <v>18</v>
      </c>
      <c r="D1194" t="s">
        <v>117</v>
      </c>
      <c r="E1194" t="s">
        <v>20</v>
      </c>
      <c r="F1194" t="s">
        <v>862</v>
      </c>
      <c r="G1194" t="s">
        <v>22</v>
      </c>
      <c r="H1194" t="s">
        <v>23</v>
      </c>
      <c r="I1194" t="s">
        <v>24</v>
      </c>
      <c r="J1194">
        <v>1</v>
      </c>
      <c r="K1194">
        <v>11300</v>
      </c>
      <c r="L1194">
        <v>11300</v>
      </c>
      <c r="N1194">
        <v>20.399999999999999</v>
      </c>
      <c r="Q1194" t="s">
        <v>24</v>
      </c>
    </row>
    <row r="1195" spans="1:17" x14ac:dyDescent="0.3">
      <c r="A1195" t="s">
        <v>1816</v>
      </c>
      <c r="B1195" s="2">
        <v>46146</v>
      </c>
      <c r="C1195" t="s">
        <v>26</v>
      </c>
      <c r="D1195" t="s">
        <v>36</v>
      </c>
      <c r="E1195" t="s">
        <v>37</v>
      </c>
      <c r="F1195" t="s">
        <v>417</v>
      </c>
      <c r="G1195" t="s">
        <v>30</v>
      </c>
      <c r="J1195">
        <v>0</v>
      </c>
      <c r="K1195">
        <v>0</v>
      </c>
      <c r="L1195">
        <v>0</v>
      </c>
      <c r="M1195">
        <v>1</v>
      </c>
      <c r="N1195">
        <v>11</v>
      </c>
      <c r="O1195">
        <v>5</v>
      </c>
      <c r="P1195">
        <v>3.4</v>
      </c>
      <c r="Q1195" t="s">
        <v>62</v>
      </c>
    </row>
    <row r="1196" spans="1:17" x14ac:dyDescent="0.3">
      <c r="A1196" t="s">
        <v>1817</v>
      </c>
      <c r="B1196" s="2">
        <v>45988</v>
      </c>
      <c r="C1196" t="s">
        <v>18</v>
      </c>
      <c r="D1196" t="s">
        <v>47</v>
      </c>
      <c r="E1196" t="s">
        <v>48</v>
      </c>
      <c r="F1196" t="s">
        <v>1818</v>
      </c>
      <c r="G1196" t="s">
        <v>30</v>
      </c>
      <c r="H1196" t="s">
        <v>54</v>
      </c>
      <c r="I1196" t="s">
        <v>89</v>
      </c>
      <c r="J1196">
        <v>1</v>
      </c>
      <c r="K1196">
        <v>39600</v>
      </c>
      <c r="L1196">
        <v>0</v>
      </c>
      <c r="N1196">
        <v>9.3000000000000007</v>
      </c>
      <c r="Q1196" t="s">
        <v>89</v>
      </c>
    </row>
    <row r="1197" spans="1:17" x14ac:dyDescent="0.3">
      <c r="A1197" t="s">
        <v>1819</v>
      </c>
      <c r="B1197" s="2">
        <v>46079</v>
      </c>
      <c r="C1197" t="s">
        <v>26</v>
      </c>
      <c r="D1197" t="s">
        <v>114</v>
      </c>
      <c r="E1197" t="s">
        <v>20</v>
      </c>
      <c r="F1197" t="s">
        <v>889</v>
      </c>
      <c r="G1197" t="s">
        <v>50</v>
      </c>
      <c r="J1197">
        <v>0</v>
      </c>
      <c r="K1197">
        <v>0</v>
      </c>
      <c r="L1197">
        <v>0</v>
      </c>
      <c r="M1197">
        <v>1</v>
      </c>
      <c r="N1197">
        <v>5.7</v>
      </c>
      <c r="O1197">
        <v>4.7</v>
      </c>
      <c r="P1197">
        <v>4.4000000000000004</v>
      </c>
      <c r="Q1197" t="s">
        <v>39</v>
      </c>
    </row>
    <row r="1198" spans="1:17" x14ac:dyDescent="0.3">
      <c r="A1198" t="s">
        <v>1820</v>
      </c>
      <c r="B1198" s="2">
        <v>46176</v>
      </c>
      <c r="C1198" t="s">
        <v>26</v>
      </c>
      <c r="D1198" t="s">
        <v>36</v>
      </c>
      <c r="E1198" t="s">
        <v>48</v>
      </c>
      <c r="F1198" t="s">
        <v>1055</v>
      </c>
      <c r="G1198" t="s">
        <v>30</v>
      </c>
      <c r="J1198">
        <v>0</v>
      </c>
      <c r="K1198">
        <v>0</v>
      </c>
      <c r="L1198">
        <v>0</v>
      </c>
      <c r="M1198">
        <v>1</v>
      </c>
      <c r="N1198">
        <v>11.6</v>
      </c>
      <c r="O1198">
        <v>4.9000000000000004</v>
      </c>
      <c r="P1198">
        <v>3.8</v>
      </c>
      <c r="Q1198" t="s">
        <v>39</v>
      </c>
    </row>
    <row r="1199" spans="1:17" x14ac:dyDescent="0.3">
      <c r="A1199" t="s">
        <v>1821</v>
      </c>
      <c r="B1199" s="2">
        <v>46131</v>
      </c>
      <c r="C1199" t="s">
        <v>26</v>
      </c>
      <c r="D1199" t="s">
        <v>72</v>
      </c>
      <c r="E1199" t="s">
        <v>20</v>
      </c>
      <c r="F1199" t="s">
        <v>378</v>
      </c>
      <c r="G1199" t="s">
        <v>50</v>
      </c>
      <c r="J1199">
        <v>0</v>
      </c>
      <c r="K1199">
        <v>0</v>
      </c>
      <c r="L1199">
        <v>0</v>
      </c>
      <c r="M1199">
        <v>1</v>
      </c>
      <c r="N1199">
        <v>0.5</v>
      </c>
      <c r="O1199">
        <v>5.8</v>
      </c>
      <c r="P1199">
        <v>5</v>
      </c>
      <c r="Q1199" t="s">
        <v>31</v>
      </c>
    </row>
    <row r="1200" spans="1:17" x14ac:dyDescent="0.3">
      <c r="A1200" t="s">
        <v>1822</v>
      </c>
      <c r="B1200" s="2">
        <v>46056</v>
      </c>
      <c r="C1200" t="s">
        <v>26</v>
      </c>
      <c r="D1200" t="s">
        <v>232</v>
      </c>
      <c r="E1200" t="s">
        <v>37</v>
      </c>
      <c r="F1200" t="s">
        <v>407</v>
      </c>
      <c r="G1200" t="s">
        <v>30</v>
      </c>
      <c r="J1200">
        <v>0</v>
      </c>
      <c r="K1200">
        <v>0</v>
      </c>
      <c r="L1200">
        <v>0</v>
      </c>
      <c r="M1200">
        <v>1</v>
      </c>
      <c r="N1200">
        <v>11.1</v>
      </c>
      <c r="O1200">
        <v>14.6</v>
      </c>
      <c r="P1200">
        <v>4.7</v>
      </c>
      <c r="Q1200" t="s">
        <v>39</v>
      </c>
    </row>
    <row r="1201" spans="1:17" x14ac:dyDescent="0.3">
      <c r="A1201" t="s">
        <v>1823</v>
      </c>
      <c r="B1201" s="2">
        <v>45977</v>
      </c>
      <c r="C1201" t="s">
        <v>18</v>
      </c>
      <c r="D1201" t="s">
        <v>19</v>
      </c>
      <c r="E1201" t="s">
        <v>42</v>
      </c>
      <c r="F1201" t="s">
        <v>120</v>
      </c>
      <c r="G1201" t="s">
        <v>44</v>
      </c>
      <c r="H1201" t="s">
        <v>86</v>
      </c>
      <c r="I1201" t="s">
        <v>89</v>
      </c>
      <c r="J1201">
        <v>1</v>
      </c>
      <c r="K1201">
        <v>18900</v>
      </c>
      <c r="L1201">
        <v>0</v>
      </c>
      <c r="N1201">
        <v>15.2</v>
      </c>
      <c r="Q1201" t="s">
        <v>89</v>
      </c>
    </row>
    <row r="1202" spans="1:17" x14ac:dyDescent="0.3">
      <c r="A1202" t="s">
        <v>1824</v>
      </c>
      <c r="B1202" s="2">
        <v>46156</v>
      </c>
      <c r="C1202" t="s">
        <v>26</v>
      </c>
      <c r="D1202" t="s">
        <v>232</v>
      </c>
      <c r="E1202" t="s">
        <v>20</v>
      </c>
      <c r="F1202" t="s">
        <v>212</v>
      </c>
      <c r="G1202" t="s">
        <v>50</v>
      </c>
      <c r="J1202">
        <v>0</v>
      </c>
      <c r="K1202">
        <v>0</v>
      </c>
      <c r="L1202">
        <v>0</v>
      </c>
      <c r="M1202">
        <v>1</v>
      </c>
      <c r="N1202">
        <v>4</v>
      </c>
      <c r="O1202">
        <v>16</v>
      </c>
      <c r="P1202">
        <v>4.9000000000000004</v>
      </c>
      <c r="Q1202" t="s">
        <v>31</v>
      </c>
    </row>
    <row r="1203" spans="1:17" x14ac:dyDescent="0.3">
      <c r="A1203" t="s">
        <v>1825</v>
      </c>
      <c r="B1203" s="2">
        <v>46103</v>
      </c>
      <c r="C1203" t="s">
        <v>18</v>
      </c>
      <c r="D1203" t="s">
        <v>95</v>
      </c>
      <c r="E1203" t="s">
        <v>48</v>
      </c>
      <c r="F1203" t="s">
        <v>461</v>
      </c>
      <c r="G1203" t="s">
        <v>30</v>
      </c>
      <c r="H1203" t="s">
        <v>23</v>
      </c>
      <c r="I1203" t="s">
        <v>24</v>
      </c>
      <c r="J1203">
        <v>1</v>
      </c>
      <c r="K1203">
        <v>45000</v>
      </c>
      <c r="L1203">
        <v>45000</v>
      </c>
      <c r="N1203">
        <v>18.2</v>
      </c>
      <c r="Q1203" t="s">
        <v>24</v>
      </c>
    </row>
    <row r="1204" spans="1:17" x14ac:dyDescent="0.3">
      <c r="A1204" t="s">
        <v>1826</v>
      </c>
      <c r="B1204" s="2">
        <v>46115</v>
      </c>
      <c r="C1204" t="s">
        <v>18</v>
      </c>
      <c r="D1204" t="s">
        <v>47</v>
      </c>
      <c r="E1204" t="s">
        <v>20</v>
      </c>
      <c r="F1204" t="s">
        <v>1827</v>
      </c>
      <c r="G1204" t="s">
        <v>44</v>
      </c>
      <c r="H1204" t="s">
        <v>78</v>
      </c>
      <c r="I1204" t="s">
        <v>45</v>
      </c>
      <c r="J1204">
        <v>1</v>
      </c>
      <c r="K1204">
        <v>13100</v>
      </c>
      <c r="L1204">
        <v>0</v>
      </c>
      <c r="N1204">
        <v>17.600000000000001</v>
      </c>
      <c r="Q1204" t="s">
        <v>45</v>
      </c>
    </row>
    <row r="1205" spans="1:17" x14ac:dyDescent="0.3">
      <c r="A1205" t="s">
        <v>1828</v>
      </c>
      <c r="B1205" s="2">
        <v>45943</v>
      </c>
      <c r="C1205" t="s">
        <v>18</v>
      </c>
      <c r="D1205" t="s">
        <v>64</v>
      </c>
      <c r="E1205" t="s">
        <v>20</v>
      </c>
      <c r="F1205" t="s">
        <v>268</v>
      </c>
      <c r="G1205" t="s">
        <v>22</v>
      </c>
      <c r="H1205" t="s">
        <v>86</v>
      </c>
      <c r="I1205" t="s">
        <v>89</v>
      </c>
      <c r="J1205">
        <v>1</v>
      </c>
      <c r="K1205">
        <v>53200</v>
      </c>
      <c r="L1205">
        <v>0</v>
      </c>
      <c r="N1205">
        <v>18.3</v>
      </c>
      <c r="Q1205" t="s">
        <v>89</v>
      </c>
    </row>
    <row r="1206" spans="1:17" x14ac:dyDescent="0.3">
      <c r="A1206" t="s">
        <v>1829</v>
      </c>
      <c r="B1206" s="2">
        <v>46202</v>
      </c>
      <c r="C1206" t="s">
        <v>18</v>
      </c>
      <c r="D1206" t="s">
        <v>41</v>
      </c>
      <c r="E1206" t="s">
        <v>48</v>
      </c>
      <c r="F1206" t="s">
        <v>740</v>
      </c>
      <c r="G1206" t="s">
        <v>22</v>
      </c>
      <c r="H1206" t="s">
        <v>23</v>
      </c>
      <c r="I1206" t="s">
        <v>67</v>
      </c>
      <c r="J1206">
        <v>1</v>
      </c>
      <c r="K1206">
        <v>8100</v>
      </c>
      <c r="L1206">
        <v>0</v>
      </c>
      <c r="N1206">
        <v>5.5</v>
      </c>
      <c r="Q1206" t="s">
        <v>67</v>
      </c>
    </row>
    <row r="1207" spans="1:17" x14ac:dyDescent="0.3">
      <c r="A1207" t="s">
        <v>1830</v>
      </c>
      <c r="B1207" s="2">
        <v>45973</v>
      </c>
      <c r="C1207" t="s">
        <v>26</v>
      </c>
      <c r="D1207" t="s">
        <v>232</v>
      </c>
      <c r="E1207" t="s">
        <v>20</v>
      </c>
      <c r="F1207" t="s">
        <v>1380</v>
      </c>
      <c r="G1207" t="s">
        <v>44</v>
      </c>
      <c r="J1207">
        <v>0</v>
      </c>
      <c r="K1207">
        <v>0</v>
      </c>
      <c r="L1207">
        <v>0</v>
      </c>
      <c r="M1207">
        <v>1</v>
      </c>
      <c r="N1207">
        <v>4.9000000000000004</v>
      </c>
      <c r="O1207">
        <v>13.3</v>
      </c>
      <c r="P1207">
        <v>5</v>
      </c>
      <c r="Q1207" t="s">
        <v>31</v>
      </c>
    </row>
    <row r="1208" spans="1:17" x14ac:dyDescent="0.3">
      <c r="A1208" t="s">
        <v>1831</v>
      </c>
      <c r="B1208" s="2">
        <v>46201</v>
      </c>
      <c r="C1208" t="s">
        <v>26</v>
      </c>
      <c r="D1208" t="s">
        <v>72</v>
      </c>
      <c r="E1208" t="s">
        <v>20</v>
      </c>
      <c r="F1208" t="s">
        <v>1655</v>
      </c>
      <c r="G1208" t="s">
        <v>50</v>
      </c>
      <c r="J1208">
        <v>0</v>
      </c>
      <c r="K1208">
        <v>0</v>
      </c>
      <c r="L1208">
        <v>0</v>
      </c>
      <c r="M1208">
        <v>1</v>
      </c>
      <c r="N1208">
        <v>4.9000000000000004</v>
      </c>
      <c r="O1208">
        <v>8.6999999999999993</v>
      </c>
      <c r="P1208">
        <v>3.9</v>
      </c>
      <c r="Q1208" t="s">
        <v>62</v>
      </c>
    </row>
    <row r="1209" spans="1:17" x14ac:dyDescent="0.3">
      <c r="A1209" t="s">
        <v>1832</v>
      </c>
      <c r="B1209" s="2">
        <v>46229</v>
      </c>
      <c r="C1209" t="s">
        <v>18</v>
      </c>
      <c r="D1209" t="s">
        <v>52</v>
      </c>
      <c r="E1209" t="s">
        <v>37</v>
      </c>
      <c r="F1209" t="s">
        <v>596</v>
      </c>
      <c r="G1209" t="s">
        <v>30</v>
      </c>
      <c r="H1209" t="s">
        <v>54</v>
      </c>
      <c r="I1209" t="s">
        <v>45</v>
      </c>
      <c r="J1209">
        <v>1</v>
      </c>
      <c r="K1209">
        <v>33600</v>
      </c>
      <c r="L1209">
        <v>0</v>
      </c>
      <c r="N1209">
        <v>1.8</v>
      </c>
      <c r="Q1209" t="s">
        <v>45</v>
      </c>
    </row>
    <row r="1210" spans="1:17" x14ac:dyDescent="0.3">
      <c r="A1210" t="s">
        <v>1833</v>
      </c>
      <c r="B1210" s="2">
        <v>46061</v>
      </c>
      <c r="C1210" t="s">
        <v>18</v>
      </c>
      <c r="D1210" t="s">
        <v>117</v>
      </c>
      <c r="E1210" t="s">
        <v>48</v>
      </c>
      <c r="F1210" t="s">
        <v>386</v>
      </c>
      <c r="G1210" t="s">
        <v>22</v>
      </c>
      <c r="H1210" t="s">
        <v>78</v>
      </c>
      <c r="I1210" t="s">
        <v>89</v>
      </c>
      <c r="J1210">
        <v>1</v>
      </c>
      <c r="K1210">
        <v>14600</v>
      </c>
      <c r="L1210">
        <v>0</v>
      </c>
      <c r="N1210">
        <v>3.7</v>
      </c>
      <c r="Q1210" t="s">
        <v>89</v>
      </c>
    </row>
    <row r="1211" spans="1:17" x14ac:dyDescent="0.3">
      <c r="A1211" t="s">
        <v>1834</v>
      </c>
      <c r="B1211" s="2">
        <v>45935</v>
      </c>
      <c r="C1211" t="s">
        <v>26</v>
      </c>
      <c r="D1211" t="s">
        <v>114</v>
      </c>
      <c r="E1211" t="s">
        <v>48</v>
      </c>
      <c r="F1211" t="s">
        <v>1835</v>
      </c>
      <c r="G1211" t="s">
        <v>22</v>
      </c>
      <c r="J1211">
        <v>0</v>
      </c>
      <c r="K1211">
        <v>0</v>
      </c>
      <c r="L1211">
        <v>0</v>
      </c>
      <c r="M1211">
        <v>1</v>
      </c>
      <c r="N1211">
        <v>10.8</v>
      </c>
      <c r="O1211">
        <v>5.6</v>
      </c>
      <c r="P1211">
        <v>4</v>
      </c>
      <c r="Q1211" t="s">
        <v>39</v>
      </c>
    </row>
    <row r="1212" spans="1:17" x14ac:dyDescent="0.3">
      <c r="A1212" t="s">
        <v>1836</v>
      </c>
      <c r="B1212" s="2">
        <v>46157</v>
      </c>
      <c r="C1212" t="s">
        <v>18</v>
      </c>
      <c r="D1212" t="s">
        <v>95</v>
      </c>
      <c r="E1212" t="s">
        <v>20</v>
      </c>
      <c r="F1212" t="s">
        <v>493</v>
      </c>
      <c r="G1212" t="s">
        <v>44</v>
      </c>
      <c r="H1212" t="s">
        <v>23</v>
      </c>
      <c r="I1212" t="s">
        <v>45</v>
      </c>
      <c r="J1212">
        <v>1</v>
      </c>
      <c r="K1212">
        <v>34400</v>
      </c>
      <c r="L1212">
        <v>0</v>
      </c>
      <c r="N1212">
        <v>6.1</v>
      </c>
      <c r="Q1212" t="s">
        <v>45</v>
      </c>
    </row>
    <row r="1213" spans="1:17" x14ac:dyDescent="0.3">
      <c r="A1213" t="s">
        <v>1837</v>
      </c>
      <c r="B1213" s="2">
        <v>46230</v>
      </c>
      <c r="C1213" t="s">
        <v>18</v>
      </c>
      <c r="D1213" t="s">
        <v>52</v>
      </c>
      <c r="E1213" t="s">
        <v>20</v>
      </c>
      <c r="F1213" t="s">
        <v>1115</v>
      </c>
      <c r="G1213" t="s">
        <v>44</v>
      </c>
      <c r="H1213" t="s">
        <v>86</v>
      </c>
      <c r="I1213" t="s">
        <v>45</v>
      </c>
      <c r="J1213">
        <v>1</v>
      </c>
      <c r="K1213">
        <v>27800</v>
      </c>
      <c r="L1213">
        <v>0</v>
      </c>
      <c r="N1213">
        <v>11.2</v>
      </c>
      <c r="Q1213" t="s">
        <v>45</v>
      </c>
    </row>
    <row r="1214" spans="1:17" x14ac:dyDescent="0.3">
      <c r="A1214" t="s">
        <v>1838</v>
      </c>
      <c r="B1214" s="2">
        <v>46090</v>
      </c>
      <c r="C1214" t="s">
        <v>18</v>
      </c>
      <c r="D1214" t="s">
        <v>47</v>
      </c>
      <c r="E1214" t="s">
        <v>20</v>
      </c>
      <c r="F1214" t="s">
        <v>264</v>
      </c>
      <c r="G1214" t="s">
        <v>22</v>
      </c>
      <c r="H1214" t="s">
        <v>78</v>
      </c>
      <c r="I1214" t="s">
        <v>67</v>
      </c>
      <c r="J1214">
        <v>1</v>
      </c>
      <c r="K1214">
        <v>7900</v>
      </c>
      <c r="L1214">
        <v>0</v>
      </c>
      <c r="N1214">
        <v>19.2</v>
      </c>
      <c r="Q1214" t="s">
        <v>67</v>
      </c>
    </row>
    <row r="1215" spans="1:17" x14ac:dyDescent="0.3">
      <c r="A1215" t="s">
        <v>1839</v>
      </c>
      <c r="B1215" s="2">
        <v>45922</v>
      </c>
      <c r="C1215" t="s">
        <v>26</v>
      </c>
      <c r="D1215" t="s">
        <v>232</v>
      </c>
      <c r="E1215" t="s">
        <v>20</v>
      </c>
      <c r="F1215" t="s">
        <v>1020</v>
      </c>
      <c r="G1215" t="s">
        <v>22</v>
      </c>
      <c r="J1215">
        <v>0</v>
      </c>
      <c r="K1215">
        <v>0</v>
      </c>
      <c r="L1215">
        <v>0</v>
      </c>
      <c r="M1215">
        <v>1</v>
      </c>
      <c r="N1215">
        <v>1.5</v>
      </c>
      <c r="O1215">
        <v>16.3</v>
      </c>
      <c r="P1215">
        <v>4.4000000000000004</v>
      </c>
      <c r="Q1215" t="s">
        <v>62</v>
      </c>
    </row>
    <row r="1216" spans="1:17" x14ac:dyDescent="0.3">
      <c r="A1216" t="s">
        <v>1840</v>
      </c>
      <c r="B1216" s="2">
        <v>46221</v>
      </c>
      <c r="C1216" t="s">
        <v>26</v>
      </c>
      <c r="D1216" t="s">
        <v>232</v>
      </c>
      <c r="E1216" t="s">
        <v>48</v>
      </c>
      <c r="F1216" t="s">
        <v>1841</v>
      </c>
      <c r="G1216" t="s">
        <v>50</v>
      </c>
      <c r="J1216">
        <v>0</v>
      </c>
      <c r="K1216">
        <v>0</v>
      </c>
      <c r="L1216">
        <v>0</v>
      </c>
      <c r="M1216">
        <v>1</v>
      </c>
      <c r="N1216">
        <v>8.1</v>
      </c>
      <c r="O1216">
        <v>6.9</v>
      </c>
      <c r="P1216">
        <v>3.6</v>
      </c>
      <c r="Q1216" t="s">
        <v>62</v>
      </c>
    </row>
    <row r="1217" spans="1:17" x14ac:dyDescent="0.3">
      <c r="A1217" t="s">
        <v>1842</v>
      </c>
      <c r="B1217" s="2">
        <v>46150</v>
      </c>
      <c r="C1217" t="s">
        <v>18</v>
      </c>
      <c r="D1217" t="s">
        <v>41</v>
      </c>
      <c r="E1217" t="s">
        <v>42</v>
      </c>
      <c r="F1217" t="s">
        <v>1081</v>
      </c>
      <c r="G1217" t="s">
        <v>44</v>
      </c>
      <c r="H1217" t="s">
        <v>86</v>
      </c>
      <c r="I1217" t="s">
        <v>45</v>
      </c>
      <c r="J1217">
        <v>1</v>
      </c>
      <c r="K1217">
        <v>8300</v>
      </c>
      <c r="L1217">
        <v>0</v>
      </c>
      <c r="N1217">
        <v>22.2</v>
      </c>
      <c r="Q1217" t="s">
        <v>45</v>
      </c>
    </row>
    <row r="1218" spans="1:17" x14ac:dyDescent="0.3">
      <c r="A1218" t="s">
        <v>1843</v>
      </c>
      <c r="B1218" s="2">
        <v>46011</v>
      </c>
      <c r="C1218" t="s">
        <v>18</v>
      </c>
      <c r="D1218" t="s">
        <v>47</v>
      </c>
      <c r="E1218" t="s">
        <v>37</v>
      </c>
      <c r="F1218" t="s">
        <v>288</v>
      </c>
      <c r="G1218" t="s">
        <v>22</v>
      </c>
      <c r="H1218" t="s">
        <v>23</v>
      </c>
      <c r="I1218" t="s">
        <v>55</v>
      </c>
      <c r="J1218">
        <v>1</v>
      </c>
      <c r="K1218">
        <v>9800</v>
      </c>
      <c r="L1218">
        <v>0</v>
      </c>
      <c r="N1218">
        <v>9.4</v>
      </c>
      <c r="Q1218" t="s">
        <v>55</v>
      </c>
    </row>
    <row r="1219" spans="1:17" x14ac:dyDescent="0.3">
      <c r="A1219" t="s">
        <v>1844</v>
      </c>
      <c r="B1219" s="2">
        <v>46189</v>
      </c>
      <c r="C1219" t="s">
        <v>26</v>
      </c>
      <c r="D1219" t="s">
        <v>27</v>
      </c>
      <c r="E1219" t="s">
        <v>42</v>
      </c>
      <c r="F1219" t="s">
        <v>1845</v>
      </c>
      <c r="G1219" t="s">
        <v>44</v>
      </c>
      <c r="J1219">
        <v>0</v>
      </c>
      <c r="K1219">
        <v>0</v>
      </c>
      <c r="L1219">
        <v>0</v>
      </c>
      <c r="M1219">
        <v>1</v>
      </c>
      <c r="N1219">
        <v>7.4</v>
      </c>
      <c r="O1219">
        <v>2.4</v>
      </c>
      <c r="P1219">
        <v>3.8</v>
      </c>
      <c r="Q1219" t="s">
        <v>39</v>
      </c>
    </row>
    <row r="1220" spans="1:17" x14ac:dyDescent="0.3">
      <c r="A1220" t="s">
        <v>1846</v>
      </c>
      <c r="B1220" s="2">
        <v>46259</v>
      </c>
      <c r="C1220" t="s">
        <v>26</v>
      </c>
      <c r="D1220" t="s">
        <v>33</v>
      </c>
      <c r="E1220" t="s">
        <v>28</v>
      </c>
      <c r="F1220" t="s">
        <v>442</v>
      </c>
      <c r="G1220" t="s">
        <v>50</v>
      </c>
      <c r="J1220">
        <v>0</v>
      </c>
      <c r="K1220">
        <v>0</v>
      </c>
      <c r="L1220">
        <v>0</v>
      </c>
      <c r="M1220">
        <v>1</v>
      </c>
      <c r="N1220">
        <v>8</v>
      </c>
      <c r="O1220">
        <v>6.7</v>
      </c>
      <c r="P1220">
        <v>3.8</v>
      </c>
      <c r="Q1220" t="s">
        <v>62</v>
      </c>
    </row>
    <row r="1221" spans="1:17" x14ac:dyDescent="0.3">
      <c r="A1221" t="s">
        <v>1847</v>
      </c>
      <c r="B1221" s="2">
        <v>45955</v>
      </c>
      <c r="C1221" t="s">
        <v>18</v>
      </c>
      <c r="D1221" t="s">
        <v>95</v>
      </c>
      <c r="E1221" t="s">
        <v>28</v>
      </c>
      <c r="F1221" t="s">
        <v>1492</v>
      </c>
      <c r="G1221" t="s">
        <v>30</v>
      </c>
      <c r="H1221" t="s">
        <v>86</v>
      </c>
      <c r="I1221" t="s">
        <v>67</v>
      </c>
      <c r="J1221">
        <v>1</v>
      </c>
      <c r="K1221">
        <v>23100</v>
      </c>
      <c r="L1221">
        <v>0</v>
      </c>
      <c r="N1221">
        <v>10.8</v>
      </c>
      <c r="Q1221" t="s">
        <v>67</v>
      </c>
    </row>
    <row r="1222" spans="1:17" x14ac:dyDescent="0.3">
      <c r="A1222" t="s">
        <v>1848</v>
      </c>
      <c r="B1222" s="2">
        <v>45967</v>
      </c>
      <c r="C1222" t="s">
        <v>26</v>
      </c>
      <c r="D1222" t="s">
        <v>72</v>
      </c>
      <c r="E1222" t="s">
        <v>37</v>
      </c>
      <c r="F1222" t="s">
        <v>1849</v>
      </c>
      <c r="G1222" t="s">
        <v>30</v>
      </c>
      <c r="J1222">
        <v>0</v>
      </c>
      <c r="K1222">
        <v>0</v>
      </c>
      <c r="L1222">
        <v>0</v>
      </c>
      <c r="M1222">
        <v>1</v>
      </c>
      <c r="N1222">
        <v>6.2</v>
      </c>
      <c r="O1222">
        <v>3</v>
      </c>
      <c r="P1222">
        <v>5</v>
      </c>
      <c r="Q1222" t="s">
        <v>39</v>
      </c>
    </row>
    <row r="1223" spans="1:17" x14ac:dyDescent="0.3">
      <c r="A1223" t="s">
        <v>1850</v>
      </c>
      <c r="B1223" s="2">
        <v>46077</v>
      </c>
      <c r="C1223" t="s">
        <v>18</v>
      </c>
      <c r="D1223" t="s">
        <v>95</v>
      </c>
      <c r="E1223" t="s">
        <v>20</v>
      </c>
      <c r="F1223" t="s">
        <v>984</v>
      </c>
      <c r="G1223" t="s">
        <v>50</v>
      </c>
      <c r="H1223" t="s">
        <v>86</v>
      </c>
      <c r="I1223" t="s">
        <v>24</v>
      </c>
      <c r="J1223">
        <v>1</v>
      </c>
      <c r="K1223">
        <v>40400</v>
      </c>
      <c r="L1223">
        <v>40400</v>
      </c>
      <c r="N1223">
        <v>23.3</v>
      </c>
      <c r="Q1223" t="s">
        <v>24</v>
      </c>
    </row>
    <row r="1224" spans="1:17" x14ac:dyDescent="0.3">
      <c r="A1224" t="s">
        <v>1851</v>
      </c>
      <c r="B1224" s="2">
        <v>46068</v>
      </c>
      <c r="C1224" t="s">
        <v>18</v>
      </c>
      <c r="D1224" t="s">
        <v>117</v>
      </c>
      <c r="E1224" t="s">
        <v>28</v>
      </c>
      <c r="F1224" t="s">
        <v>1852</v>
      </c>
      <c r="G1224" t="s">
        <v>22</v>
      </c>
      <c r="H1224" t="s">
        <v>86</v>
      </c>
      <c r="I1224" t="s">
        <v>55</v>
      </c>
      <c r="J1224">
        <v>1</v>
      </c>
      <c r="K1224">
        <v>21400</v>
      </c>
      <c r="L1224">
        <v>0</v>
      </c>
      <c r="N1224">
        <v>21.6</v>
      </c>
      <c r="Q1224" t="s">
        <v>55</v>
      </c>
    </row>
    <row r="1225" spans="1:17" x14ac:dyDescent="0.3">
      <c r="A1225" t="s">
        <v>1853</v>
      </c>
      <c r="B1225" s="2">
        <v>45963</v>
      </c>
      <c r="C1225" t="s">
        <v>26</v>
      </c>
      <c r="D1225" t="s">
        <v>114</v>
      </c>
      <c r="E1225" t="s">
        <v>20</v>
      </c>
      <c r="F1225" t="s">
        <v>61</v>
      </c>
      <c r="G1225" t="s">
        <v>30</v>
      </c>
      <c r="J1225">
        <v>0</v>
      </c>
      <c r="K1225">
        <v>0</v>
      </c>
      <c r="L1225">
        <v>0</v>
      </c>
      <c r="M1225">
        <v>1</v>
      </c>
      <c r="N1225">
        <v>6.2</v>
      </c>
      <c r="O1225">
        <v>27.8</v>
      </c>
      <c r="P1225">
        <v>3.5</v>
      </c>
      <c r="Q1225" t="s">
        <v>39</v>
      </c>
    </row>
    <row r="1226" spans="1:17" x14ac:dyDescent="0.3">
      <c r="A1226" t="s">
        <v>1854</v>
      </c>
      <c r="B1226" s="2">
        <v>46075</v>
      </c>
      <c r="C1226" t="s">
        <v>18</v>
      </c>
      <c r="D1226" t="s">
        <v>19</v>
      </c>
      <c r="E1226" t="s">
        <v>37</v>
      </c>
      <c r="F1226" t="s">
        <v>832</v>
      </c>
      <c r="G1226" t="s">
        <v>22</v>
      </c>
      <c r="H1226" t="s">
        <v>23</v>
      </c>
      <c r="I1226" t="s">
        <v>89</v>
      </c>
      <c r="J1226">
        <v>1</v>
      </c>
      <c r="K1226">
        <v>67700</v>
      </c>
      <c r="L1226">
        <v>0</v>
      </c>
      <c r="N1226">
        <v>11.9</v>
      </c>
      <c r="Q1226" t="s">
        <v>89</v>
      </c>
    </row>
    <row r="1227" spans="1:17" x14ac:dyDescent="0.3">
      <c r="A1227" t="s">
        <v>1855</v>
      </c>
      <c r="B1227" s="2">
        <v>46216</v>
      </c>
      <c r="C1227" t="s">
        <v>26</v>
      </c>
      <c r="D1227" t="s">
        <v>126</v>
      </c>
      <c r="E1227" t="s">
        <v>20</v>
      </c>
      <c r="F1227" t="s">
        <v>1856</v>
      </c>
      <c r="G1227" t="s">
        <v>30</v>
      </c>
      <c r="J1227">
        <v>0</v>
      </c>
      <c r="K1227">
        <v>0</v>
      </c>
      <c r="L1227">
        <v>0</v>
      </c>
      <c r="M1227">
        <v>1</v>
      </c>
      <c r="N1227">
        <v>2.8</v>
      </c>
      <c r="O1227">
        <v>5.2</v>
      </c>
      <c r="P1227">
        <v>4</v>
      </c>
      <c r="Q1227" t="s">
        <v>39</v>
      </c>
    </row>
    <row r="1228" spans="1:17" x14ac:dyDescent="0.3">
      <c r="A1228" t="s">
        <v>1857</v>
      </c>
      <c r="B1228" s="2">
        <v>46039</v>
      </c>
      <c r="C1228" t="s">
        <v>18</v>
      </c>
      <c r="D1228" t="s">
        <v>19</v>
      </c>
      <c r="E1228" t="s">
        <v>42</v>
      </c>
      <c r="F1228" t="s">
        <v>1730</v>
      </c>
      <c r="G1228" t="s">
        <v>44</v>
      </c>
      <c r="H1228" t="s">
        <v>78</v>
      </c>
      <c r="I1228" t="s">
        <v>55</v>
      </c>
      <c r="J1228">
        <v>1</v>
      </c>
      <c r="K1228">
        <v>10700</v>
      </c>
      <c r="L1228">
        <v>0</v>
      </c>
      <c r="N1228">
        <v>22.5</v>
      </c>
      <c r="Q1228" t="s">
        <v>55</v>
      </c>
    </row>
    <row r="1229" spans="1:17" x14ac:dyDescent="0.3">
      <c r="A1229" t="s">
        <v>1858</v>
      </c>
      <c r="B1229" s="2">
        <v>45916</v>
      </c>
      <c r="C1229" t="s">
        <v>18</v>
      </c>
      <c r="D1229" t="s">
        <v>117</v>
      </c>
      <c r="E1229" t="s">
        <v>28</v>
      </c>
      <c r="F1229" t="s">
        <v>694</v>
      </c>
      <c r="G1229" t="s">
        <v>22</v>
      </c>
      <c r="H1229" t="s">
        <v>23</v>
      </c>
      <c r="I1229" t="s">
        <v>55</v>
      </c>
      <c r="J1229">
        <v>1</v>
      </c>
      <c r="K1229">
        <v>51200</v>
      </c>
      <c r="L1229">
        <v>0</v>
      </c>
      <c r="N1229">
        <v>18.7</v>
      </c>
      <c r="Q1229" t="s">
        <v>55</v>
      </c>
    </row>
    <row r="1230" spans="1:17" x14ac:dyDescent="0.3">
      <c r="A1230" t="s">
        <v>1859</v>
      </c>
      <c r="B1230" s="2">
        <v>46058</v>
      </c>
      <c r="C1230" t="s">
        <v>26</v>
      </c>
      <c r="D1230" t="s">
        <v>126</v>
      </c>
      <c r="E1230" t="s">
        <v>28</v>
      </c>
      <c r="F1230" t="s">
        <v>502</v>
      </c>
      <c r="G1230" t="s">
        <v>30</v>
      </c>
      <c r="J1230">
        <v>0</v>
      </c>
      <c r="K1230">
        <v>0</v>
      </c>
      <c r="L1230">
        <v>0</v>
      </c>
      <c r="M1230">
        <v>1</v>
      </c>
      <c r="N1230">
        <v>11.5</v>
      </c>
      <c r="O1230">
        <v>3.1</v>
      </c>
      <c r="P1230">
        <v>4.5999999999999996</v>
      </c>
      <c r="Q1230" t="s">
        <v>39</v>
      </c>
    </row>
    <row r="1231" spans="1:17" x14ac:dyDescent="0.3">
      <c r="A1231" t="s">
        <v>1860</v>
      </c>
      <c r="B1231" s="2">
        <v>45993</v>
      </c>
      <c r="C1231" t="s">
        <v>18</v>
      </c>
      <c r="D1231" t="s">
        <v>52</v>
      </c>
      <c r="E1231" t="s">
        <v>20</v>
      </c>
      <c r="F1231" t="s">
        <v>1861</v>
      </c>
      <c r="G1231" t="s">
        <v>30</v>
      </c>
      <c r="H1231" t="s">
        <v>78</v>
      </c>
      <c r="I1231" t="s">
        <v>55</v>
      </c>
      <c r="J1231">
        <v>1</v>
      </c>
      <c r="K1231">
        <v>36600</v>
      </c>
      <c r="L1231">
        <v>0</v>
      </c>
      <c r="N1231">
        <v>22.2</v>
      </c>
      <c r="Q1231" t="s">
        <v>55</v>
      </c>
    </row>
    <row r="1232" spans="1:17" x14ac:dyDescent="0.3">
      <c r="A1232" t="s">
        <v>1862</v>
      </c>
      <c r="B1232" s="2">
        <v>46118</v>
      </c>
      <c r="C1232" t="s">
        <v>26</v>
      </c>
      <c r="D1232" t="s">
        <v>27</v>
      </c>
      <c r="E1232" t="s">
        <v>28</v>
      </c>
      <c r="F1232" t="s">
        <v>1169</v>
      </c>
      <c r="G1232" t="s">
        <v>22</v>
      </c>
      <c r="J1232">
        <v>0</v>
      </c>
      <c r="K1232">
        <v>0</v>
      </c>
      <c r="L1232">
        <v>0</v>
      </c>
      <c r="M1232">
        <v>1</v>
      </c>
      <c r="N1232">
        <v>1</v>
      </c>
      <c r="O1232">
        <v>7.9</v>
      </c>
      <c r="P1232">
        <v>4.2</v>
      </c>
      <c r="Q1232" t="s">
        <v>62</v>
      </c>
    </row>
    <row r="1233" spans="1:17" x14ac:dyDescent="0.3">
      <c r="A1233" t="s">
        <v>1863</v>
      </c>
      <c r="B1233" s="2">
        <v>46115</v>
      </c>
      <c r="C1233" t="s">
        <v>18</v>
      </c>
      <c r="D1233" t="s">
        <v>64</v>
      </c>
      <c r="E1233" t="s">
        <v>37</v>
      </c>
      <c r="F1233" t="s">
        <v>1864</v>
      </c>
      <c r="G1233" t="s">
        <v>30</v>
      </c>
      <c r="H1233" t="s">
        <v>23</v>
      </c>
      <c r="I1233" t="s">
        <v>89</v>
      </c>
      <c r="J1233">
        <v>1</v>
      </c>
      <c r="K1233">
        <v>38900</v>
      </c>
      <c r="L1233">
        <v>0</v>
      </c>
      <c r="N1233">
        <v>7.4</v>
      </c>
      <c r="Q1233" t="s">
        <v>89</v>
      </c>
    </row>
    <row r="1234" spans="1:17" x14ac:dyDescent="0.3">
      <c r="A1234" t="s">
        <v>1865</v>
      </c>
      <c r="B1234" s="2">
        <v>46146</v>
      </c>
      <c r="C1234" t="s">
        <v>18</v>
      </c>
      <c r="D1234" t="s">
        <v>64</v>
      </c>
      <c r="E1234" t="s">
        <v>20</v>
      </c>
      <c r="F1234" t="s">
        <v>1205</v>
      </c>
      <c r="G1234" t="s">
        <v>30</v>
      </c>
      <c r="H1234" t="s">
        <v>78</v>
      </c>
      <c r="I1234" t="s">
        <v>79</v>
      </c>
      <c r="J1234">
        <v>1</v>
      </c>
      <c r="K1234">
        <v>39000</v>
      </c>
      <c r="L1234">
        <v>0</v>
      </c>
      <c r="N1234">
        <v>5.4</v>
      </c>
      <c r="Q1234" t="s">
        <v>79</v>
      </c>
    </row>
    <row r="1235" spans="1:17" x14ac:dyDescent="0.3">
      <c r="A1235" t="s">
        <v>1866</v>
      </c>
      <c r="B1235" s="2">
        <v>46118</v>
      </c>
      <c r="C1235" t="s">
        <v>18</v>
      </c>
      <c r="D1235" t="s">
        <v>52</v>
      </c>
      <c r="E1235" t="s">
        <v>37</v>
      </c>
      <c r="F1235" t="s">
        <v>1115</v>
      </c>
      <c r="G1235" t="s">
        <v>50</v>
      </c>
      <c r="H1235" t="s">
        <v>78</v>
      </c>
      <c r="I1235" t="s">
        <v>89</v>
      </c>
      <c r="J1235">
        <v>1</v>
      </c>
      <c r="K1235">
        <v>9500</v>
      </c>
      <c r="L1235">
        <v>0</v>
      </c>
      <c r="N1235">
        <v>7.3</v>
      </c>
      <c r="Q1235" t="s">
        <v>89</v>
      </c>
    </row>
    <row r="1236" spans="1:17" x14ac:dyDescent="0.3">
      <c r="A1236" t="s">
        <v>1867</v>
      </c>
      <c r="B1236" s="2">
        <v>46254</v>
      </c>
      <c r="C1236" t="s">
        <v>26</v>
      </c>
      <c r="D1236" t="s">
        <v>114</v>
      </c>
      <c r="E1236" t="s">
        <v>28</v>
      </c>
      <c r="F1236" t="s">
        <v>687</v>
      </c>
      <c r="G1236" t="s">
        <v>30</v>
      </c>
      <c r="J1236">
        <v>0</v>
      </c>
      <c r="K1236">
        <v>0</v>
      </c>
      <c r="L1236">
        <v>0</v>
      </c>
      <c r="M1236">
        <v>1</v>
      </c>
      <c r="N1236">
        <v>8.1</v>
      </c>
      <c r="O1236">
        <v>4.8</v>
      </c>
      <c r="P1236">
        <v>3.3</v>
      </c>
      <c r="Q1236" t="s">
        <v>39</v>
      </c>
    </row>
    <row r="1237" spans="1:17" x14ac:dyDescent="0.3">
      <c r="A1237" t="s">
        <v>1868</v>
      </c>
      <c r="B1237" s="2">
        <v>45923</v>
      </c>
      <c r="C1237" t="s">
        <v>18</v>
      </c>
      <c r="D1237" t="s">
        <v>105</v>
      </c>
      <c r="E1237" t="s">
        <v>20</v>
      </c>
      <c r="F1237" t="s">
        <v>1869</v>
      </c>
      <c r="G1237" t="s">
        <v>30</v>
      </c>
      <c r="H1237" t="s">
        <v>66</v>
      </c>
      <c r="I1237" t="s">
        <v>79</v>
      </c>
      <c r="J1237">
        <v>1</v>
      </c>
      <c r="K1237">
        <v>5000</v>
      </c>
      <c r="L1237">
        <v>0</v>
      </c>
      <c r="N1237">
        <v>3.8</v>
      </c>
      <c r="Q1237" t="s">
        <v>79</v>
      </c>
    </row>
    <row r="1238" spans="1:17" x14ac:dyDescent="0.3">
      <c r="A1238" t="s">
        <v>1870</v>
      </c>
      <c r="B1238" s="2">
        <v>46228</v>
      </c>
      <c r="C1238" t="s">
        <v>26</v>
      </c>
      <c r="D1238" t="s">
        <v>27</v>
      </c>
      <c r="E1238" t="s">
        <v>37</v>
      </c>
      <c r="F1238" t="s">
        <v>1081</v>
      </c>
      <c r="G1238" t="s">
        <v>22</v>
      </c>
      <c r="J1238">
        <v>0</v>
      </c>
      <c r="K1238">
        <v>0</v>
      </c>
      <c r="L1238">
        <v>0</v>
      </c>
      <c r="M1238">
        <v>1</v>
      </c>
      <c r="N1238">
        <v>7</v>
      </c>
      <c r="O1238">
        <v>17.3</v>
      </c>
      <c r="P1238">
        <v>4.9000000000000004</v>
      </c>
      <c r="Q1238" t="s">
        <v>39</v>
      </c>
    </row>
    <row r="1239" spans="1:17" x14ac:dyDescent="0.3">
      <c r="A1239" t="s">
        <v>1871</v>
      </c>
      <c r="B1239" s="2">
        <v>45997</v>
      </c>
      <c r="C1239" t="s">
        <v>18</v>
      </c>
      <c r="D1239" t="s">
        <v>19</v>
      </c>
      <c r="E1239" t="s">
        <v>42</v>
      </c>
      <c r="F1239" t="s">
        <v>402</v>
      </c>
      <c r="G1239" t="s">
        <v>22</v>
      </c>
      <c r="H1239" t="s">
        <v>66</v>
      </c>
      <c r="I1239" t="s">
        <v>55</v>
      </c>
      <c r="J1239">
        <v>1</v>
      </c>
      <c r="K1239">
        <v>22100</v>
      </c>
      <c r="L1239">
        <v>0</v>
      </c>
      <c r="N1239">
        <v>19.100000000000001</v>
      </c>
      <c r="Q1239" t="s">
        <v>55</v>
      </c>
    </row>
    <row r="1240" spans="1:17" x14ac:dyDescent="0.3">
      <c r="A1240" t="s">
        <v>1872</v>
      </c>
      <c r="B1240" s="2">
        <v>45931</v>
      </c>
      <c r="C1240" t="s">
        <v>26</v>
      </c>
      <c r="D1240" t="s">
        <v>36</v>
      </c>
      <c r="E1240" t="s">
        <v>42</v>
      </c>
      <c r="F1240" t="s">
        <v>626</v>
      </c>
      <c r="G1240" t="s">
        <v>44</v>
      </c>
      <c r="J1240">
        <v>0</v>
      </c>
      <c r="K1240">
        <v>0</v>
      </c>
      <c r="L1240">
        <v>0</v>
      </c>
      <c r="M1240">
        <v>1</v>
      </c>
      <c r="N1240">
        <v>11.3</v>
      </c>
      <c r="O1240">
        <v>4.3</v>
      </c>
      <c r="P1240">
        <v>3.1</v>
      </c>
      <c r="Q1240" t="s">
        <v>39</v>
      </c>
    </row>
    <row r="1241" spans="1:17" x14ac:dyDescent="0.3">
      <c r="A1241" t="s">
        <v>1873</v>
      </c>
      <c r="B1241" s="2">
        <v>45912</v>
      </c>
      <c r="C1241" t="s">
        <v>18</v>
      </c>
      <c r="D1241" t="s">
        <v>64</v>
      </c>
      <c r="E1241" t="s">
        <v>20</v>
      </c>
      <c r="F1241" t="s">
        <v>1874</v>
      </c>
      <c r="G1241" t="s">
        <v>22</v>
      </c>
      <c r="H1241" t="s">
        <v>86</v>
      </c>
      <c r="I1241" t="s">
        <v>45</v>
      </c>
      <c r="J1241">
        <v>1</v>
      </c>
      <c r="K1241">
        <v>28200</v>
      </c>
      <c r="L1241">
        <v>0</v>
      </c>
      <c r="N1241">
        <v>13.1</v>
      </c>
      <c r="Q1241" t="s">
        <v>45</v>
      </c>
    </row>
    <row r="1242" spans="1:17" x14ac:dyDescent="0.3">
      <c r="A1242" t="s">
        <v>1875</v>
      </c>
      <c r="B1242" s="2">
        <v>46080</v>
      </c>
      <c r="C1242" t="s">
        <v>26</v>
      </c>
      <c r="D1242" t="s">
        <v>232</v>
      </c>
      <c r="E1242" t="s">
        <v>20</v>
      </c>
      <c r="F1242" t="s">
        <v>1814</v>
      </c>
      <c r="G1242" t="s">
        <v>22</v>
      </c>
      <c r="J1242">
        <v>0</v>
      </c>
      <c r="K1242">
        <v>0</v>
      </c>
      <c r="L1242">
        <v>0</v>
      </c>
      <c r="M1242">
        <v>1</v>
      </c>
      <c r="N1242">
        <v>5.6</v>
      </c>
      <c r="O1242">
        <v>15.6</v>
      </c>
      <c r="P1242">
        <v>3.6</v>
      </c>
      <c r="Q1242" t="s">
        <v>62</v>
      </c>
    </row>
    <row r="1243" spans="1:17" x14ac:dyDescent="0.3">
      <c r="A1243" t="s">
        <v>1876</v>
      </c>
      <c r="B1243" s="2">
        <v>46027</v>
      </c>
      <c r="C1243" t="s">
        <v>26</v>
      </c>
      <c r="D1243" t="s">
        <v>232</v>
      </c>
      <c r="E1243" t="s">
        <v>20</v>
      </c>
      <c r="F1243" t="s">
        <v>1877</v>
      </c>
      <c r="G1243" t="s">
        <v>44</v>
      </c>
      <c r="J1243">
        <v>0</v>
      </c>
      <c r="K1243">
        <v>0</v>
      </c>
      <c r="L1243">
        <v>0</v>
      </c>
      <c r="M1243">
        <v>1</v>
      </c>
      <c r="N1243">
        <v>4.3</v>
      </c>
      <c r="O1243">
        <v>5.4</v>
      </c>
      <c r="P1243">
        <v>4.7</v>
      </c>
      <c r="Q1243" t="s">
        <v>39</v>
      </c>
    </row>
    <row r="1244" spans="1:17" x14ac:dyDescent="0.3">
      <c r="A1244" t="s">
        <v>1878</v>
      </c>
      <c r="B1244" s="2">
        <v>46241</v>
      </c>
      <c r="C1244" t="s">
        <v>26</v>
      </c>
      <c r="D1244" t="s">
        <v>126</v>
      </c>
      <c r="E1244" t="s">
        <v>48</v>
      </c>
      <c r="F1244" t="s">
        <v>643</v>
      </c>
      <c r="G1244" t="s">
        <v>50</v>
      </c>
      <c r="J1244">
        <v>0</v>
      </c>
      <c r="K1244">
        <v>0</v>
      </c>
      <c r="L1244">
        <v>0</v>
      </c>
      <c r="M1244">
        <v>1</v>
      </c>
      <c r="N1244">
        <v>8.3000000000000007</v>
      </c>
      <c r="O1244">
        <v>8.5</v>
      </c>
      <c r="P1244">
        <v>3.8</v>
      </c>
      <c r="Q1244" t="s">
        <v>39</v>
      </c>
    </row>
    <row r="1245" spans="1:17" x14ac:dyDescent="0.3">
      <c r="A1245" t="s">
        <v>1879</v>
      </c>
      <c r="B1245" s="2">
        <v>46116</v>
      </c>
      <c r="C1245" t="s">
        <v>26</v>
      </c>
      <c r="D1245" t="s">
        <v>114</v>
      </c>
      <c r="E1245" t="s">
        <v>20</v>
      </c>
      <c r="F1245" t="s">
        <v>164</v>
      </c>
      <c r="G1245" t="s">
        <v>44</v>
      </c>
      <c r="J1245">
        <v>0</v>
      </c>
      <c r="K1245">
        <v>0</v>
      </c>
      <c r="L1245">
        <v>0</v>
      </c>
      <c r="M1245">
        <v>1</v>
      </c>
      <c r="N1245">
        <v>10.6</v>
      </c>
      <c r="O1245">
        <v>26</v>
      </c>
      <c r="P1245">
        <v>4.4000000000000004</v>
      </c>
      <c r="Q1245" t="s">
        <v>31</v>
      </c>
    </row>
    <row r="1246" spans="1:17" x14ac:dyDescent="0.3">
      <c r="A1246" t="s">
        <v>1880</v>
      </c>
      <c r="B1246" s="2">
        <v>46205</v>
      </c>
      <c r="C1246" t="s">
        <v>26</v>
      </c>
      <c r="D1246" t="s">
        <v>114</v>
      </c>
      <c r="E1246" t="s">
        <v>37</v>
      </c>
      <c r="F1246" t="s">
        <v>1881</v>
      </c>
      <c r="G1246" t="s">
        <v>44</v>
      </c>
      <c r="J1246">
        <v>0</v>
      </c>
      <c r="K1246">
        <v>0</v>
      </c>
      <c r="L1246">
        <v>0</v>
      </c>
      <c r="M1246">
        <v>1</v>
      </c>
      <c r="N1246">
        <v>4.4000000000000004</v>
      </c>
      <c r="O1246">
        <v>9.1</v>
      </c>
      <c r="P1246">
        <v>3.3</v>
      </c>
      <c r="Q1246" t="s">
        <v>62</v>
      </c>
    </row>
    <row r="1247" spans="1:17" x14ac:dyDescent="0.3">
      <c r="A1247" t="s">
        <v>1882</v>
      </c>
      <c r="B1247" s="2">
        <v>46190</v>
      </c>
      <c r="C1247" t="s">
        <v>26</v>
      </c>
      <c r="D1247" t="s">
        <v>69</v>
      </c>
      <c r="E1247" t="s">
        <v>48</v>
      </c>
      <c r="F1247" t="s">
        <v>1468</v>
      </c>
      <c r="G1247" t="s">
        <v>30</v>
      </c>
      <c r="J1247">
        <v>0</v>
      </c>
      <c r="K1247">
        <v>0</v>
      </c>
      <c r="L1247">
        <v>0</v>
      </c>
      <c r="M1247">
        <v>1</v>
      </c>
      <c r="N1247">
        <v>3.7</v>
      </c>
      <c r="O1247">
        <v>8.3000000000000007</v>
      </c>
      <c r="P1247">
        <v>3.1</v>
      </c>
      <c r="Q1247" t="s">
        <v>39</v>
      </c>
    </row>
    <row r="1248" spans="1:17" x14ac:dyDescent="0.3">
      <c r="A1248" t="s">
        <v>1883</v>
      </c>
      <c r="B1248" s="2">
        <v>45942</v>
      </c>
      <c r="C1248" t="s">
        <v>18</v>
      </c>
      <c r="D1248" t="s">
        <v>105</v>
      </c>
      <c r="E1248" t="s">
        <v>20</v>
      </c>
      <c r="F1248" t="s">
        <v>1407</v>
      </c>
      <c r="G1248" t="s">
        <v>44</v>
      </c>
      <c r="H1248" t="s">
        <v>66</v>
      </c>
      <c r="I1248" t="s">
        <v>79</v>
      </c>
      <c r="J1248">
        <v>1</v>
      </c>
      <c r="K1248">
        <v>25200</v>
      </c>
      <c r="L1248">
        <v>0</v>
      </c>
      <c r="N1248">
        <v>18.899999999999999</v>
      </c>
      <c r="Q1248" t="s">
        <v>79</v>
      </c>
    </row>
    <row r="1249" spans="1:17" x14ac:dyDescent="0.3">
      <c r="A1249" t="s">
        <v>1884</v>
      </c>
      <c r="B1249" s="2">
        <v>46025</v>
      </c>
      <c r="C1249" t="s">
        <v>18</v>
      </c>
      <c r="D1249" t="s">
        <v>117</v>
      </c>
      <c r="E1249" t="s">
        <v>48</v>
      </c>
      <c r="F1249" t="s">
        <v>162</v>
      </c>
      <c r="G1249" t="s">
        <v>30</v>
      </c>
      <c r="H1249" t="s">
        <v>23</v>
      </c>
      <c r="I1249" t="s">
        <v>24</v>
      </c>
      <c r="J1249">
        <v>1</v>
      </c>
      <c r="K1249">
        <v>10800</v>
      </c>
      <c r="L1249">
        <v>10800</v>
      </c>
      <c r="N1249">
        <v>20.100000000000001</v>
      </c>
      <c r="Q1249" t="s">
        <v>24</v>
      </c>
    </row>
    <row r="1250" spans="1:17" x14ac:dyDescent="0.3">
      <c r="A1250" t="s">
        <v>1885</v>
      </c>
      <c r="B1250" s="2">
        <v>46065</v>
      </c>
      <c r="C1250" t="s">
        <v>26</v>
      </c>
      <c r="D1250" t="s">
        <v>69</v>
      </c>
      <c r="E1250" t="s">
        <v>48</v>
      </c>
      <c r="F1250" t="s">
        <v>1587</v>
      </c>
      <c r="G1250" t="s">
        <v>44</v>
      </c>
      <c r="J1250">
        <v>0</v>
      </c>
      <c r="K1250">
        <v>0</v>
      </c>
      <c r="L1250">
        <v>0</v>
      </c>
      <c r="M1250">
        <v>1</v>
      </c>
      <c r="N1250">
        <v>2.2999999999999998</v>
      </c>
      <c r="O1250">
        <v>4.7</v>
      </c>
      <c r="P1250">
        <v>4</v>
      </c>
      <c r="Q1250" t="s">
        <v>39</v>
      </c>
    </row>
    <row r="1251" spans="1:17" x14ac:dyDescent="0.3">
      <c r="A1251" t="s">
        <v>1886</v>
      </c>
      <c r="B1251" s="2">
        <v>46140</v>
      </c>
      <c r="C1251" t="s">
        <v>26</v>
      </c>
      <c r="D1251" t="s">
        <v>126</v>
      </c>
      <c r="E1251" t="s">
        <v>20</v>
      </c>
      <c r="F1251" t="s">
        <v>1887</v>
      </c>
      <c r="G1251" t="s">
        <v>22</v>
      </c>
      <c r="J1251">
        <v>0</v>
      </c>
      <c r="K1251">
        <v>0</v>
      </c>
      <c r="L1251">
        <v>0</v>
      </c>
      <c r="M1251">
        <v>1</v>
      </c>
      <c r="N1251">
        <v>10</v>
      </c>
      <c r="O1251">
        <v>8.5</v>
      </c>
      <c r="P1251">
        <v>4.7</v>
      </c>
      <c r="Q1251" t="s">
        <v>39</v>
      </c>
    </row>
    <row r="1252" spans="1:17" x14ac:dyDescent="0.3">
      <c r="A1252" t="s">
        <v>1888</v>
      </c>
      <c r="B1252" s="2">
        <v>45916</v>
      </c>
      <c r="C1252" t="s">
        <v>26</v>
      </c>
      <c r="D1252" t="s">
        <v>114</v>
      </c>
      <c r="E1252" t="s">
        <v>20</v>
      </c>
      <c r="F1252" t="s">
        <v>21</v>
      </c>
      <c r="G1252" t="s">
        <v>44</v>
      </c>
      <c r="J1252">
        <v>0</v>
      </c>
      <c r="K1252">
        <v>0</v>
      </c>
      <c r="L1252">
        <v>0</v>
      </c>
      <c r="M1252">
        <v>1</v>
      </c>
      <c r="N1252">
        <v>0.6</v>
      </c>
      <c r="O1252">
        <v>1.6</v>
      </c>
      <c r="P1252">
        <v>3.2</v>
      </c>
      <c r="Q1252" t="s">
        <v>31</v>
      </c>
    </row>
    <row r="1253" spans="1:17" x14ac:dyDescent="0.3">
      <c r="A1253" t="s">
        <v>1889</v>
      </c>
      <c r="B1253" s="2">
        <v>46008</v>
      </c>
      <c r="C1253" t="s">
        <v>18</v>
      </c>
      <c r="D1253" t="s">
        <v>64</v>
      </c>
      <c r="E1253" t="s">
        <v>28</v>
      </c>
      <c r="F1253" t="s">
        <v>1890</v>
      </c>
      <c r="G1253" t="s">
        <v>22</v>
      </c>
      <c r="H1253" t="s">
        <v>23</v>
      </c>
      <c r="I1253" t="s">
        <v>45</v>
      </c>
      <c r="J1253">
        <v>1</v>
      </c>
      <c r="K1253">
        <v>6200</v>
      </c>
      <c r="L1253">
        <v>0</v>
      </c>
      <c r="N1253">
        <v>4.5</v>
      </c>
      <c r="Q1253" t="s">
        <v>45</v>
      </c>
    </row>
    <row r="1254" spans="1:17" x14ac:dyDescent="0.3">
      <c r="A1254" t="s">
        <v>1891</v>
      </c>
      <c r="B1254" s="2">
        <v>46033</v>
      </c>
      <c r="C1254" t="s">
        <v>18</v>
      </c>
      <c r="D1254" t="s">
        <v>64</v>
      </c>
      <c r="E1254" t="s">
        <v>28</v>
      </c>
      <c r="F1254" t="s">
        <v>1631</v>
      </c>
      <c r="G1254" t="s">
        <v>22</v>
      </c>
      <c r="H1254" t="s">
        <v>23</v>
      </c>
      <c r="I1254" t="s">
        <v>89</v>
      </c>
      <c r="J1254">
        <v>1</v>
      </c>
      <c r="K1254">
        <v>14000</v>
      </c>
      <c r="L1254">
        <v>0</v>
      </c>
      <c r="N1254">
        <v>3.7</v>
      </c>
      <c r="Q1254" t="s">
        <v>89</v>
      </c>
    </row>
    <row r="1255" spans="1:17" x14ac:dyDescent="0.3">
      <c r="A1255" t="s">
        <v>1892</v>
      </c>
      <c r="B1255" s="2">
        <v>46232</v>
      </c>
      <c r="C1255" t="s">
        <v>18</v>
      </c>
      <c r="D1255" t="s">
        <v>19</v>
      </c>
      <c r="E1255" t="s">
        <v>48</v>
      </c>
      <c r="F1255" t="s">
        <v>1893</v>
      </c>
      <c r="G1255" t="s">
        <v>22</v>
      </c>
      <c r="H1255" t="s">
        <v>54</v>
      </c>
      <c r="I1255" t="s">
        <v>45</v>
      </c>
      <c r="J1255">
        <v>1</v>
      </c>
      <c r="K1255">
        <v>9600</v>
      </c>
      <c r="L1255">
        <v>0</v>
      </c>
      <c r="N1255">
        <v>5.5</v>
      </c>
      <c r="Q1255" t="s">
        <v>45</v>
      </c>
    </row>
    <row r="1256" spans="1:17" x14ac:dyDescent="0.3">
      <c r="A1256" t="s">
        <v>1894</v>
      </c>
      <c r="B1256" s="2">
        <v>46043</v>
      </c>
      <c r="C1256" t="s">
        <v>26</v>
      </c>
      <c r="D1256" t="s">
        <v>72</v>
      </c>
      <c r="E1256" t="s">
        <v>20</v>
      </c>
      <c r="F1256" t="s">
        <v>1182</v>
      </c>
      <c r="G1256" t="s">
        <v>44</v>
      </c>
      <c r="J1256">
        <v>0</v>
      </c>
      <c r="K1256">
        <v>0</v>
      </c>
      <c r="L1256">
        <v>0</v>
      </c>
      <c r="M1256">
        <v>1</v>
      </c>
      <c r="N1256">
        <v>4.7</v>
      </c>
      <c r="O1256">
        <v>6.8</v>
      </c>
      <c r="P1256">
        <v>5</v>
      </c>
      <c r="Q1256" t="s">
        <v>39</v>
      </c>
    </row>
    <row r="1257" spans="1:17" x14ac:dyDescent="0.3">
      <c r="A1257" t="s">
        <v>1895</v>
      </c>
      <c r="B1257" s="2">
        <v>46223</v>
      </c>
      <c r="C1257" t="s">
        <v>18</v>
      </c>
      <c r="D1257" t="s">
        <v>52</v>
      </c>
      <c r="E1257" t="s">
        <v>20</v>
      </c>
      <c r="F1257" t="s">
        <v>738</v>
      </c>
      <c r="G1257" t="s">
        <v>22</v>
      </c>
      <c r="H1257" t="s">
        <v>23</v>
      </c>
      <c r="I1257" t="s">
        <v>24</v>
      </c>
      <c r="J1257">
        <v>1</v>
      </c>
      <c r="K1257">
        <v>21600</v>
      </c>
      <c r="L1257">
        <v>21600</v>
      </c>
      <c r="N1257">
        <v>19.399999999999999</v>
      </c>
      <c r="Q1257" t="s">
        <v>24</v>
      </c>
    </row>
    <row r="1258" spans="1:17" x14ac:dyDescent="0.3">
      <c r="A1258" t="s">
        <v>1896</v>
      </c>
      <c r="B1258" s="2">
        <v>46112</v>
      </c>
      <c r="C1258" t="s">
        <v>18</v>
      </c>
      <c r="D1258" t="s">
        <v>105</v>
      </c>
      <c r="E1258" t="s">
        <v>37</v>
      </c>
      <c r="F1258" t="s">
        <v>1422</v>
      </c>
      <c r="G1258" t="s">
        <v>22</v>
      </c>
      <c r="H1258" t="s">
        <v>66</v>
      </c>
      <c r="I1258" t="s">
        <v>24</v>
      </c>
      <c r="J1258">
        <v>1</v>
      </c>
      <c r="K1258">
        <v>22800</v>
      </c>
      <c r="L1258">
        <v>22800</v>
      </c>
      <c r="N1258">
        <v>17.399999999999999</v>
      </c>
      <c r="Q1258" t="s">
        <v>24</v>
      </c>
    </row>
    <row r="1259" spans="1:17" x14ac:dyDescent="0.3">
      <c r="A1259" t="s">
        <v>1897</v>
      </c>
      <c r="B1259" s="2">
        <v>46104</v>
      </c>
      <c r="C1259" t="s">
        <v>18</v>
      </c>
      <c r="D1259" t="s">
        <v>19</v>
      </c>
      <c r="E1259" t="s">
        <v>20</v>
      </c>
      <c r="F1259" t="s">
        <v>752</v>
      </c>
      <c r="G1259" t="s">
        <v>22</v>
      </c>
      <c r="H1259" t="s">
        <v>66</v>
      </c>
      <c r="I1259" t="s">
        <v>45</v>
      </c>
      <c r="J1259">
        <v>1</v>
      </c>
      <c r="K1259">
        <v>59600</v>
      </c>
      <c r="L1259">
        <v>0</v>
      </c>
      <c r="N1259">
        <v>6.4</v>
      </c>
      <c r="Q1259" t="s">
        <v>45</v>
      </c>
    </row>
    <row r="1260" spans="1:17" x14ac:dyDescent="0.3">
      <c r="A1260" t="s">
        <v>1898</v>
      </c>
      <c r="B1260" s="2">
        <v>46180</v>
      </c>
      <c r="C1260" t="s">
        <v>18</v>
      </c>
      <c r="D1260" t="s">
        <v>64</v>
      </c>
      <c r="E1260" t="s">
        <v>20</v>
      </c>
      <c r="F1260" t="s">
        <v>809</v>
      </c>
      <c r="G1260" t="s">
        <v>44</v>
      </c>
      <c r="H1260" t="s">
        <v>78</v>
      </c>
      <c r="I1260" t="s">
        <v>45</v>
      </c>
      <c r="J1260">
        <v>1</v>
      </c>
      <c r="K1260">
        <v>28000</v>
      </c>
      <c r="L1260">
        <v>0</v>
      </c>
      <c r="N1260">
        <v>10.5</v>
      </c>
      <c r="Q1260" t="s">
        <v>45</v>
      </c>
    </row>
    <row r="1261" spans="1:17" x14ac:dyDescent="0.3">
      <c r="A1261" t="s">
        <v>1899</v>
      </c>
      <c r="B1261" s="2">
        <v>45904</v>
      </c>
      <c r="C1261" t="s">
        <v>26</v>
      </c>
      <c r="D1261" t="s">
        <v>72</v>
      </c>
      <c r="E1261" t="s">
        <v>28</v>
      </c>
      <c r="F1261" t="s">
        <v>1385</v>
      </c>
      <c r="G1261" t="s">
        <v>30</v>
      </c>
      <c r="J1261">
        <v>0</v>
      </c>
      <c r="K1261">
        <v>0</v>
      </c>
      <c r="L1261">
        <v>0</v>
      </c>
      <c r="M1261">
        <v>1</v>
      </c>
      <c r="N1261">
        <v>10.8</v>
      </c>
      <c r="O1261">
        <v>9.6</v>
      </c>
      <c r="P1261">
        <v>4.0999999999999996</v>
      </c>
      <c r="Q1261" t="s">
        <v>31</v>
      </c>
    </row>
    <row r="1262" spans="1:17" x14ac:dyDescent="0.3">
      <c r="A1262" t="s">
        <v>1900</v>
      </c>
      <c r="B1262" s="2">
        <v>46019</v>
      </c>
      <c r="C1262" t="s">
        <v>18</v>
      </c>
      <c r="D1262" t="s">
        <v>19</v>
      </c>
      <c r="E1262" t="s">
        <v>20</v>
      </c>
      <c r="F1262" t="s">
        <v>218</v>
      </c>
      <c r="G1262" t="s">
        <v>22</v>
      </c>
      <c r="H1262" t="s">
        <v>23</v>
      </c>
      <c r="I1262" t="s">
        <v>24</v>
      </c>
      <c r="J1262">
        <v>1</v>
      </c>
      <c r="K1262">
        <v>18600</v>
      </c>
      <c r="L1262">
        <v>18600</v>
      </c>
      <c r="N1262">
        <v>1.8</v>
      </c>
      <c r="Q1262" t="s">
        <v>24</v>
      </c>
    </row>
    <row r="1263" spans="1:17" x14ac:dyDescent="0.3">
      <c r="A1263" t="s">
        <v>1901</v>
      </c>
      <c r="B1263" s="2">
        <v>46108</v>
      </c>
      <c r="C1263" t="s">
        <v>26</v>
      </c>
      <c r="D1263" t="s">
        <v>36</v>
      </c>
      <c r="E1263" t="s">
        <v>20</v>
      </c>
      <c r="F1263" t="s">
        <v>1902</v>
      </c>
      <c r="G1263" t="s">
        <v>44</v>
      </c>
      <c r="J1263">
        <v>0</v>
      </c>
      <c r="K1263">
        <v>0</v>
      </c>
      <c r="L1263">
        <v>0</v>
      </c>
      <c r="M1263">
        <v>1</v>
      </c>
      <c r="N1263">
        <v>8.6999999999999993</v>
      </c>
      <c r="O1263">
        <v>6.4</v>
      </c>
      <c r="P1263">
        <v>3.8</v>
      </c>
      <c r="Q1263" t="s">
        <v>39</v>
      </c>
    </row>
    <row r="1264" spans="1:17" x14ac:dyDescent="0.3">
      <c r="A1264" t="s">
        <v>1903</v>
      </c>
      <c r="B1264" s="2">
        <v>46033</v>
      </c>
      <c r="C1264" t="s">
        <v>18</v>
      </c>
      <c r="D1264" t="s">
        <v>52</v>
      </c>
      <c r="E1264" t="s">
        <v>48</v>
      </c>
      <c r="F1264" t="s">
        <v>476</v>
      </c>
      <c r="G1264" t="s">
        <v>30</v>
      </c>
      <c r="H1264" t="s">
        <v>23</v>
      </c>
      <c r="I1264" t="s">
        <v>24</v>
      </c>
      <c r="J1264">
        <v>1</v>
      </c>
      <c r="K1264">
        <v>44400</v>
      </c>
      <c r="L1264">
        <v>44400</v>
      </c>
      <c r="N1264">
        <v>11.9</v>
      </c>
      <c r="Q1264" t="s">
        <v>24</v>
      </c>
    </row>
    <row r="1265" spans="1:17" x14ac:dyDescent="0.3">
      <c r="A1265" t="s">
        <v>1904</v>
      </c>
      <c r="B1265" s="2">
        <v>46101</v>
      </c>
      <c r="C1265" t="s">
        <v>18</v>
      </c>
      <c r="D1265" t="s">
        <v>19</v>
      </c>
      <c r="E1265" t="s">
        <v>48</v>
      </c>
      <c r="F1265" t="s">
        <v>1003</v>
      </c>
      <c r="G1265" t="s">
        <v>30</v>
      </c>
      <c r="H1265" t="s">
        <v>54</v>
      </c>
      <c r="I1265" t="s">
        <v>24</v>
      </c>
      <c r="J1265">
        <v>1</v>
      </c>
      <c r="K1265">
        <v>29100</v>
      </c>
      <c r="L1265">
        <v>29100</v>
      </c>
      <c r="N1265">
        <v>7.4</v>
      </c>
      <c r="Q1265" t="s">
        <v>24</v>
      </c>
    </row>
    <row r="1266" spans="1:17" x14ac:dyDescent="0.3">
      <c r="A1266" t="s">
        <v>1905</v>
      </c>
      <c r="B1266" s="2">
        <v>45983</v>
      </c>
      <c r="C1266" t="s">
        <v>18</v>
      </c>
      <c r="D1266" t="s">
        <v>105</v>
      </c>
      <c r="E1266" t="s">
        <v>28</v>
      </c>
      <c r="F1266" t="s">
        <v>43</v>
      </c>
      <c r="G1266" t="s">
        <v>50</v>
      </c>
      <c r="H1266" t="s">
        <v>54</v>
      </c>
      <c r="I1266" t="s">
        <v>45</v>
      </c>
      <c r="J1266">
        <v>1</v>
      </c>
      <c r="K1266">
        <v>37900</v>
      </c>
      <c r="L1266">
        <v>0</v>
      </c>
      <c r="N1266">
        <v>1.9</v>
      </c>
      <c r="Q1266" t="s">
        <v>45</v>
      </c>
    </row>
    <row r="1267" spans="1:17" x14ac:dyDescent="0.3">
      <c r="A1267" t="s">
        <v>1906</v>
      </c>
      <c r="B1267" s="2">
        <v>46043</v>
      </c>
      <c r="C1267" t="s">
        <v>18</v>
      </c>
      <c r="D1267" t="s">
        <v>41</v>
      </c>
      <c r="E1267" t="s">
        <v>20</v>
      </c>
      <c r="F1267" t="s">
        <v>1281</v>
      </c>
      <c r="G1267" t="s">
        <v>30</v>
      </c>
      <c r="H1267" t="s">
        <v>78</v>
      </c>
      <c r="I1267" t="s">
        <v>45</v>
      </c>
      <c r="J1267">
        <v>1</v>
      </c>
      <c r="K1267">
        <v>43200</v>
      </c>
      <c r="L1267">
        <v>0</v>
      </c>
      <c r="N1267">
        <v>12.3</v>
      </c>
      <c r="Q1267" t="s">
        <v>45</v>
      </c>
    </row>
    <row r="1268" spans="1:17" x14ac:dyDescent="0.3">
      <c r="A1268" t="s">
        <v>1907</v>
      </c>
      <c r="B1268" s="2">
        <v>46057</v>
      </c>
      <c r="C1268" t="s">
        <v>18</v>
      </c>
      <c r="D1268" t="s">
        <v>47</v>
      </c>
      <c r="E1268" t="s">
        <v>20</v>
      </c>
      <c r="F1268" t="s">
        <v>384</v>
      </c>
      <c r="G1268" t="s">
        <v>22</v>
      </c>
      <c r="H1268" t="s">
        <v>78</v>
      </c>
      <c r="I1268" t="s">
        <v>24</v>
      </c>
      <c r="J1268">
        <v>1</v>
      </c>
      <c r="K1268">
        <v>24900</v>
      </c>
      <c r="L1268">
        <v>24900</v>
      </c>
      <c r="N1268">
        <v>19.8</v>
      </c>
      <c r="Q1268" t="s">
        <v>24</v>
      </c>
    </row>
    <row r="1269" spans="1:17" x14ac:dyDescent="0.3">
      <c r="A1269" t="s">
        <v>1908</v>
      </c>
      <c r="B1269" s="2">
        <v>46159</v>
      </c>
      <c r="C1269" t="s">
        <v>18</v>
      </c>
      <c r="D1269" t="s">
        <v>47</v>
      </c>
      <c r="E1269" t="s">
        <v>20</v>
      </c>
      <c r="F1269" t="s">
        <v>1835</v>
      </c>
      <c r="G1269" t="s">
        <v>30</v>
      </c>
      <c r="H1269" t="s">
        <v>54</v>
      </c>
      <c r="I1269" t="s">
        <v>24</v>
      </c>
      <c r="J1269">
        <v>1</v>
      </c>
      <c r="K1269">
        <v>26900</v>
      </c>
      <c r="L1269">
        <v>26900</v>
      </c>
      <c r="N1269">
        <v>6</v>
      </c>
      <c r="Q1269" t="s">
        <v>24</v>
      </c>
    </row>
    <row r="1270" spans="1:17" x14ac:dyDescent="0.3">
      <c r="A1270" t="s">
        <v>1909</v>
      </c>
      <c r="B1270" s="2">
        <v>46079</v>
      </c>
      <c r="C1270" t="s">
        <v>26</v>
      </c>
      <c r="D1270" t="s">
        <v>72</v>
      </c>
      <c r="E1270" t="s">
        <v>37</v>
      </c>
      <c r="F1270" t="s">
        <v>750</v>
      </c>
      <c r="G1270" t="s">
        <v>30</v>
      </c>
      <c r="J1270">
        <v>0</v>
      </c>
      <c r="K1270">
        <v>0</v>
      </c>
      <c r="L1270">
        <v>0</v>
      </c>
      <c r="M1270">
        <v>1</v>
      </c>
      <c r="N1270">
        <v>1</v>
      </c>
      <c r="O1270">
        <v>1.9</v>
      </c>
      <c r="P1270">
        <v>5</v>
      </c>
      <c r="Q1270" t="s">
        <v>62</v>
      </c>
    </row>
    <row r="1271" spans="1:17" x14ac:dyDescent="0.3">
      <c r="A1271" t="s">
        <v>1910</v>
      </c>
      <c r="B1271" s="2">
        <v>46015</v>
      </c>
      <c r="C1271" t="s">
        <v>18</v>
      </c>
      <c r="D1271" t="s">
        <v>95</v>
      </c>
      <c r="E1271" t="s">
        <v>20</v>
      </c>
      <c r="F1271" t="s">
        <v>1118</v>
      </c>
      <c r="G1271" t="s">
        <v>44</v>
      </c>
      <c r="H1271" t="s">
        <v>78</v>
      </c>
      <c r="I1271" t="s">
        <v>45</v>
      </c>
      <c r="J1271">
        <v>1</v>
      </c>
      <c r="K1271">
        <v>42200</v>
      </c>
      <c r="L1271">
        <v>0</v>
      </c>
      <c r="N1271">
        <v>20.9</v>
      </c>
      <c r="Q1271" t="s">
        <v>45</v>
      </c>
    </row>
    <row r="1272" spans="1:17" x14ac:dyDescent="0.3">
      <c r="A1272" t="s">
        <v>1911</v>
      </c>
      <c r="B1272" s="2">
        <v>45927</v>
      </c>
      <c r="C1272" t="s">
        <v>26</v>
      </c>
      <c r="D1272" t="s">
        <v>126</v>
      </c>
      <c r="E1272" t="s">
        <v>20</v>
      </c>
      <c r="F1272" t="s">
        <v>1129</v>
      </c>
      <c r="G1272" t="s">
        <v>22</v>
      </c>
      <c r="J1272">
        <v>0</v>
      </c>
      <c r="K1272">
        <v>0</v>
      </c>
      <c r="L1272">
        <v>0</v>
      </c>
      <c r="M1272">
        <v>1</v>
      </c>
      <c r="N1272">
        <v>3.4</v>
      </c>
      <c r="O1272">
        <v>8.6999999999999993</v>
      </c>
      <c r="P1272">
        <v>4.3</v>
      </c>
      <c r="Q1272" t="s">
        <v>39</v>
      </c>
    </row>
    <row r="1273" spans="1:17" x14ac:dyDescent="0.3">
      <c r="A1273" t="s">
        <v>1912</v>
      </c>
      <c r="B1273" s="2">
        <v>45921</v>
      </c>
      <c r="C1273" t="s">
        <v>26</v>
      </c>
      <c r="D1273" t="s">
        <v>27</v>
      </c>
      <c r="E1273" t="s">
        <v>20</v>
      </c>
      <c r="F1273" t="s">
        <v>456</v>
      </c>
      <c r="G1273" t="s">
        <v>44</v>
      </c>
      <c r="J1273">
        <v>0</v>
      </c>
      <c r="K1273">
        <v>0</v>
      </c>
      <c r="L1273">
        <v>0</v>
      </c>
      <c r="M1273">
        <v>1</v>
      </c>
      <c r="N1273">
        <v>10.3</v>
      </c>
      <c r="O1273">
        <v>3.7</v>
      </c>
      <c r="P1273">
        <v>4.5999999999999996</v>
      </c>
      <c r="Q1273" t="s">
        <v>39</v>
      </c>
    </row>
    <row r="1274" spans="1:17" x14ac:dyDescent="0.3">
      <c r="A1274" t="s">
        <v>1913</v>
      </c>
      <c r="B1274" s="2">
        <v>45901</v>
      </c>
      <c r="C1274" t="s">
        <v>26</v>
      </c>
      <c r="D1274" t="s">
        <v>69</v>
      </c>
      <c r="E1274" t="s">
        <v>48</v>
      </c>
      <c r="F1274" t="s">
        <v>1743</v>
      </c>
      <c r="G1274" t="s">
        <v>30</v>
      </c>
      <c r="J1274">
        <v>0</v>
      </c>
      <c r="K1274">
        <v>0</v>
      </c>
      <c r="L1274">
        <v>0</v>
      </c>
      <c r="M1274">
        <v>1</v>
      </c>
      <c r="N1274">
        <v>0.4</v>
      </c>
      <c r="O1274">
        <v>7.7</v>
      </c>
      <c r="P1274">
        <v>3.5</v>
      </c>
      <c r="Q1274" t="s">
        <v>225</v>
      </c>
    </row>
    <row r="1275" spans="1:17" x14ac:dyDescent="0.3">
      <c r="A1275" t="s">
        <v>1914</v>
      </c>
      <c r="B1275" s="2">
        <v>46122</v>
      </c>
      <c r="C1275" t="s">
        <v>18</v>
      </c>
      <c r="D1275" t="s">
        <v>105</v>
      </c>
      <c r="E1275" t="s">
        <v>20</v>
      </c>
      <c r="F1275" t="s">
        <v>1129</v>
      </c>
      <c r="G1275" t="s">
        <v>30</v>
      </c>
      <c r="H1275" t="s">
        <v>86</v>
      </c>
      <c r="I1275" t="s">
        <v>79</v>
      </c>
      <c r="J1275">
        <v>1</v>
      </c>
      <c r="K1275">
        <v>12800</v>
      </c>
      <c r="L1275">
        <v>0</v>
      </c>
      <c r="N1275">
        <v>6.9</v>
      </c>
      <c r="Q1275" t="s">
        <v>79</v>
      </c>
    </row>
    <row r="1276" spans="1:17" x14ac:dyDescent="0.3">
      <c r="A1276" t="s">
        <v>1915</v>
      </c>
      <c r="B1276" s="2">
        <v>45996</v>
      </c>
      <c r="C1276" t="s">
        <v>18</v>
      </c>
      <c r="D1276" t="s">
        <v>117</v>
      </c>
      <c r="E1276" t="s">
        <v>42</v>
      </c>
      <c r="F1276" t="s">
        <v>1609</v>
      </c>
      <c r="G1276" t="s">
        <v>22</v>
      </c>
      <c r="H1276" t="s">
        <v>78</v>
      </c>
      <c r="I1276" t="s">
        <v>89</v>
      </c>
      <c r="J1276">
        <v>1</v>
      </c>
      <c r="K1276">
        <v>32700</v>
      </c>
      <c r="L1276">
        <v>0</v>
      </c>
      <c r="N1276">
        <v>9.8000000000000007</v>
      </c>
      <c r="Q1276" t="s">
        <v>89</v>
      </c>
    </row>
    <row r="1277" spans="1:17" x14ac:dyDescent="0.3">
      <c r="A1277" t="s">
        <v>1916</v>
      </c>
      <c r="B1277" s="2">
        <v>46213</v>
      </c>
      <c r="C1277" t="s">
        <v>18</v>
      </c>
      <c r="D1277" t="s">
        <v>95</v>
      </c>
      <c r="E1277" t="s">
        <v>20</v>
      </c>
      <c r="F1277" t="s">
        <v>820</v>
      </c>
      <c r="G1277" t="s">
        <v>22</v>
      </c>
      <c r="H1277" t="s">
        <v>23</v>
      </c>
      <c r="I1277" t="s">
        <v>24</v>
      </c>
      <c r="J1277">
        <v>1</v>
      </c>
      <c r="K1277">
        <v>26400</v>
      </c>
      <c r="L1277">
        <v>26400</v>
      </c>
      <c r="N1277">
        <v>0.7</v>
      </c>
      <c r="Q1277" t="s">
        <v>24</v>
      </c>
    </row>
    <row r="1278" spans="1:17" x14ac:dyDescent="0.3">
      <c r="A1278" t="s">
        <v>1917</v>
      </c>
      <c r="B1278" s="2">
        <v>46166</v>
      </c>
      <c r="C1278" t="s">
        <v>18</v>
      </c>
      <c r="D1278" t="s">
        <v>64</v>
      </c>
      <c r="E1278" t="s">
        <v>20</v>
      </c>
      <c r="F1278" t="s">
        <v>598</v>
      </c>
      <c r="G1278" t="s">
        <v>50</v>
      </c>
      <c r="H1278" t="s">
        <v>86</v>
      </c>
      <c r="I1278" t="s">
        <v>45</v>
      </c>
      <c r="J1278">
        <v>1</v>
      </c>
      <c r="K1278">
        <v>38800</v>
      </c>
      <c r="L1278">
        <v>0</v>
      </c>
      <c r="N1278">
        <v>3</v>
      </c>
      <c r="Q1278" t="s">
        <v>45</v>
      </c>
    </row>
    <row r="1279" spans="1:17" x14ac:dyDescent="0.3">
      <c r="A1279" t="s">
        <v>1918</v>
      </c>
      <c r="B1279" s="2">
        <v>45943</v>
      </c>
      <c r="C1279" t="s">
        <v>26</v>
      </c>
      <c r="D1279" t="s">
        <v>114</v>
      </c>
      <c r="E1279" t="s">
        <v>28</v>
      </c>
      <c r="F1279" t="s">
        <v>1184</v>
      </c>
      <c r="G1279" t="s">
        <v>22</v>
      </c>
      <c r="J1279">
        <v>0</v>
      </c>
      <c r="K1279">
        <v>0</v>
      </c>
      <c r="L1279">
        <v>0</v>
      </c>
      <c r="M1279">
        <v>1</v>
      </c>
      <c r="N1279">
        <v>7.3</v>
      </c>
      <c r="O1279">
        <v>1.9</v>
      </c>
      <c r="P1279">
        <v>4.0999999999999996</v>
      </c>
      <c r="Q1279" t="s">
        <v>31</v>
      </c>
    </row>
    <row r="1280" spans="1:17" x14ac:dyDescent="0.3">
      <c r="A1280" t="s">
        <v>1919</v>
      </c>
      <c r="B1280" s="2">
        <v>46030</v>
      </c>
      <c r="C1280" t="s">
        <v>18</v>
      </c>
      <c r="D1280" t="s">
        <v>47</v>
      </c>
      <c r="E1280" t="s">
        <v>28</v>
      </c>
      <c r="F1280" t="s">
        <v>1920</v>
      </c>
      <c r="G1280" t="s">
        <v>22</v>
      </c>
      <c r="H1280" t="s">
        <v>86</v>
      </c>
      <c r="I1280" t="s">
        <v>24</v>
      </c>
      <c r="J1280">
        <v>1</v>
      </c>
      <c r="K1280">
        <v>46900</v>
      </c>
      <c r="L1280">
        <v>46900</v>
      </c>
      <c r="N1280">
        <v>18.100000000000001</v>
      </c>
      <c r="Q1280" t="s">
        <v>24</v>
      </c>
    </row>
    <row r="1281" spans="1:17" x14ac:dyDescent="0.3">
      <c r="A1281" t="s">
        <v>1921</v>
      </c>
      <c r="B1281" s="2">
        <v>45971</v>
      </c>
      <c r="C1281" t="s">
        <v>18</v>
      </c>
      <c r="D1281" t="s">
        <v>105</v>
      </c>
      <c r="E1281" t="s">
        <v>28</v>
      </c>
      <c r="F1281" t="s">
        <v>1201</v>
      </c>
      <c r="G1281" t="s">
        <v>44</v>
      </c>
      <c r="H1281" t="s">
        <v>78</v>
      </c>
      <c r="I1281" t="s">
        <v>24</v>
      </c>
      <c r="J1281">
        <v>1</v>
      </c>
      <c r="K1281">
        <v>12200</v>
      </c>
      <c r="L1281">
        <v>12200</v>
      </c>
      <c r="N1281">
        <v>17.3</v>
      </c>
      <c r="Q1281" t="s">
        <v>24</v>
      </c>
    </row>
    <row r="1282" spans="1:17" x14ac:dyDescent="0.3">
      <c r="A1282" t="s">
        <v>1922</v>
      </c>
      <c r="B1282" s="2">
        <v>46120</v>
      </c>
      <c r="C1282" t="s">
        <v>26</v>
      </c>
      <c r="D1282" t="s">
        <v>114</v>
      </c>
      <c r="E1282" t="s">
        <v>42</v>
      </c>
      <c r="F1282" t="s">
        <v>809</v>
      </c>
      <c r="G1282" t="s">
        <v>44</v>
      </c>
      <c r="J1282">
        <v>0</v>
      </c>
      <c r="K1282">
        <v>0</v>
      </c>
      <c r="L1282">
        <v>0</v>
      </c>
      <c r="M1282">
        <v>1</v>
      </c>
      <c r="N1282">
        <v>7.4</v>
      </c>
      <c r="O1282">
        <v>8.6999999999999993</v>
      </c>
      <c r="P1282">
        <v>4.5999999999999996</v>
      </c>
      <c r="Q1282" t="s">
        <v>31</v>
      </c>
    </row>
    <row r="1283" spans="1:17" x14ac:dyDescent="0.3">
      <c r="A1283" t="s">
        <v>1923</v>
      </c>
      <c r="B1283" s="2">
        <v>46175</v>
      </c>
      <c r="C1283" t="s">
        <v>26</v>
      </c>
      <c r="D1283" t="s">
        <v>232</v>
      </c>
      <c r="E1283" t="s">
        <v>48</v>
      </c>
      <c r="F1283" t="s">
        <v>971</v>
      </c>
      <c r="G1283" t="s">
        <v>44</v>
      </c>
      <c r="J1283">
        <v>0</v>
      </c>
      <c r="K1283">
        <v>0</v>
      </c>
      <c r="L1283">
        <v>0</v>
      </c>
      <c r="M1283">
        <v>1</v>
      </c>
      <c r="N1283">
        <v>8.6999999999999993</v>
      </c>
      <c r="O1283">
        <v>10.3</v>
      </c>
      <c r="P1283">
        <v>3.9</v>
      </c>
      <c r="Q1283" t="s">
        <v>39</v>
      </c>
    </row>
    <row r="1284" spans="1:17" x14ac:dyDescent="0.3">
      <c r="A1284" t="s">
        <v>1924</v>
      </c>
      <c r="B1284" s="2">
        <v>46202</v>
      </c>
      <c r="C1284" t="s">
        <v>26</v>
      </c>
      <c r="D1284" t="s">
        <v>126</v>
      </c>
      <c r="E1284" t="s">
        <v>20</v>
      </c>
      <c r="F1284" t="s">
        <v>182</v>
      </c>
      <c r="G1284" t="s">
        <v>30</v>
      </c>
      <c r="J1284">
        <v>0</v>
      </c>
      <c r="K1284">
        <v>0</v>
      </c>
      <c r="L1284">
        <v>0</v>
      </c>
      <c r="M1284">
        <v>1</v>
      </c>
      <c r="N1284">
        <v>5.3</v>
      </c>
      <c r="O1284">
        <v>4.3</v>
      </c>
      <c r="P1284">
        <v>3.7</v>
      </c>
      <c r="Q1284" t="s">
        <v>31</v>
      </c>
    </row>
    <row r="1285" spans="1:17" x14ac:dyDescent="0.3">
      <c r="A1285" t="s">
        <v>1925</v>
      </c>
      <c r="B1285" s="2">
        <v>45941</v>
      </c>
      <c r="C1285" t="s">
        <v>18</v>
      </c>
      <c r="D1285" t="s">
        <v>47</v>
      </c>
      <c r="E1285" t="s">
        <v>20</v>
      </c>
      <c r="F1285" t="s">
        <v>1926</v>
      </c>
      <c r="G1285" t="s">
        <v>30</v>
      </c>
      <c r="H1285" t="s">
        <v>23</v>
      </c>
      <c r="I1285" t="s">
        <v>24</v>
      </c>
      <c r="J1285">
        <v>1</v>
      </c>
      <c r="K1285">
        <v>22900</v>
      </c>
      <c r="L1285">
        <v>22900</v>
      </c>
      <c r="N1285">
        <v>3.3</v>
      </c>
      <c r="Q1285" t="s">
        <v>24</v>
      </c>
    </row>
    <row r="1286" spans="1:17" x14ac:dyDescent="0.3">
      <c r="A1286" t="s">
        <v>1927</v>
      </c>
      <c r="B1286" s="2">
        <v>46045</v>
      </c>
      <c r="C1286" t="s">
        <v>18</v>
      </c>
      <c r="D1286" t="s">
        <v>47</v>
      </c>
      <c r="E1286" t="s">
        <v>48</v>
      </c>
      <c r="F1286" t="s">
        <v>244</v>
      </c>
      <c r="G1286" t="s">
        <v>22</v>
      </c>
      <c r="H1286" t="s">
        <v>23</v>
      </c>
      <c r="I1286" t="s">
        <v>24</v>
      </c>
      <c r="J1286">
        <v>1</v>
      </c>
      <c r="K1286">
        <v>14700</v>
      </c>
      <c r="L1286">
        <v>14700</v>
      </c>
      <c r="N1286">
        <v>11.5</v>
      </c>
      <c r="Q1286" t="s">
        <v>24</v>
      </c>
    </row>
    <row r="1287" spans="1:17" x14ac:dyDescent="0.3">
      <c r="A1287" t="s">
        <v>1928</v>
      </c>
      <c r="B1287" s="2">
        <v>45915</v>
      </c>
      <c r="C1287" t="s">
        <v>18</v>
      </c>
      <c r="D1287" t="s">
        <v>64</v>
      </c>
      <c r="E1287" t="s">
        <v>48</v>
      </c>
      <c r="F1287" t="s">
        <v>1342</v>
      </c>
      <c r="G1287" t="s">
        <v>30</v>
      </c>
      <c r="H1287" t="s">
        <v>54</v>
      </c>
      <c r="I1287" t="s">
        <v>45</v>
      </c>
      <c r="J1287">
        <v>1</v>
      </c>
      <c r="K1287">
        <v>12700</v>
      </c>
      <c r="L1287">
        <v>0</v>
      </c>
      <c r="N1287">
        <v>4.9000000000000004</v>
      </c>
      <c r="Q1287" t="s">
        <v>45</v>
      </c>
    </row>
    <row r="1288" spans="1:17" x14ac:dyDescent="0.3">
      <c r="A1288" t="s">
        <v>1929</v>
      </c>
      <c r="B1288" s="2">
        <v>46045</v>
      </c>
      <c r="C1288" t="s">
        <v>18</v>
      </c>
      <c r="D1288" t="s">
        <v>47</v>
      </c>
      <c r="E1288" t="s">
        <v>48</v>
      </c>
      <c r="F1288" t="s">
        <v>476</v>
      </c>
      <c r="G1288" t="s">
        <v>22</v>
      </c>
      <c r="H1288" t="s">
        <v>23</v>
      </c>
      <c r="I1288" t="s">
        <v>55</v>
      </c>
      <c r="J1288">
        <v>1</v>
      </c>
      <c r="K1288">
        <v>23100</v>
      </c>
      <c r="L1288">
        <v>0</v>
      </c>
      <c r="N1288">
        <v>20</v>
      </c>
      <c r="Q1288" t="s">
        <v>55</v>
      </c>
    </row>
    <row r="1289" spans="1:17" x14ac:dyDescent="0.3">
      <c r="A1289" t="s">
        <v>1930</v>
      </c>
      <c r="B1289" s="2">
        <v>46063</v>
      </c>
      <c r="C1289" t="s">
        <v>18</v>
      </c>
      <c r="D1289" t="s">
        <v>41</v>
      </c>
      <c r="E1289" t="s">
        <v>20</v>
      </c>
      <c r="F1289" t="s">
        <v>981</v>
      </c>
      <c r="G1289" t="s">
        <v>44</v>
      </c>
      <c r="H1289" t="s">
        <v>54</v>
      </c>
      <c r="I1289" t="s">
        <v>24</v>
      </c>
      <c r="J1289">
        <v>1</v>
      </c>
      <c r="K1289">
        <v>20800</v>
      </c>
      <c r="L1289">
        <v>20800</v>
      </c>
      <c r="N1289">
        <v>12.6</v>
      </c>
      <c r="Q1289" t="s">
        <v>24</v>
      </c>
    </row>
    <row r="1290" spans="1:17" x14ac:dyDescent="0.3">
      <c r="A1290" t="s">
        <v>1931</v>
      </c>
      <c r="B1290" s="2">
        <v>46157</v>
      </c>
      <c r="C1290" t="s">
        <v>18</v>
      </c>
      <c r="D1290" t="s">
        <v>117</v>
      </c>
      <c r="E1290" t="s">
        <v>20</v>
      </c>
      <c r="F1290" t="s">
        <v>160</v>
      </c>
      <c r="G1290" t="s">
        <v>30</v>
      </c>
      <c r="H1290" t="s">
        <v>78</v>
      </c>
      <c r="I1290" t="s">
        <v>89</v>
      </c>
      <c r="J1290">
        <v>1</v>
      </c>
      <c r="K1290">
        <v>11400</v>
      </c>
      <c r="L1290">
        <v>0</v>
      </c>
      <c r="N1290">
        <v>19.8</v>
      </c>
      <c r="Q1290" t="s">
        <v>89</v>
      </c>
    </row>
    <row r="1291" spans="1:17" x14ac:dyDescent="0.3">
      <c r="A1291" t="s">
        <v>1932</v>
      </c>
      <c r="B1291" s="2">
        <v>46173</v>
      </c>
      <c r="C1291" t="s">
        <v>18</v>
      </c>
      <c r="D1291" t="s">
        <v>19</v>
      </c>
      <c r="E1291" t="s">
        <v>48</v>
      </c>
      <c r="F1291" t="s">
        <v>517</v>
      </c>
      <c r="G1291" t="s">
        <v>30</v>
      </c>
      <c r="H1291" t="s">
        <v>78</v>
      </c>
      <c r="I1291" t="s">
        <v>45</v>
      </c>
      <c r="J1291">
        <v>1</v>
      </c>
      <c r="K1291">
        <v>15200</v>
      </c>
      <c r="L1291">
        <v>0</v>
      </c>
      <c r="N1291">
        <v>4.7</v>
      </c>
      <c r="Q1291" t="s">
        <v>45</v>
      </c>
    </row>
    <row r="1292" spans="1:17" x14ac:dyDescent="0.3">
      <c r="A1292" t="s">
        <v>1933</v>
      </c>
      <c r="B1292" s="2">
        <v>46225</v>
      </c>
      <c r="C1292" t="s">
        <v>18</v>
      </c>
      <c r="D1292" t="s">
        <v>52</v>
      </c>
      <c r="E1292" t="s">
        <v>48</v>
      </c>
      <c r="F1292" t="s">
        <v>542</v>
      </c>
      <c r="G1292" t="s">
        <v>30</v>
      </c>
      <c r="H1292" t="s">
        <v>23</v>
      </c>
      <c r="I1292" t="s">
        <v>55</v>
      </c>
      <c r="J1292">
        <v>1</v>
      </c>
      <c r="K1292">
        <v>21200</v>
      </c>
      <c r="L1292">
        <v>0</v>
      </c>
      <c r="N1292">
        <v>16.7</v>
      </c>
      <c r="Q1292" t="s">
        <v>55</v>
      </c>
    </row>
    <row r="1293" spans="1:17" x14ac:dyDescent="0.3">
      <c r="A1293" t="s">
        <v>1934</v>
      </c>
      <c r="B1293" s="2">
        <v>46170</v>
      </c>
      <c r="C1293" t="s">
        <v>18</v>
      </c>
      <c r="D1293" t="s">
        <v>52</v>
      </c>
      <c r="E1293" t="s">
        <v>20</v>
      </c>
      <c r="F1293" t="s">
        <v>106</v>
      </c>
      <c r="G1293" t="s">
        <v>22</v>
      </c>
      <c r="H1293" t="s">
        <v>23</v>
      </c>
      <c r="I1293" t="s">
        <v>24</v>
      </c>
      <c r="J1293">
        <v>1</v>
      </c>
      <c r="K1293">
        <v>18800</v>
      </c>
      <c r="L1293">
        <v>18800</v>
      </c>
      <c r="N1293">
        <v>23</v>
      </c>
      <c r="Q1293" t="s">
        <v>24</v>
      </c>
    </row>
    <row r="1294" spans="1:17" x14ac:dyDescent="0.3">
      <c r="A1294" t="s">
        <v>1935</v>
      </c>
      <c r="B1294" s="2">
        <v>46253</v>
      </c>
      <c r="C1294" t="s">
        <v>26</v>
      </c>
      <c r="D1294" t="s">
        <v>36</v>
      </c>
      <c r="E1294" t="s">
        <v>20</v>
      </c>
      <c r="F1294" t="s">
        <v>998</v>
      </c>
      <c r="G1294" t="s">
        <v>30</v>
      </c>
      <c r="J1294">
        <v>0</v>
      </c>
      <c r="K1294">
        <v>0</v>
      </c>
      <c r="L1294">
        <v>0</v>
      </c>
      <c r="M1294">
        <v>1</v>
      </c>
      <c r="N1294">
        <v>8.1</v>
      </c>
      <c r="O1294">
        <v>2.1</v>
      </c>
      <c r="P1294">
        <v>5</v>
      </c>
      <c r="Q1294" t="s">
        <v>39</v>
      </c>
    </row>
    <row r="1295" spans="1:17" x14ac:dyDescent="0.3">
      <c r="A1295" t="s">
        <v>1936</v>
      </c>
      <c r="B1295" s="2">
        <v>46073</v>
      </c>
      <c r="C1295" t="s">
        <v>26</v>
      </c>
      <c r="D1295" t="s">
        <v>33</v>
      </c>
      <c r="E1295" t="s">
        <v>37</v>
      </c>
      <c r="F1295" t="s">
        <v>1088</v>
      </c>
      <c r="G1295" t="s">
        <v>22</v>
      </c>
      <c r="J1295">
        <v>0</v>
      </c>
      <c r="K1295">
        <v>0</v>
      </c>
      <c r="L1295">
        <v>0</v>
      </c>
      <c r="M1295">
        <v>1</v>
      </c>
      <c r="N1295">
        <v>7.2</v>
      </c>
      <c r="O1295">
        <v>6.6</v>
      </c>
      <c r="P1295">
        <v>5</v>
      </c>
      <c r="Q1295" t="s">
        <v>62</v>
      </c>
    </row>
    <row r="1296" spans="1:17" x14ac:dyDescent="0.3">
      <c r="A1296" t="s">
        <v>1937</v>
      </c>
      <c r="B1296" s="2">
        <v>46243</v>
      </c>
      <c r="C1296" t="s">
        <v>26</v>
      </c>
      <c r="D1296" t="s">
        <v>69</v>
      </c>
      <c r="E1296" t="s">
        <v>20</v>
      </c>
      <c r="F1296" t="s">
        <v>1254</v>
      </c>
      <c r="G1296" t="s">
        <v>22</v>
      </c>
      <c r="J1296">
        <v>0</v>
      </c>
      <c r="K1296">
        <v>0</v>
      </c>
      <c r="L1296">
        <v>0</v>
      </c>
      <c r="M1296">
        <v>1</v>
      </c>
      <c r="N1296">
        <v>9.5</v>
      </c>
      <c r="O1296">
        <v>10.3</v>
      </c>
      <c r="P1296">
        <v>4</v>
      </c>
      <c r="Q1296" t="s">
        <v>62</v>
      </c>
    </row>
    <row r="1297" spans="1:17" x14ac:dyDescent="0.3">
      <c r="A1297" t="s">
        <v>1938</v>
      </c>
      <c r="B1297" s="2">
        <v>46124</v>
      </c>
      <c r="C1297" t="s">
        <v>18</v>
      </c>
      <c r="D1297" t="s">
        <v>19</v>
      </c>
      <c r="E1297" t="s">
        <v>48</v>
      </c>
      <c r="F1297" t="s">
        <v>939</v>
      </c>
      <c r="G1297" t="s">
        <v>50</v>
      </c>
      <c r="H1297" t="s">
        <v>54</v>
      </c>
      <c r="I1297" t="s">
        <v>89</v>
      </c>
      <c r="J1297">
        <v>1</v>
      </c>
      <c r="K1297">
        <v>11600</v>
      </c>
      <c r="L1297">
        <v>0</v>
      </c>
      <c r="N1297">
        <v>8.8000000000000007</v>
      </c>
      <c r="Q1297" t="s">
        <v>89</v>
      </c>
    </row>
    <row r="1298" spans="1:17" x14ac:dyDescent="0.3">
      <c r="A1298" t="s">
        <v>1939</v>
      </c>
      <c r="B1298" s="2">
        <v>46009</v>
      </c>
      <c r="C1298" t="s">
        <v>18</v>
      </c>
      <c r="D1298" t="s">
        <v>47</v>
      </c>
      <c r="E1298" t="s">
        <v>20</v>
      </c>
      <c r="F1298" t="s">
        <v>1940</v>
      </c>
      <c r="G1298" t="s">
        <v>44</v>
      </c>
      <c r="H1298" t="s">
        <v>78</v>
      </c>
      <c r="I1298" t="s">
        <v>79</v>
      </c>
      <c r="J1298">
        <v>1</v>
      </c>
      <c r="K1298">
        <v>17900</v>
      </c>
      <c r="L1298">
        <v>0</v>
      </c>
      <c r="N1298">
        <v>9.9</v>
      </c>
      <c r="Q1298" t="s">
        <v>79</v>
      </c>
    </row>
    <row r="1299" spans="1:17" x14ac:dyDescent="0.3">
      <c r="A1299" t="s">
        <v>1941</v>
      </c>
      <c r="B1299" s="2">
        <v>46079</v>
      </c>
      <c r="C1299" t="s">
        <v>18</v>
      </c>
      <c r="D1299" t="s">
        <v>41</v>
      </c>
      <c r="E1299" t="s">
        <v>20</v>
      </c>
      <c r="F1299" t="s">
        <v>771</v>
      </c>
      <c r="G1299" t="s">
        <v>30</v>
      </c>
      <c r="H1299" t="s">
        <v>54</v>
      </c>
      <c r="I1299" t="s">
        <v>55</v>
      </c>
      <c r="J1299">
        <v>1</v>
      </c>
      <c r="K1299">
        <v>6000</v>
      </c>
      <c r="L1299">
        <v>0</v>
      </c>
      <c r="N1299">
        <v>22.7</v>
      </c>
      <c r="Q1299" t="s">
        <v>55</v>
      </c>
    </row>
    <row r="1300" spans="1:17" x14ac:dyDescent="0.3">
      <c r="A1300" t="s">
        <v>1942</v>
      </c>
      <c r="B1300" s="2">
        <v>46209</v>
      </c>
      <c r="C1300" t="s">
        <v>26</v>
      </c>
      <c r="D1300" t="s">
        <v>114</v>
      </c>
      <c r="E1300" t="s">
        <v>20</v>
      </c>
      <c r="F1300" t="s">
        <v>499</v>
      </c>
      <c r="G1300" t="s">
        <v>44</v>
      </c>
      <c r="J1300">
        <v>0</v>
      </c>
      <c r="K1300">
        <v>0</v>
      </c>
      <c r="L1300">
        <v>0</v>
      </c>
      <c r="M1300">
        <v>1</v>
      </c>
      <c r="N1300">
        <v>8.1</v>
      </c>
      <c r="O1300">
        <v>5.9</v>
      </c>
      <c r="P1300">
        <v>3.8</v>
      </c>
      <c r="Q1300" t="s">
        <v>39</v>
      </c>
    </row>
    <row r="1301" spans="1:17" x14ac:dyDescent="0.3">
      <c r="A1301" t="s">
        <v>1943</v>
      </c>
      <c r="B1301" s="2">
        <v>46258</v>
      </c>
      <c r="C1301" t="s">
        <v>26</v>
      </c>
      <c r="D1301" t="s">
        <v>126</v>
      </c>
      <c r="E1301" t="s">
        <v>28</v>
      </c>
      <c r="F1301" t="s">
        <v>554</v>
      </c>
      <c r="G1301" t="s">
        <v>30</v>
      </c>
      <c r="J1301">
        <v>0</v>
      </c>
      <c r="K1301">
        <v>0</v>
      </c>
      <c r="L1301">
        <v>0</v>
      </c>
      <c r="M1301">
        <v>1</v>
      </c>
      <c r="N1301">
        <v>2.7</v>
      </c>
      <c r="O1301">
        <v>8.9</v>
      </c>
      <c r="P1301">
        <v>3.5</v>
      </c>
      <c r="Q1301" t="s">
        <v>62</v>
      </c>
    </row>
    <row r="1302" spans="1:17" x14ac:dyDescent="0.3">
      <c r="A1302" t="s">
        <v>1944</v>
      </c>
      <c r="B1302" s="2">
        <v>46015</v>
      </c>
      <c r="C1302" t="s">
        <v>18</v>
      </c>
      <c r="D1302" t="s">
        <v>95</v>
      </c>
      <c r="E1302" t="s">
        <v>20</v>
      </c>
      <c r="F1302" t="s">
        <v>154</v>
      </c>
      <c r="G1302" t="s">
        <v>44</v>
      </c>
      <c r="H1302" t="s">
        <v>78</v>
      </c>
      <c r="I1302" t="s">
        <v>67</v>
      </c>
      <c r="J1302">
        <v>1</v>
      </c>
      <c r="K1302">
        <v>20400</v>
      </c>
      <c r="L1302">
        <v>0</v>
      </c>
      <c r="N1302">
        <v>20</v>
      </c>
      <c r="Q1302" t="s">
        <v>67</v>
      </c>
    </row>
    <row r="1303" spans="1:17" x14ac:dyDescent="0.3">
      <c r="A1303" t="s">
        <v>1945</v>
      </c>
      <c r="B1303" s="2">
        <v>45927</v>
      </c>
      <c r="C1303" t="s">
        <v>26</v>
      </c>
      <c r="D1303" t="s">
        <v>114</v>
      </c>
      <c r="E1303" t="s">
        <v>28</v>
      </c>
      <c r="F1303" t="s">
        <v>663</v>
      </c>
      <c r="G1303" t="s">
        <v>22</v>
      </c>
      <c r="J1303">
        <v>0</v>
      </c>
      <c r="K1303">
        <v>0</v>
      </c>
      <c r="L1303">
        <v>0</v>
      </c>
      <c r="M1303">
        <v>1</v>
      </c>
      <c r="N1303">
        <v>11.5</v>
      </c>
      <c r="O1303">
        <v>3.7</v>
      </c>
      <c r="P1303">
        <v>5</v>
      </c>
      <c r="Q1303" t="s">
        <v>225</v>
      </c>
    </row>
    <row r="1304" spans="1:17" x14ac:dyDescent="0.3">
      <c r="A1304" t="s">
        <v>1946</v>
      </c>
      <c r="B1304" s="2">
        <v>46043</v>
      </c>
      <c r="C1304" t="s">
        <v>18</v>
      </c>
      <c r="D1304" t="s">
        <v>47</v>
      </c>
      <c r="E1304" t="s">
        <v>20</v>
      </c>
      <c r="F1304" t="s">
        <v>694</v>
      </c>
      <c r="G1304" t="s">
        <v>30</v>
      </c>
      <c r="H1304" t="s">
        <v>86</v>
      </c>
      <c r="I1304" t="s">
        <v>45</v>
      </c>
      <c r="J1304">
        <v>1</v>
      </c>
      <c r="K1304">
        <v>8500</v>
      </c>
      <c r="L1304">
        <v>0</v>
      </c>
      <c r="N1304">
        <v>22.9</v>
      </c>
      <c r="Q1304" t="s">
        <v>45</v>
      </c>
    </row>
    <row r="1305" spans="1:17" x14ac:dyDescent="0.3">
      <c r="A1305" t="s">
        <v>1947</v>
      </c>
      <c r="B1305" s="2">
        <v>45919</v>
      </c>
      <c r="C1305" t="s">
        <v>18</v>
      </c>
      <c r="D1305" t="s">
        <v>52</v>
      </c>
      <c r="E1305" t="s">
        <v>20</v>
      </c>
      <c r="F1305" t="s">
        <v>386</v>
      </c>
      <c r="G1305" t="s">
        <v>50</v>
      </c>
      <c r="H1305" t="s">
        <v>23</v>
      </c>
      <c r="I1305" t="s">
        <v>45</v>
      </c>
      <c r="J1305">
        <v>1</v>
      </c>
      <c r="K1305">
        <v>9800</v>
      </c>
      <c r="L1305">
        <v>0</v>
      </c>
      <c r="N1305">
        <v>3</v>
      </c>
      <c r="Q1305" t="s">
        <v>45</v>
      </c>
    </row>
    <row r="1306" spans="1:17" x14ac:dyDescent="0.3">
      <c r="A1306" t="s">
        <v>1948</v>
      </c>
      <c r="B1306" s="2">
        <v>46078</v>
      </c>
      <c r="C1306" t="s">
        <v>26</v>
      </c>
      <c r="D1306" t="s">
        <v>72</v>
      </c>
      <c r="E1306" t="s">
        <v>28</v>
      </c>
      <c r="F1306" t="s">
        <v>1949</v>
      </c>
      <c r="G1306" t="s">
        <v>22</v>
      </c>
      <c r="J1306">
        <v>0</v>
      </c>
      <c r="K1306">
        <v>0</v>
      </c>
      <c r="L1306">
        <v>0</v>
      </c>
      <c r="M1306">
        <v>1</v>
      </c>
      <c r="N1306">
        <v>4.0999999999999996</v>
      </c>
      <c r="O1306">
        <v>6</v>
      </c>
      <c r="P1306">
        <v>4.4000000000000004</v>
      </c>
      <c r="Q1306" t="s">
        <v>39</v>
      </c>
    </row>
    <row r="1307" spans="1:17" x14ac:dyDescent="0.3">
      <c r="A1307" t="s">
        <v>1950</v>
      </c>
      <c r="B1307" s="2">
        <v>46037</v>
      </c>
      <c r="C1307" t="s">
        <v>26</v>
      </c>
      <c r="D1307" t="s">
        <v>114</v>
      </c>
      <c r="E1307" t="s">
        <v>28</v>
      </c>
      <c r="F1307" t="s">
        <v>1392</v>
      </c>
      <c r="G1307" t="s">
        <v>30</v>
      </c>
      <c r="J1307">
        <v>0</v>
      </c>
      <c r="K1307">
        <v>0</v>
      </c>
      <c r="L1307">
        <v>0</v>
      </c>
      <c r="M1307">
        <v>1</v>
      </c>
      <c r="N1307">
        <v>9.8000000000000007</v>
      </c>
      <c r="O1307">
        <v>8.5</v>
      </c>
      <c r="P1307">
        <v>4.3</v>
      </c>
      <c r="Q1307" t="s">
        <v>62</v>
      </c>
    </row>
    <row r="1308" spans="1:17" x14ac:dyDescent="0.3">
      <c r="A1308" t="s">
        <v>1951</v>
      </c>
      <c r="B1308" s="2">
        <v>45976</v>
      </c>
      <c r="C1308" t="s">
        <v>26</v>
      </c>
      <c r="D1308" t="s">
        <v>232</v>
      </c>
      <c r="E1308" t="s">
        <v>20</v>
      </c>
      <c r="F1308" t="s">
        <v>268</v>
      </c>
      <c r="G1308" t="s">
        <v>44</v>
      </c>
      <c r="J1308">
        <v>0</v>
      </c>
      <c r="K1308">
        <v>0</v>
      </c>
      <c r="L1308">
        <v>0</v>
      </c>
      <c r="M1308">
        <v>1</v>
      </c>
      <c r="N1308">
        <v>3</v>
      </c>
      <c r="O1308">
        <v>14.8</v>
      </c>
      <c r="P1308">
        <v>3.8</v>
      </c>
      <c r="Q1308" t="s">
        <v>62</v>
      </c>
    </row>
    <row r="1309" spans="1:17" x14ac:dyDescent="0.3">
      <c r="A1309" t="s">
        <v>1952</v>
      </c>
      <c r="B1309" s="2">
        <v>46034</v>
      </c>
      <c r="C1309" t="s">
        <v>26</v>
      </c>
      <c r="D1309" t="s">
        <v>36</v>
      </c>
      <c r="E1309" t="s">
        <v>48</v>
      </c>
      <c r="F1309" t="s">
        <v>893</v>
      </c>
      <c r="G1309" t="s">
        <v>30</v>
      </c>
      <c r="J1309">
        <v>0</v>
      </c>
      <c r="K1309">
        <v>0</v>
      </c>
      <c r="L1309">
        <v>0</v>
      </c>
      <c r="M1309">
        <v>1</v>
      </c>
      <c r="N1309">
        <v>11.3</v>
      </c>
      <c r="O1309">
        <v>3.9</v>
      </c>
      <c r="P1309">
        <v>2.7</v>
      </c>
      <c r="Q1309" t="s">
        <v>39</v>
      </c>
    </row>
    <row r="1310" spans="1:17" x14ac:dyDescent="0.3">
      <c r="A1310" t="s">
        <v>1953</v>
      </c>
      <c r="B1310" s="2">
        <v>46240</v>
      </c>
      <c r="C1310" t="s">
        <v>18</v>
      </c>
      <c r="D1310" t="s">
        <v>41</v>
      </c>
      <c r="E1310" t="s">
        <v>20</v>
      </c>
      <c r="F1310" t="s">
        <v>626</v>
      </c>
      <c r="G1310" t="s">
        <v>44</v>
      </c>
      <c r="H1310" t="s">
        <v>78</v>
      </c>
      <c r="I1310" t="s">
        <v>67</v>
      </c>
      <c r="J1310">
        <v>1</v>
      </c>
      <c r="K1310">
        <v>56100</v>
      </c>
      <c r="L1310">
        <v>0</v>
      </c>
      <c r="N1310">
        <v>17.399999999999999</v>
      </c>
      <c r="Q1310" t="s">
        <v>67</v>
      </c>
    </row>
    <row r="1311" spans="1:17" x14ac:dyDescent="0.3">
      <c r="A1311" t="s">
        <v>1954</v>
      </c>
      <c r="B1311" s="2">
        <v>45959</v>
      </c>
      <c r="C1311" t="s">
        <v>26</v>
      </c>
      <c r="D1311" t="s">
        <v>232</v>
      </c>
      <c r="E1311" t="s">
        <v>48</v>
      </c>
      <c r="F1311" t="s">
        <v>1074</v>
      </c>
      <c r="G1311" t="s">
        <v>30</v>
      </c>
      <c r="J1311">
        <v>0</v>
      </c>
      <c r="K1311">
        <v>0</v>
      </c>
      <c r="L1311">
        <v>0</v>
      </c>
      <c r="M1311">
        <v>1</v>
      </c>
      <c r="N1311">
        <v>10.8</v>
      </c>
      <c r="O1311">
        <v>13.6</v>
      </c>
      <c r="P1311">
        <v>3.1</v>
      </c>
      <c r="Q1311" t="s">
        <v>225</v>
      </c>
    </row>
    <row r="1312" spans="1:17" x14ac:dyDescent="0.3">
      <c r="A1312" t="s">
        <v>1955</v>
      </c>
      <c r="B1312" s="2">
        <v>45944</v>
      </c>
      <c r="C1312" t="s">
        <v>18</v>
      </c>
      <c r="D1312" t="s">
        <v>117</v>
      </c>
      <c r="E1312" t="s">
        <v>20</v>
      </c>
      <c r="F1312" t="s">
        <v>990</v>
      </c>
      <c r="G1312" t="s">
        <v>30</v>
      </c>
      <c r="H1312" t="s">
        <v>54</v>
      </c>
      <c r="I1312" t="s">
        <v>89</v>
      </c>
      <c r="J1312">
        <v>1</v>
      </c>
      <c r="K1312">
        <v>35800</v>
      </c>
      <c r="L1312">
        <v>0</v>
      </c>
      <c r="N1312">
        <v>14.7</v>
      </c>
      <c r="Q1312" t="s">
        <v>89</v>
      </c>
    </row>
    <row r="1313" spans="1:17" x14ac:dyDescent="0.3">
      <c r="A1313" t="s">
        <v>1956</v>
      </c>
      <c r="B1313" s="2">
        <v>45970</v>
      </c>
      <c r="C1313" t="s">
        <v>26</v>
      </c>
      <c r="D1313" t="s">
        <v>27</v>
      </c>
      <c r="E1313" t="s">
        <v>28</v>
      </c>
      <c r="F1313" t="s">
        <v>81</v>
      </c>
      <c r="G1313" t="s">
        <v>22</v>
      </c>
      <c r="J1313">
        <v>0</v>
      </c>
      <c r="K1313">
        <v>0</v>
      </c>
      <c r="L1313">
        <v>0</v>
      </c>
      <c r="M1313">
        <v>1</v>
      </c>
      <c r="N1313">
        <v>5.0999999999999996</v>
      </c>
      <c r="O1313">
        <v>12.1</v>
      </c>
      <c r="P1313">
        <v>3.9</v>
      </c>
      <c r="Q1313" t="s">
        <v>31</v>
      </c>
    </row>
    <row r="1314" spans="1:17" x14ac:dyDescent="0.3">
      <c r="A1314" t="s">
        <v>1957</v>
      </c>
      <c r="B1314" s="2">
        <v>46012</v>
      </c>
      <c r="C1314" t="s">
        <v>18</v>
      </c>
      <c r="D1314" t="s">
        <v>47</v>
      </c>
      <c r="E1314" t="s">
        <v>42</v>
      </c>
      <c r="F1314" t="s">
        <v>650</v>
      </c>
      <c r="G1314" t="s">
        <v>30</v>
      </c>
      <c r="H1314" t="s">
        <v>23</v>
      </c>
      <c r="I1314" t="s">
        <v>55</v>
      </c>
      <c r="J1314">
        <v>1</v>
      </c>
      <c r="K1314">
        <v>66700</v>
      </c>
      <c r="L1314">
        <v>0</v>
      </c>
      <c r="N1314">
        <v>23.3</v>
      </c>
      <c r="Q1314" t="s">
        <v>55</v>
      </c>
    </row>
    <row r="1315" spans="1:17" x14ac:dyDescent="0.3">
      <c r="A1315" t="s">
        <v>1958</v>
      </c>
      <c r="B1315" s="2">
        <v>46011</v>
      </c>
      <c r="C1315" t="s">
        <v>26</v>
      </c>
      <c r="D1315" t="s">
        <v>36</v>
      </c>
      <c r="E1315" t="s">
        <v>42</v>
      </c>
      <c r="F1315" t="s">
        <v>368</v>
      </c>
      <c r="G1315" t="s">
        <v>44</v>
      </c>
      <c r="J1315">
        <v>0</v>
      </c>
      <c r="K1315">
        <v>0</v>
      </c>
      <c r="L1315">
        <v>0</v>
      </c>
      <c r="M1315">
        <v>1</v>
      </c>
      <c r="N1315">
        <v>3.9</v>
      </c>
      <c r="O1315">
        <v>10.4</v>
      </c>
      <c r="P1315">
        <v>5</v>
      </c>
      <c r="Q1315" t="s">
        <v>39</v>
      </c>
    </row>
    <row r="1316" spans="1:17" x14ac:dyDescent="0.3">
      <c r="A1316" t="s">
        <v>1959</v>
      </c>
      <c r="B1316" s="2">
        <v>45920</v>
      </c>
      <c r="C1316" t="s">
        <v>18</v>
      </c>
      <c r="D1316" t="s">
        <v>47</v>
      </c>
      <c r="E1316" t="s">
        <v>20</v>
      </c>
      <c r="F1316" t="s">
        <v>342</v>
      </c>
      <c r="G1316" t="s">
        <v>22</v>
      </c>
      <c r="H1316" t="s">
        <v>86</v>
      </c>
      <c r="I1316" t="s">
        <v>45</v>
      </c>
      <c r="J1316">
        <v>1</v>
      </c>
      <c r="K1316">
        <v>12400</v>
      </c>
      <c r="L1316">
        <v>0</v>
      </c>
      <c r="N1316">
        <v>21.6</v>
      </c>
      <c r="Q1316" t="s">
        <v>45</v>
      </c>
    </row>
    <row r="1317" spans="1:17" x14ac:dyDescent="0.3">
      <c r="A1317" t="s">
        <v>1960</v>
      </c>
      <c r="B1317" s="2">
        <v>46213</v>
      </c>
      <c r="C1317" t="s">
        <v>26</v>
      </c>
      <c r="D1317" t="s">
        <v>232</v>
      </c>
      <c r="E1317" t="s">
        <v>20</v>
      </c>
      <c r="F1317" t="s">
        <v>1223</v>
      </c>
      <c r="G1317" t="s">
        <v>30</v>
      </c>
      <c r="J1317">
        <v>0</v>
      </c>
      <c r="K1317">
        <v>0</v>
      </c>
      <c r="L1317">
        <v>0</v>
      </c>
      <c r="M1317">
        <v>1</v>
      </c>
      <c r="N1317">
        <v>10</v>
      </c>
      <c r="O1317">
        <v>4.8</v>
      </c>
      <c r="P1317">
        <v>5</v>
      </c>
      <c r="Q1317" t="s">
        <v>62</v>
      </c>
    </row>
    <row r="1318" spans="1:17" x14ac:dyDescent="0.3">
      <c r="A1318" t="s">
        <v>1961</v>
      </c>
      <c r="B1318" s="2">
        <v>45967</v>
      </c>
      <c r="C1318" t="s">
        <v>18</v>
      </c>
      <c r="D1318" t="s">
        <v>47</v>
      </c>
      <c r="E1318" t="s">
        <v>42</v>
      </c>
      <c r="F1318" t="s">
        <v>270</v>
      </c>
      <c r="G1318" t="s">
        <v>44</v>
      </c>
      <c r="H1318" t="s">
        <v>23</v>
      </c>
      <c r="I1318" t="s">
        <v>79</v>
      </c>
      <c r="J1318">
        <v>1</v>
      </c>
      <c r="K1318">
        <v>26800</v>
      </c>
      <c r="L1318">
        <v>0</v>
      </c>
      <c r="N1318">
        <v>15.5</v>
      </c>
      <c r="Q1318" t="s">
        <v>79</v>
      </c>
    </row>
    <row r="1319" spans="1:17" x14ac:dyDescent="0.3">
      <c r="A1319" t="s">
        <v>1962</v>
      </c>
      <c r="B1319" s="2">
        <v>45904</v>
      </c>
      <c r="C1319" t="s">
        <v>26</v>
      </c>
      <c r="D1319" t="s">
        <v>36</v>
      </c>
      <c r="E1319" t="s">
        <v>20</v>
      </c>
      <c r="F1319" t="s">
        <v>1297</v>
      </c>
      <c r="G1319" t="s">
        <v>22</v>
      </c>
      <c r="J1319">
        <v>0</v>
      </c>
      <c r="K1319">
        <v>0</v>
      </c>
      <c r="L1319">
        <v>0</v>
      </c>
      <c r="M1319">
        <v>1</v>
      </c>
      <c r="N1319">
        <v>9.1999999999999993</v>
      </c>
      <c r="O1319">
        <v>9.5</v>
      </c>
      <c r="P1319">
        <v>3.1</v>
      </c>
      <c r="Q1319" t="s">
        <v>31</v>
      </c>
    </row>
    <row r="1320" spans="1:17" x14ac:dyDescent="0.3">
      <c r="A1320" t="s">
        <v>1963</v>
      </c>
      <c r="B1320" s="2">
        <v>46046</v>
      </c>
      <c r="C1320" t="s">
        <v>18</v>
      </c>
      <c r="D1320" t="s">
        <v>95</v>
      </c>
      <c r="E1320" t="s">
        <v>42</v>
      </c>
      <c r="F1320" t="s">
        <v>1964</v>
      </c>
      <c r="G1320" t="s">
        <v>22</v>
      </c>
      <c r="H1320" t="s">
        <v>78</v>
      </c>
      <c r="I1320" t="s">
        <v>55</v>
      </c>
      <c r="J1320">
        <v>1</v>
      </c>
      <c r="K1320">
        <v>6800</v>
      </c>
      <c r="L1320">
        <v>0</v>
      </c>
      <c r="N1320">
        <v>5.2</v>
      </c>
      <c r="Q1320" t="s">
        <v>55</v>
      </c>
    </row>
    <row r="1321" spans="1:17" x14ac:dyDescent="0.3">
      <c r="A1321" t="s">
        <v>1965</v>
      </c>
      <c r="B1321" s="2">
        <v>46243</v>
      </c>
      <c r="C1321" t="s">
        <v>18</v>
      </c>
      <c r="D1321" t="s">
        <v>117</v>
      </c>
      <c r="E1321" t="s">
        <v>20</v>
      </c>
      <c r="F1321" t="s">
        <v>366</v>
      </c>
      <c r="G1321" t="s">
        <v>30</v>
      </c>
      <c r="H1321" t="s">
        <v>78</v>
      </c>
      <c r="I1321" t="s">
        <v>55</v>
      </c>
      <c r="J1321">
        <v>1</v>
      </c>
      <c r="K1321">
        <v>23800</v>
      </c>
      <c r="L1321">
        <v>0</v>
      </c>
      <c r="N1321">
        <v>13.1</v>
      </c>
      <c r="Q1321" t="s">
        <v>55</v>
      </c>
    </row>
    <row r="1322" spans="1:17" x14ac:dyDescent="0.3">
      <c r="A1322" t="s">
        <v>1966</v>
      </c>
      <c r="B1322" s="2">
        <v>46208</v>
      </c>
      <c r="C1322" t="s">
        <v>18</v>
      </c>
      <c r="D1322" t="s">
        <v>95</v>
      </c>
      <c r="E1322" t="s">
        <v>37</v>
      </c>
      <c r="F1322" t="s">
        <v>220</v>
      </c>
      <c r="G1322" t="s">
        <v>30</v>
      </c>
      <c r="H1322" t="s">
        <v>78</v>
      </c>
      <c r="I1322" t="s">
        <v>79</v>
      </c>
      <c r="J1322">
        <v>1</v>
      </c>
      <c r="K1322">
        <v>18000</v>
      </c>
      <c r="L1322">
        <v>0</v>
      </c>
      <c r="N1322">
        <v>20.2</v>
      </c>
      <c r="Q1322" t="s">
        <v>79</v>
      </c>
    </row>
    <row r="1323" spans="1:17" x14ac:dyDescent="0.3">
      <c r="A1323" t="s">
        <v>1967</v>
      </c>
      <c r="B1323" s="2">
        <v>45976</v>
      </c>
      <c r="C1323" t="s">
        <v>18</v>
      </c>
      <c r="D1323" t="s">
        <v>41</v>
      </c>
      <c r="E1323" t="s">
        <v>37</v>
      </c>
      <c r="F1323" t="s">
        <v>805</v>
      </c>
      <c r="G1323" t="s">
        <v>50</v>
      </c>
      <c r="H1323" t="s">
        <v>54</v>
      </c>
      <c r="I1323" t="s">
        <v>67</v>
      </c>
      <c r="J1323">
        <v>1</v>
      </c>
      <c r="K1323">
        <v>19600</v>
      </c>
      <c r="L1323">
        <v>0</v>
      </c>
      <c r="N1323">
        <v>24</v>
      </c>
      <c r="Q1323" t="s">
        <v>67</v>
      </c>
    </row>
    <row r="1324" spans="1:17" x14ac:dyDescent="0.3">
      <c r="A1324" t="s">
        <v>1968</v>
      </c>
      <c r="B1324" s="2">
        <v>45926</v>
      </c>
      <c r="C1324" t="s">
        <v>26</v>
      </c>
      <c r="D1324" t="s">
        <v>72</v>
      </c>
      <c r="E1324" t="s">
        <v>20</v>
      </c>
      <c r="F1324" t="s">
        <v>1969</v>
      </c>
      <c r="G1324" t="s">
        <v>30</v>
      </c>
      <c r="J1324">
        <v>0</v>
      </c>
      <c r="K1324">
        <v>0</v>
      </c>
      <c r="L1324">
        <v>0</v>
      </c>
      <c r="M1324">
        <v>1</v>
      </c>
      <c r="N1324">
        <v>3</v>
      </c>
      <c r="O1324">
        <v>2.2999999999999998</v>
      </c>
      <c r="P1324">
        <v>4.5999999999999996</v>
      </c>
      <c r="Q1324" t="s">
        <v>39</v>
      </c>
    </row>
    <row r="1325" spans="1:17" x14ac:dyDescent="0.3">
      <c r="A1325" t="s">
        <v>1970</v>
      </c>
      <c r="B1325" s="2">
        <v>46192</v>
      </c>
      <c r="C1325" t="s">
        <v>18</v>
      </c>
      <c r="D1325" t="s">
        <v>52</v>
      </c>
      <c r="E1325" t="s">
        <v>37</v>
      </c>
      <c r="F1325" t="s">
        <v>1481</v>
      </c>
      <c r="G1325" t="s">
        <v>44</v>
      </c>
      <c r="H1325" t="s">
        <v>23</v>
      </c>
      <c r="I1325" t="s">
        <v>55</v>
      </c>
      <c r="J1325">
        <v>1</v>
      </c>
      <c r="K1325">
        <v>77200</v>
      </c>
      <c r="L1325">
        <v>0</v>
      </c>
      <c r="N1325">
        <v>9.5</v>
      </c>
      <c r="Q1325" t="s">
        <v>55</v>
      </c>
    </row>
    <row r="1326" spans="1:17" x14ac:dyDescent="0.3">
      <c r="A1326" t="s">
        <v>1971</v>
      </c>
      <c r="B1326" s="2">
        <v>46036</v>
      </c>
      <c r="C1326" t="s">
        <v>26</v>
      </c>
      <c r="D1326" t="s">
        <v>114</v>
      </c>
      <c r="E1326" t="s">
        <v>37</v>
      </c>
      <c r="F1326" t="s">
        <v>1972</v>
      </c>
      <c r="G1326" t="s">
        <v>22</v>
      </c>
      <c r="J1326">
        <v>0</v>
      </c>
      <c r="K1326">
        <v>0</v>
      </c>
      <c r="L1326">
        <v>0</v>
      </c>
      <c r="M1326">
        <v>1</v>
      </c>
      <c r="N1326">
        <v>6.6</v>
      </c>
      <c r="O1326">
        <v>10.199999999999999</v>
      </c>
      <c r="P1326">
        <v>4.2</v>
      </c>
      <c r="Q1326" t="s">
        <v>31</v>
      </c>
    </row>
    <row r="1327" spans="1:17" x14ac:dyDescent="0.3">
      <c r="A1327" t="s">
        <v>1973</v>
      </c>
      <c r="B1327" s="2">
        <v>46262</v>
      </c>
      <c r="C1327" t="s">
        <v>18</v>
      </c>
      <c r="D1327" t="s">
        <v>105</v>
      </c>
      <c r="E1327" t="s">
        <v>37</v>
      </c>
      <c r="F1327" t="s">
        <v>417</v>
      </c>
      <c r="G1327" t="s">
        <v>22</v>
      </c>
      <c r="H1327" t="s">
        <v>23</v>
      </c>
      <c r="I1327" t="s">
        <v>45</v>
      </c>
      <c r="J1327">
        <v>1</v>
      </c>
      <c r="K1327">
        <v>10400</v>
      </c>
      <c r="L1327">
        <v>0</v>
      </c>
      <c r="N1327">
        <v>0.6</v>
      </c>
      <c r="Q1327" t="s">
        <v>45</v>
      </c>
    </row>
    <row r="1328" spans="1:17" x14ac:dyDescent="0.3">
      <c r="A1328" t="s">
        <v>1974</v>
      </c>
      <c r="B1328" s="2">
        <v>46031</v>
      </c>
      <c r="C1328" t="s">
        <v>18</v>
      </c>
      <c r="D1328" t="s">
        <v>95</v>
      </c>
      <c r="E1328" t="s">
        <v>20</v>
      </c>
      <c r="F1328" t="s">
        <v>807</v>
      </c>
      <c r="G1328" t="s">
        <v>50</v>
      </c>
      <c r="H1328" t="s">
        <v>23</v>
      </c>
      <c r="I1328" t="s">
        <v>79</v>
      </c>
      <c r="J1328">
        <v>1</v>
      </c>
      <c r="K1328">
        <v>38400</v>
      </c>
      <c r="L1328">
        <v>0</v>
      </c>
      <c r="N1328">
        <v>19.5</v>
      </c>
      <c r="Q1328" t="s">
        <v>79</v>
      </c>
    </row>
    <row r="1329" spans="1:17" x14ac:dyDescent="0.3">
      <c r="A1329" t="s">
        <v>1975</v>
      </c>
      <c r="B1329" s="2">
        <v>46089</v>
      </c>
      <c r="C1329" t="s">
        <v>26</v>
      </c>
      <c r="D1329" t="s">
        <v>33</v>
      </c>
      <c r="E1329" t="s">
        <v>42</v>
      </c>
      <c r="F1329" t="s">
        <v>282</v>
      </c>
      <c r="G1329" t="s">
        <v>22</v>
      </c>
      <c r="J1329">
        <v>0</v>
      </c>
      <c r="K1329">
        <v>0</v>
      </c>
      <c r="L1329">
        <v>0</v>
      </c>
      <c r="M1329">
        <v>1</v>
      </c>
      <c r="N1329">
        <v>5.6</v>
      </c>
      <c r="O1329">
        <v>3.9</v>
      </c>
      <c r="P1329">
        <v>3.6</v>
      </c>
      <c r="Q1329" t="s">
        <v>39</v>
      </c>
    </row>
    <row r="1330" spans="1:17" x14ac:dyDescent="0.3">
      <c r="A1330" t="s">
        <v>1976</v>
      </c>
      <c r="B1330" s="2">
        <v>46107</v>
      </c>
      <c r="C1330" t="s">
        <v>26</v>
      </c>
      <c r="D1330" t="s">
        <v>114</v>
      </c>
      <c r="E1330" t="s">
        <v>20</v>
      </c>
      <c r="F1330" t="s">
        <v>1977</v>
      </c>
      <c r="G1330" t="s">
        <v>30</v>
      </c>
      <c r="J1330">
        <v>0</v>
      </c>
      <c r="K1330">
        <v>0</v>
      </c>
      <c r="L1330">
        <v>0</v>
      </c>
      <c r="M1330">
        <v>1</v>
      </c>
      <c r="N1330">
        <v>10.9</v>
      </c>
      <c r="O1330">
        <v>2.7</v>
      </c>
      <c r="P1330">
        <v>4.2</v>
      </c>
      <c r="Q1330" t="s">
        <v>39</v>
      </c>
    </row>
    <row r="1331" spans="1:17" x14ac:dyDescent="0.3">
      <c r="A1331" t="s">
        <v>1978</v>
      </c>
      <c r="B1331" s="2">
        <v>46180</v>
      </c>
      <c r="C1331" t="s">
        <v>18</v>
      </c>
      <c r="D1331" t="s">
        <v>117</v>
      </c>
      <c r="E1331" t="s">
        <v>20</v>
      </c>
      <c r="F1331" t="s">
        <v>505</v>
      </c>
      <c r="G1331" t="s">
        <v>22</v>
      </c>
      <c r="H1331" t="s">
        <v>54</v>
      </c>
      <c r="I1331" t="s">
        <v>24</v>
      </c>
      <c r="J1331">
        <v>1</v>
      </c>
      <c r="K1331">
        <v>31000</v>
      </c>
      <c r="L1331">
        <v>31000</v>
      </c>
      <c r="N1331">
        <v>3.9</v>
      </c>
      <c r="Q1331" t="s">
        <v>24</v>
      </c>
    </row>
    <row r="1332" spans="1:17" x14ac:dyDescent="0.3">
      <c r="A1332" t="s">
        <v>1979</v>
      </c>
      <c r="B1332" s="2">
        <v>46255</v>
      </c>
      <c r="C1332" t="s">
        <v>26</v>
      </c>
      <c r="D1332" t="s">
        <v>72</v>
      </c>
      <c r="E1332" t="s">
        <v>20</v>
      </c>
      <c r="F1332" t="s">
        <v>1059</v>
      </c>
      <c r="G1332" t="s">
        <v>22</v>
      </c>
      <c r="J1332">
        <v>0</v>
      </c>
      <c r="K1332">
        <v>0</v>
      </c>
      <c r="L1332">
        <v>0</v>
      </c>
      <c r="M1332">
        <v>1</v>
      </c>
      <c r="N1332">
        <v>0.4</v>
      </c>
      <c r="O1332">
        <v>8.6999999999999993</v>
      </c>
      <c r="P1332">
        <v>4.2</v>
      </c>
      <c r="Q1332" t="s">
        <v>225</v>
      </c>
    </row>
    <row r="1333" spans="1:17" x14ac:dyDescent="0.3">
      <c r="A1333" t="s">
        <v>1980</v>
      </c>
      <c r="B1333" s="2">
        <v>46051</v>
      </c>
      <c r="C1333" t="s">
        <v>26</v>
      </c>
      <c r="D1333" t="s">
        <v>232</v>
      </c>
      <c r="E1333" t="s">
        <v>28</v>
      </c>
      <c r="F1333" t="s">
        <v>168</v>
      </c>
      <c r="G1333" t="s">
        <v>30</v>
      </c>
      <c r="J1333">
        <v>0</v>
      </c>
      <c r="K1333">
        <v>0</v>
      </c>
      <c r="L1333">
        <v>0</v>
      </c>
      <c r="M1333">
        <v>1</v>
      </c>
      <c r="N1333">
        <v>0.4</v>
      </c>
      <c r="O1333">
        <v>13.2</v>
      </c>
      <c r="P1333">
        <v>3.2</v>
      </c>
      <c r="Q1333" t="s">
        <v>225</v>
      </c>
    </row>
    <row r="1334" spans="1:17" x14ac:dyDescent="0.3">
      <c r="A1334" t="s">
        <v>1981</v>
      </c>
      <c r="B1334" s="2">
        <v>46007</v>
      </c>
      <c r="C1334" t="s">
        <v>18</v>
      </c>
      <c r="D1334" t="s">
        <v>117</v>
      </c>
      <c r="E1334" t="s">
        <v>20</v>
      </c>
      <c r="F1334" t="s">
        <v>1982</v>
      </c>
      <c r="G1334" t="s">
        <v>30</v>
      </c>
      <c r="H1334" t="s">
        <v>23</v>
      </c>
      <c r="I1334" t="s">
        <v>55</v>
      </c>
      <c r="J1334">
        <v>1</v>
      </c>
      <c r="K1334">
        <v>10300</v>
      </c>
      <c r="L1334">
        <v>0</v>
      </c>
      <c r="N1334">
        <v>3.1</v>
      </c>
      <c r="Q1334" t="s">
        <v>55</v>
      </c>
    </row>
    <row r="1335" spans="1:17" x14ac:dyDescent="0.3">
      <c r="A1335" t="s">
        <v>1983</v>
      </c>
      <c r="B1335" s="2">
        <v>46150</v>
      </c>
      <c r="C1335" t="s">
        <v>26</v>
      </c>
      <c r="D1335" t="s">
        <v>33</v>
      </c>
      <c r="E1335" t="s">
        <v>48</v>
      </c>
      <c r="F1335" t="s">
        <v>638</v>
      </c>
      <c r="G1335" t="s">
        <v>44</v>
      </c>
      <c r="J1335">
        <v>0</v>
      </c>
      <c r="K1335">
        <v>0</v>
      </c>
      <c r="L1335">
        <v>0</v>
      </c>
      <c r="M1335">
        <v>1</v>
      </c>
      <c r="N1335">
        <v>3.2</v>
      </c>
      <c r="O1335">
        <v>4.5999999999999996</v>
      </c>
      <c r="P1335">
        <v>3.2</v>
      </c>
      <c r="Q1335" t="s">
        <v>39</v>
      </c>
    </row>
    <row r="1336" spans="1:17" x14ac:dyDescent="0.3">
      <c r="A1336" t="s">
        <v>1984</v>
      </c>
      <c r="B1336" s="2">
        <v>46134</v>
      </c>
      <c r="C1336" t="s">
        <v>26</v>
      </c>
      <c r="D1336" t="s">
        <v>72</v>
      </c>
      <c r="E1336" t="s">
        <v>48</v>
      </c>
      <c r="F1336" t="s">
        <v>1304</v>
      </c>
      <c r="G1336" t="s">
        <v>22</v>
      </c>
      <c r="J1336">
        <v>0</v>
      </c>
      <c r="K1336">
        <v>0</v>
      </c>
      <c r="L1336">
        <v>0</v>
      </c>
      <c r="M1336">
        <v>1</v>
      </c>
      <c r="N1336">
        <v>6.5</v>
      </c>
      <c r="O1336">
        <v>32.5</v>
      </c>
      <c r="P1336">
        <v>4.9000000000000004</v>
      </c>
      <c r="Q1336" t="s">
        <v>39</v>
      </c>
    </row>
    <row r="1337" spans="1:17" x14ac:dyDescent="0.3">
      <c r="A1337" t="s">
        <v>1985</v>
      </c>
      <c r="B1337" s="2">
        <v>46145</v>
      </c>
      <c r="C1337" t="s">
        <v>26</v>
      </c>
      <c r="D1337" t="s">
        <v>232</v>
      </c>
      <c r="E1337" t="s">
        <v>28</v>
      </c>
      <c r="F1337" t="s">
        <v>308</v>
      </c>
      <c r="G1337" t="s">
        <v>50</v>
      </c>
      <c r="J1337">
        <v>0</v>
      </c>
      <c r="K1337">
        <v>0</v>
      </c>
      <c r="L1337">
        <v>0</v>
      </c>
      <c r="M1337">
        <v>1</v>
      </c>
      <c r="N1337">
        <v>0.8</v>
      </c>
      <c r="O1337">
        <v>27.7</v>
      </c>
      <c r="P1337">
        <v>5</v>
      </c>
      <c r="Q1337" t="s">
        <v>225</v>
      </c>
    </row>
    <row r="1338" spans="1:17" x14ac:dyDescent="0.3">
      <c r="A1338" t="s">
        <v>1986</v>
      </c>
      <c r="B1338" s="2">
        <v>46041</v>
      </c>
      <c r="C1338" t="s">
        <v>18</v>
      </c>
      <c r="D1338" t="s">
        <v>41</v>
      </c>
      <c r="E1338" t="s">
        <v>20</v>
      </c>
      <c r="F1338" t="s">
        <v>1706</v>
      </c>
      <c r="G1338" t="s">
        <v>44</v>
      </c>
      <c r="H1338" t="s">
        <v>23</v>
      </c>
      <c r="I1338" t="s">
        <v>24</v>
      </c>
      <c r="J1338">
        <v>1</v>
      </c>
      <c r="K1338">
        <v>6200</v>
      </c>
      <c r="L1338">
        <v>6200</v>
      </c>
      <c r="N1338">
        <v>11.6</v>
      </c>
      <c r="Q1338" t="s">
        <v>24</v>
      </c>
    </row>
    <row r="1339" spans="1:17" x14ac:dyDescent="0.3">
      <c r="A1339" t="s">
        <v>1987</v>
      </c>
      <c r="B1339" s="2">
        <v>45938</v>
      </c>
      <c r="C1339" t="s">
        <v>26</v>
      </c>
      <c r="D1339" t="s">
        <v>114</v>
      </c>
      <c r="E1339" t="s">
        <v>20</v>
      </c>
      <c r="F1339" t="s">
        <v>1988</v>
      </c>
      <c r="G1339" t="s">
        <v>50</v>
      </c>
      <c r="J1339">
        <v>0</v>
      </c>
      <c r="K1339">
        <v>0</v>
      </c>
      <c r="L1339">
        <v>0</v>
      </c>
      <c r="M1339">
        <v>1</v>
      </c>
      <c r="N1339">
        <v>11.2</v>
      </c>
      <c r="O1339">
        <v>5.3</v>
      </c>
      <c r="P1339">
        <v>3.6</v>
      </c>
      <c r="Q1339" t="s">
        <v>39</v>
      </c>
    </row>
    <row r="1340" spans="1:17" x14ac:dyDescent="0.3">
      <c r="A1340" t="s">
        <v>1989</v>
      </c>
      <c r="B1340" s="2">
        <v>46120</v>
      </c>
      <c r="C1340" t="s">
        <v>18</v>
      </c>
      <c r="D1340" t="s">
        <v>19</v>
      </c>
      <c r="E1340" t="s">
        <v>42</v>
      </c>
      <c r="F1340" t="s">
        <v>1108</v>
      </c>
      <c r="G1340" t="s">
        <v>30</v>
      </c>
      <c r="H1340" t="s">
        <v>86</v>
      </c>
      <c r="I1340" t="s">
        <v>55</v>
      </c>
      <c r="J1340">
        <v>1</v>
      </c>
      <c r="K1340">
        <v>19000</v>
      </c>
      <c r="L1340">
        <v>0</v>
      </c>
      <c r="N1340">
        <v>13.9</v>
      </c>
      <c r="Q1340" t="s">
        <v>55</v>
      </c>
    </row>
    <row r="1341" spans="1:17" x14ac:dyDescent="0.3">
      <c r="A1341" t="s">
        <v>1990</v>
      </c>
      <c r="B1341" s="2">
        <v>46226</v>
      </c>
      <c r="C1341" t="s">
        <v>18</v>
      </c>
      <c r="D1341" t="s">
        <v>105</v>
      </c>
      <c r="E1341" t="s">
        <v>20</v>
      </c>
      <c r="F1341" t="s">
        <v>1097</v>
      </c>
      <c r="G1341" t="s">
        <v>22</v>
      </c>
      <c r="H1341" t="s">
        <v>78</v>
      </c>
      <c r="I1341" t="s">
        <v>89</v>
      </c>
      <c r="J1341">
        <v>1</v>
      </c>
      <c r="K1341">
        <v>22100</v>
      </c>
      <c r="L1341">
        <v>0</v>
      </c>
      <c r="N1341">
        <v>13.6</v>
      </c>
      <c r="Q1341" t="s">
        <v>89</v>
      </c>
    </row>
    <row r="1342" spans="1:17" x14ac:dyDescent="0.3">
      <c r="A1342" t="s">
        <v>1991</v>
      </c>
      <c r="B1342" s="2">
        <v>46157</v>
      </c>
      <c r="C1342" t="s">
        <v>18</v>
      </c>
      <c r="D1342" t="s">
        <v>95</v>
      </c>
      <c r="E1342" t="s">
        <v>48</v>
      </c>
      <c r="F1342" t="s">
        <v>540</v>
      </c>
      <c r="G1342" t="s">
        <v>44</v>
      </c>
      <c r="H1342" t="s">
        <v>23</v>
      </c>
      <c r="I1342" t="s">
        <v>79</v>
      </c>
      <c r="J1342">
        <v>1</v>
      </c>
      <c r="K1342">
        <v>19000</v>
      </c>
      <c r="L1342">
        <v>0</v>
      </c>
      <c r="N1342">
        <v>2.5</v>
      </c>
      <c r="Q1342" t="s">
        <v>79</v>
      </c>
    </row>
    <row r="1343" spans="1:17" x14ac:dyDescent="0.3">
      <c r="A1343" t="s">
        <v>1992</v>
      </c>
      <c r="B1343" s="2">
        <v>45927</v>
      </c>
      <c r="C1343" t="s">
        <v>18</v>
      </c>
      <c r="D1343" t="s">
        <v>47</v>
      </c>
      <c r="E1343" t="s">
        <v>20</v>
      </c>
      <c r="F1343" t="s">
        <v>91</v>
      </c>
      <c r="G1343" t="s">
        <v>22</v>
      </c>
      <c r="H1343" t="s">
        <v>66</v>
      </c>
      <c r="I1343" t="s">
        <v>45</v>
      </c>
      <c r="J1343">
        <v>1</v>
      </c>
      <c r="K1343">
        <v>50500</v>
      </c>
      <c r="L1343">
        <v>0</v>
      </c>
      <c r="N1343">
        <v>20.2</v>
      </c>
      <c r="Q1343" t="s">
        <v>45</v>
      </c>
    </row>
    <row r="1344" spans="1:17" x14ac:dyDescent="0.3">
      <c r="A1344" t="s">
        <v>1993</v>
      </c>
      <c r="B1344" s="2">
        <v>46172</v>
      </c>
      <c r="C1344" t="s">
        <v>26</v>
      </c>
      <c r="D1344" t="s">
        <v>232</v>
      </c>
      <c r="E1344" t="s">
        <v>20</v>
      </c>
      <c r="F1344" t="s">
        <v>246</v>
      </c>
      <c r="G1344" t="s">
        <v>50</v>
      </c>
      <c r="J1344">
        <v>0</v>
      </c>
      <c r="K1344">
        <v>0</v>
      </c>
      <c r="L1344">
        <v>0</v>
      </c>
      <c r="M1344">
        <v>1</v>
      </c>
      <c r="N1344">
        <v>0.2</v>
      </c>
      <c r="O1344">
        <v>2.8</v>
      </c>
      <c r="P1344">
        <v>3.2</v>
      </c>
      <c r="Q1344" t="s">
        <v>62</v>
      </c>
    </row>
    <row r="1345" spans="1:17" x14ac:dyDescent="0.3">
      <c r="A1345" t="s">
        <v>1994</v>
      </c>
      <c r="B1345" s="2">
        <v>45942</v>
      </c>
      <c r="C1345" t="s">
        <v>26</v>
      </c>
      <c r="D1345" t="s">
        <v>27</v>
      </c>
      <c r="E1345" t="s">
        <v>20</v>
      </c>
      <c r="F1345" t="s">
        <v>451</v>
      </c>
      <c r="G1345" t="s">
        <v>22</v>
      </c>
      <c r="J1345">
        <v>0</v>
      </c>
      <c r="K1345">
        <v>0</v>
      </c>
      <c r="L1345">
        <v>0</v>
      </c>
      <c r="M1345">
        <v>1</v>
      </c>
      <c r="N1345">
        <v>5.2</v>
      </c>
      <c r="O1345">
        <v>10.1</v>
      </c>
      <c r="P1345">
        <v>3.5</v>
      </c>
      <c r="Q1345" t="s">
        <v>39</v>
      </c>
    </row>
    <row r="1346" spans="1:17" x14ac:dyDescent="0.3">
      <c r="A1346" t="s">
        <v>1995</v>
      </c>
      <c r="B1346" s="2">
        <v>46128</v>
      </c>
      <c r="C1346" t="s">
        <v>26</v>
      </c>
      <c r="D1346" t="s">
        <v>114</v>
      </c>
      <c r="E1346" t="s">
        <v>42</v>
      </c>
      <c r="F1346" t="s">
        <v>732</v>
      </c>
      <c r="G1346" t="s">
        <v>30</v>
      </c>
      <c r="J1346">
        <v>0</v>
      </c>
      <c r="K1346">
        <v>0</v>
      </c>
      <c r="L1346">
        <v>0</v>
      </c>
      <c r="M1346">
        <v>1</v>
      </c>
      <c r="N1346">
        <v>0.2</v>
      </c>
      <c r="O1346">
        <v>3.7</v>
      </c>
      <c r="P1346">
        <v>4.2</v>
      </c>
      <c r="Q1346" t="s">
        <v>39</v>
      </c>
    </row>
    <row r="1347" spans="1:17" x14ac:dyDescent="0.3">
      <c r="A1347" t="s">
        <v>1996</v>
      </c>
      <c r="B1347" s="2">
        <v>46131</v>
      </c>
      <c r="C1347" t="s">
        <v>18</v>
      </c>
      <c r="D1347" t="s">
        <v>47</v>
      </c>
      <c r="E1347" t="s">
        <v>20</v>
      </c>
      <c r="F1347" t="s">
        <v>621</v>
      </c>
      <c r="G1347" t="s">
        <v>30</v>
      </c>
      <c r="H1347" t="s">
        <v>54</v>
      </c>
      <c r="I1347" t="s">
        <v>24</v>
      </c>
      <c r="J1347">
        <v>1</v>
      </c>
      <c r="K1347">
        <v>6300</v>
      </c>
      <c r="L1347">
        <v>6300</v>
      </c>
      <c r="N1347">
        <v>10.9</v>
      </c>
      <c r="Q1347" t="s">
        <v>24</v>
      </c>
    </row>
    <row r="1348" spans="1:17" x14ac:dyDescent="0.3">
      <c r="A1348" t="s">
        <v>1997</v>
      </c>
      <c r="B1348" s="2">
        <v>46252</v>
      </c>
      <c r="C1348" t="s">
        <v>18</v>
      </c>
      <c r="D1348" t="s">
        <v>19</v>
      </c>
      <c r="E1348" t="s">
        <v>20</v>
      </c>
      <c r="F1348" t="s">
        <v>761</v>
      </c>
      <c r="G1348" t="s">
        <v>44</v>
      </c>
      <c r="H1348" t="s">
        <v>86</v>
      </c>
      <c r="I1348" t="s">
        <v>55</v>
      </c>
      <c r="J1348">
        <v>1</v>
      </c>
      <c r="K1348">
        <v>20700</v>
      </c>
      <c r="L1348">
        <v>0</v>
      </c>
      <c r="N1348">
        <v>5.0999999999999996</v>
      </c>
      <c r="Q1348" t="s">
        <v>55</v>
      </c>
    </row>
    <row r="1349" spans="1:17" x14ac:dyDescent="0.3">
      <c r="A1349" t="s">
        <v>1998</v>
      </c>
      <c r="B1349" s="2">
        <v>46126</v>
      </c>
      <c r="C1349" t="s">
        <v>18</v>
      </c>
      <c r="D1349" t="s">
        <v>19</v>
      </c>
      <c r="E1349" t="s">
        <v>37</v>
      </c>
      <c r="F1349" t="s">
        <v>838</v>
      </c>
      <c r="G1349" t="s">
        <v>22</v>
      </c>
      <c r="H1349" t="s">
        <v>66</v>
      </c>
      <c r="I1349" t="s">
        <v>24</v>
      </c>
      <c r="J1349">
        <v>1</v>
      </c>
      <c r="K1349">
        <v>15600</v>
      </c>
      <c r="L1349">
        <v>15600</v>
      </c>
      <c r="N1349">
        <v>23</v>
      </c>
      <c r="Q1349" t="s">
        <v>24</v>
      </c>
    </row>
    <row r="1350" spans="1:17" x14ac:dyDescent="0.3">
      <c r="A1350" t="s">
        <v>1999</v>
      </c>
      <c r="B1350" s="2">
        <v>46186</v>
      </c>
      <c r="C1350" t="s">
        <v>26</v>
      </c>
      <c r="D1350" t="s">
        <v>114</v>
      </c>
      <c r="E1350" t="s">
        <v>20</v>
      </c>
      <c r="F1350" t="s">
        <v>1028</v>
      </c>
      <c r="G1350" t="s">
        <v>22</v>
      </c>
      <c r="J1350">
        <v>0</v>
      </c>
      <c r="K1350">
        <v>0</v>
      </c>
      <c r="L1350">
        <v>0</v>
      </c>
      <c r="M1350">
        <v>1</v>
      </c>
      <c r="N1350">
        <v>5.0999999999999996</v>
      </c>
      <c r="O1350">
        <v>9</v>
      </c>
      <c r="P1350">
        <v>3.3</v>
      </c>
      <c r="Q1350" t="s">
        <v>31</v>
      </c>
    </row>
    <row r="1351" spans="1:17" x14ac:dyDescent="0.3">
      <c r="A1351" t="s">
        <v>2000</v>
      </c>
      <c r="B1351" s="2">
        <v>46021</v>
      </c>
      <c r="C1351" t="s">
        <v>18</v>
      </c>
      <c r="D1351" t="s">
        <v>19</v>
      </c>
      <c r="E1351" t="s">
        <v>48</v>
      </c>
      <c r="F1351" t="s">
        <v>2001</v>
      </c>
      <c r="G1351" t="s">
        <v>44</v>
      </c>
      <c r="H1351" t="s">
        <v>86</v>
      </c>
      <c r="I1351" t="s">
        <v>55</v>
      </c>
      <c r="J1351">
        <v>1</v>
      </c>
      <c r="K1351">
        <v>72200</v>
      </c>
      <c r="L1351">
        <v>0</v>
      </c>
      <c r="N1351">
        <v>10.9</v>
      </c>
      <c r="Q1351" t="s">
        <v>55</v>
      </c>
    </row>
    <row r="1352" spans="1:17" x14ac:dyDescent="0.3">
      <c r="A1352" t="s">
        <v>2002</v>
      </c>
      <c r="B1352" s="2">
        <v>45951</v>
      </c>
      <c r="C1352" t="s">
        <v>26</v>
      </c>
      <c r="D1352" t="s">
        <v>72</v>
      </c>
      <c r="E1352" t="s">
        <v>20</v>
      </c>
      <c r="F1352" t="s">
        <v>1429</v>
      </c>
      <c r="G1352" t="s">
        <v>22</v>
      </c>
      <c r="J1352">
        <v>0</v>
      </c>
      <c r="K1352">
        <v>0</v>
      </c>
      <c r="L1352">
        <v>0</v>
      </c>
      <c r="M1352">
        <v>1</v>
      </c>
      <c r="N1352">
        <v>4</v>
      </c>
      <c r="O1352">
        <v>4.2</v>
      </c>
      <c r="P1352">
        <v>4.4000000000000004</v>
      </c>
      <c r="Q1352" t="s">
        <v>39</v>
      </c>
    </row>
    <row r="1353" spans="1:17" x14ac:dyDescent="0.3">
      <c r="A1353" t="s">
        <v>2003</v>
      </c>
      <c r="B1353" s="2">
        <v>46213</v>
      </c>
      <c r="C1353" t="s">
        <v>26</v>
      </c>
      <c r="D1353" t="s">
        <v>126</v>
      </c>
      <c r="E1353" t="s">
        <v>37</v>
      </c>
      <c r="F1353" t="s">
        <v>1723</v>
      </c>
      <c r="G1353" t="s">
        <v>50</v>
      </c>
      <c r="J1353">
        <v>0</v>
      </c>
      <c r="K1353">
        <v>0</v>
      </c>
      <c r="L1353">
        <v>0</v>
      </c>
      <c r="M1353">
        <v>1</v>
      </c>
      <c r="N1353">
        <v>2.9</v>
      </c>
      <c r="O1353">
        <v>13.2</v>
      </c>
      <c r="P1353">
        <v>5</v>
      </c>
      <c r="Q1353" t="s">
        <v>39</v>
      </c>
    </row>
    <row r="1354" spans="1:17" x14ac:dyDescent="0.3">
      <c r="A1354" t="s">
        <v>2004</v>
      </c>
      <c r="B1354" s="2">
        <v>46121</v>
      </c>
      <c r="C1354" t="s">
        <v>18</v>
      </c>
      <c r="D1354" t="s">
        <v>117</v>
      </c>
      <c r="E1354" t="s">
        <v>42</v>
      </c>
      <c r="F1354" t="s">
        <v>2005</v>
      </c>
      <c r="G1354" t="s">
        <v>44</v>
      </c>
      <c r="H1354" t="s">
        <v>54</v>
      </c>
      <c r="I1354" t="s">
        <v>55</v>
      </c>
      <c r="J1354">
        <v>1</v>
      </c>
      <c r="K1354">
        <v>10100</v>
      </c>
      <c r="L1354">
        <v>0</v>
      </c>
      <c r="N1354">
        <v>5.9</v>
      </c>
      <c r="Q1354" t="s">
        <v>55</v>
      </c>
    </row>
    <row r="1355" spans="1:17" x14ac:dyDescent="0.3">
      <c r="A1355" t="s">
        <v>2006</v>
      </c>
      <c r="B1355" s="2">
        <v>46246</v>
      </c>
      <c r="C1355" t="s">
        <v>26</v>
      </c>
      <c r="D1355" t="s">
        <v>72</v>
      </c>
      <c r="E1355" t="s">
        <v>20</v>
      </c>
      <c r="F1355" t="s">
        <v>328</v>
      </c>
      <c r="G1355" t="s">
        <v>30</v>
      </c>
      <c r="J1355">
        <v>0</v>
      </c>
      <c r="K1355">
        <v>0</v>
      </c>
      <c r="L1355">
        <v>0</v>
      </c>
      <c r="M1355">
        <v>1</v>
      </c>
      <c r="N1355">
        <v>8.8000000000000007</v>
      </c>
      <c r="O1355">
        <v>13.8</v>
      </c>
      <c r="P1355">
        <v>3.2</v>
      </c>
      <c r="Q1355" t="s">
        <v>225</v>
      </c>
    </row>
    <row r="1356" spans="1:17" x14ac:dyDescent="0.3">
      <c r="A1356" t="s">
        <v>2007</v>
      </c>
      <c r="B1356" s="2">
        <v>46118</v>
      </c>
      <c r="C1356" t="s">
        <v>18</v>
      </c>
      <c r="D1356" t="s">
        <v>52</v>
      </c>
      <c r="E1356" t="s">
        <v>20</v>
      </c>
      <c r="F1356" t="s">
        <v>981</v>
      </c>
      <c r="G1356" t="s">
        <v>30</v>
      </c>
      <c r="H1356" t="s">
        <v>23</v>
      </c>
      <c r="I1356" t="s">
        <v>89</v>
      </c>
      <c r="J1356">
        <v>1</v>
      </c>
      <c r="K1356">
        <v>26100</v>
      </c>
      <c r="L1356">
        <v>0</v>
      </c>
      <c r="N1356">
        <v>4.8</v>
      </c>
      <c r="Q1356" t="s">
        <v>89</v>
      </c>
    </row>
    <row r="1357" spans="1:17" x14ac:dyDescent="0.3">
      <c r="A1357" t="s">
        <v>2008</v>
      </c>
      <c r="B1357" s="2">
        <v>46099</v>
      </c>
      <c r="C1357" t="s">
        <v>26</v>
      </c>
      <c r="D1357" t="s">
        <v>114</v>
      </c>
      <c r="E1357" t="s">
        <v>37</v>
      </c>
      <c r="F1357" t="s">
        <v>611</v>
      </c>
      <c r="G1357" t="s">
        <v>22</v>
      </c>
      <c r="J1357">
        <v>0</v>
      </c>
      <c r="K1357">
        <v>0</v>
      </c>
      <c r="L1357">
        <v>0</v>
      </c>
      <c r="M1357">
        <v>1</v>
      </c>
      <c r="N1357">
        <v>10.7</v>
      </c>
      <c r="O1357">
        <v>6.4</v>
      </c>
      <c r="P1357">
        <v>4</v>
      </c>
      <c r="Q1357" t="s">
        <v>39</v>
      </c>
    </row>
    <row r="1358" spans="1:17" x14ac:dyDescent="0.3">
      <c r="A1358" t="s">
        <v>2009</v>
      </c>
      <c r="B1358" s="2">
        <v>46229</v>
      </c>
      <c r="C1358" t="s">
        <v>26</v>
      </c>
      <c r="D1358" t="s">
        <v>27</v>
      </c>
      <c r="E1358" t="s">
        <v>20</v>
      </c>
      <c r="F1358" t="s">
        <v>1473</v>
      </c>
      <c r="G1358" t="s">
        <v>30</v>
      </c>
      <c r="J1358">
        <v>0</v>
      </c>
      <c r="K1358">
        <v>0</v>
      </c>
      <c r="L1358">
        <v>0</v>
      </c>
      <c r="M1358">
        <v>1</v>
      </c>
      <c r="N1358">
        <v>5.3</v>
      </c>
      <c r="O1358">
        <v>3</v>
      </c>
      <c r="P1358">
        <v>4.5</v>
      </c>
      <c r="Q1358" t="s">
        <v>39</v>
      </c>
    </row>
    <row r="1359" spans="1:17" x14ac:dyDescent="0.3">
      <c r="A1359" t="s">
        <v>2010</v>
      </c>
      <c r="B1359" s="2">
        <v>46238</v>
      </c>
      <c r="C1359" t="s">
        <v>18</v>
      </c>
      <c r="D1359" t="s">
        <v>117</v>
      </c>
      <c r="E1359" t="s">
        <v>37</v>
      </c>
      <c r="F1359" t="s">
        <v>887</v>
      </c>
      <c r="G1359" t="s">
        <v>50</v>
      </c>
      <c r="H1359" t="s">
        <v>66</v>
      </c>
      <c r="I1359" t="s">
        <v>55</v>
      </c>
      <c r="J1359">
        <v>1</v>
      </c>
      <c r="K1359">
        <v>25300</v>
      </c>
      <c r="L1359">
        <v>0</v>
      </c>
      <c r="N1359">
        <v>3.6</v>
      </c>
      <c r="Q1359" t="s">
        <v>55</v>
      </c>
    </row>
    <row r="1360" spans="1:17" x14ac:dyDescent="0.3">
      <c r="A1360" t="s">
        <v>2011</v>
      </c>
      <c r="B1360" s="2">
        <v>46154</v>
      </c>
      <c r="C1360" t="s">
        <v>18</v>
      </c>
      <c r="D1360" t="s">
        <v>52</v>
      </c>
      <c r="E1360" t="s">
        <v>20</v>
      </c>
      <c r="F1360" t="s">
        <v>222</v>
      </c>
      <c r="G1360" t="s">
        <v>22</v>
      </c>
      <c r="H1360" t="s">
        <v>86</v>
      </c>
      <c r="I1360" t="s">
        <v>89</v>
      </c>
      <c r="J1360">
        <v>1</v>
      </c>
      <c r="K1360">
        <v>7000</v>
      </c>
      <c r="L1360">
        <v>0</v>
      </c>
      <c r="N1360">
        <v>9.1999999999999993</v>
      </c>
      <c r="Q1360" t="s">
        <v>89</v>
      </c>
    </row>
    <row r="1361" spans="1:17" x14ac:dyDescent="0.3">
      <c r="A1361" t="s">
        <v>2012</v>
      </c>
      <c r="B1361" s="2">
        <v>45968</v>
      </c>
      <c r="C1361" t="s">
        <v>26</v>
      </c>
      <c r="D1361" t="s">
        <v>36</v>
      </c>
      <c r="E1361" t="s">
        <v>28</v>
      </c>
      <c r="F1361" t="s">
        <v>626</v>
      </c>
      <c r="G1361" t="s">
        <v>44</v>
      </c>
      <c r="J1361">
        <v>0</v>
      </c>
      <c r="K1361">
        <v>0</v>
      </c>
      <c r="L1361">
        <v>0</v>
      </c>
      <c r="M1361">
        <v>1</v>
      </c>
      <c r="N1361">
        <v>0.1</v>
      </c>
      <c r="O1361">
        <v>16.399999999999999</v>
      </c>
      <c r="P1361">
        <v>3.2</v>
      </c>
      <c r="Q1361" t="s">
        <v>62</v>
      </c>
    </row>
    <row r="1362" spans="1:17" x14ac:dyDescent="0.3">
      <c r="A1362" t="s">
        <v>2013</v>
      </c>
      <c r="B1362" s="2">
        <v>45902</v>
      </c>
      <c r="C1362" t="s">
        <v>26</v>
      </c>
      <c r="D1362" t="s">
        <v>114</v>
      </c>
      <c r="E1362" t="s">
        <v>20</v>
      </c>
      <c r="F1362" t="s">
        <v>600</v>
      </c>
      <c r="G1362" t="s">
        <v>30</v>
      </c>
      <c r="J1362">
        <v>0</v>
      </c>
      <c r="K1362">
        <v>0</v>
      </c>
      <c r="L1362">
        <v>0</v>
      </c>
      <c r="M1362">
        <v>1</v>
      </c>
      <c r="N1362">
        <v>6.8</v>
      </c>
      <c r="O1362">
        <v>17.100000000000001</v>
      </c>
      <c r="P1362">
        <v>5</v>
      </c>
      <c r="Q1362" t="s">
        <v>39</v>
      </c>
    </row>
    <row r="1363" spans="1:17" x14ac:dyDescent="0.3">
      <c r="A1363" t="s">
        <v>2014</v>
      </c>
      <c r="B1363" s="2">
        <v>45918</v>
      </c>
      <c r="C1363" t="s">
        <v>18</v>
      </c>
      <c r="D1363" t="s">
        <v>19</v>
      </c>
      <c r="E1363" t="s">
        <v>37</v>
      </c>
      <c r="F1363" t="s">
        <v>2015</v>
      </c>
      <c r="G1363" t="s">
        <v>30</v>
      </c>
      <c r="H1363" t="s">
        <v>78</v>
      </c>
      <c r="I1363" t="s">
        <v>79</v>
      </c>
      <c r="J1363">
        <v>1</v>
      </c>
      <c r="K1363">
        <v>36000</v>
      </c>
      <c r="L1363">
        <v>0</v>
      </c>
      <c r="N1363">
        <v>21.1</v>
      </c>
      <c r="Q1363" t="s">
        <v>79</v>
      </c>
    </row>
    <row r="1364" spans="1:17" x14ac:dyDescent="0.3">
      <c r="A1364" t="s">
        <v>2016</v>
      </c>
      <c r="B1364" s="2">
        <v>46220</v>
      </c>
      <c r="C1364" t="s">
        <v>26</v>
      </c>
      <c r="D1364" t="s">
        <v>72</v>
      </c>
      <c r="E1364" t="s">
        <v>20</v>
      </c>
      <c r="F1364" t="s">
        <v>1590</v>
      </c>
      <c r="G1364" t="s">
        <v>30</v>
      </c>
      <c r="J1364">
        <v>0</v>
      </c>
      <c r="K1364">
        <v>0</v>
      </c>
      <c r="L1364">
        <v>0</v>
      </c>
      <c r="M1364">
        <v>1</v>
      </c>
      <c r="N1364">
        <v>6.7</v>
      </c>
      <c r="O1364">
        <v>8.6</v>
      </c>
      <c r="P1364">
        <v>4.2</v>
      </c>
      <c r="Q1364" t="s">
        <v>62</v>
      </c>
    </row>
    <row r="1365" spans="1:17" x14ac:dyDescent="0.3">
      <c r="A1365" t="s">
        <v>2017</v>
      </c>
      <c r="B1365" s="2">
        <v>45950</v>
      </c>
      <c r="C1365" t="s">
        <v>26</v>
      </c>
      <c r="D1365" t="s">
        <v>232</v>
      </c>
      <c r="E1365" t="s">
        <v>20</v>
      </c>
      <c r="F1365" t="s">
        <v>295</v>
      </c>
      <c r="G1365" t="s">
        <v>30</v>
      </c>
      <c r="J1365">
        <v>0</v>
      </c>
      <c r="K1365">
        <v>0</v>
      </c>
      <c r="L1365">
        <v>0</v>
      </c>
      <c r="M1365">
        <v>1</v>
      </c>
      <c r="N1365">
        <v>3.4</v>
      </c>
      <c r="O1365">
        <v>13.5</v>
      </c>
      <c r="P1365">
        <v>5</v>
      </c>
      <c r="Q1365" t="s">
        <v>39</v>
      </c>
    </row>
    <row r="1366" spans="1:17" x14ac:dyDescent="0.3">
      <c r="A1366" t="s">
        <v>2018</v>
      </c>
      <c r="B1366" s="2">
        <v>45998</v>
      </c>
      <c r="C1366" t="s">
        <v>26</v>
      </c>
      <c r="D1366" t="s">
        <v>126</v>
      </c>
      <c r="E1366" t="s">
        <v>37</v>
      </c>
      <c r="F1366" t="s">
        <v>825</v>
      </c>
      <c r="G1366" t="s">
        <v>22</v>
      </c>
      <c r="J1366">
        <v>0</v>
      </c>
      <c r="K1366">
        <v>0</v>
      </c>
      <c r="L1366">
        <v>0</v>
      </c>
      <c r="M1366">
        <v>1</v>
      </c>
      <c r="N1366">
        <v>10.1</v>
      </c>
      <c r="O1366">
        <v>5.8</v>
      </c>
      <c r="P1366">
        <v>3.9</v>
      </c>
      <c r="Q1366" t="s">
        <v>39</v>
      </c>
    </row>
    <row r="1367" spans="1:17" x14ac:dyDescent="0.3">
      <c r="A1367" t="s">
        <v>2019</v>
      </c>
      <c r="B1367" s="2">
        <v>46157</v>
      </c>
      <c r="C1367" t="s">
        <v>18</v>
      </c>
      <c r="D1367" t="s">
        <v>52</v>
      </c>
      <c r="E1367" t="s">
        <v>20</v>
      </c>
      <c r="F1367" t="s">
        <v>1254</v>
      </c>
      <c r="G1367" t="s">
        <v>30</v>
      </c>
      <c r="H1367" t="s">
        <v>86</v>
      </c>
      <c r="I1367" t="s">
        <v>24</v>
      </c>
      <c r="J1367">
        <v>1</v>
      </c>
      <c r="K1367">
        <v>5100</v>
      </c>
      <c r="L1367">
        <v>5100</v>
      </c>
      <c r="N1367">
        <v>7.2</v>
      </c>
      <c r="Q1367" t="s">
        <v>24</v>
      </c>
    </row>
    <row r="1368" spans="1:17" x14ac:dyDescent="0.3">
      <c r="A1368" t="s">
        <v>2020</v>
      </c>
      <c r="B1368" s="2">
        <v>46225</v>
      </c>
      <c r="C1368" t="s">
        <v>26</v>
      </c>
      <c r="D1368" t="s">
        <v>69</v>
      </c>
      <c r="E1368" t="s">
        <v>28</v>
      </c>
      <c r="F1368" t="s">
        <v>2021</v>
      </c>
      <c r="G1368" t="s">
        <v>30</v>
      </c>
      <c r="J1368">
        <v>0</v>
      </c>
      <c r="K1368">
        <v>0</v>
      </c>
      <c r="L1368">
        <v>0</v>
      </c>
      <c r="M1368">
        <v>1</v>
      </c>
      <c r="N1368">
        <v>9.3000000000000007</v>
      </c>
      <c r="O1368">
        <v>5.9</v>
      </c>
      <c r="P1368">
        <v>3.9</v>
      </c>
      <c r="Q1368" t="s">
        <v>225</v>
      </c>
    </row>
    <row r="1369" spans="1:17" x14ac:dyDescent="0.3">
      <c r="A1369" t="s">
        <v>2022</v>
      </c>
      <c r="B1369" s="2">
        <v>46038</v>
      </c>
      <c r="C1369" t="s">
        <v>26</v>
      </c>
      <c r="D1369" t="s">
        <v>72</v>
      </c>
      <c r="E1369" t="s">
        <v>20</v>
      </c>
      <c r="F1369" t="s">
        <v>529</v>
      </c>
      <c r="G1369" t="s">
        <v>22</v>
      </c>
      <c r="J1369">
        <v>0</v>
      </c>
      <c r="K1369">
        <v>0</v>
      </c>
      <c r="L1369">
        <v>0</v>
      </c>
      <c r="M1369">
        <v>1</v>
      </c>
      <c r="N1369">
        <v>6.3</v>
      </c>
      <c r="O1369">
        <v>10</v>
      </c>
      <c r="P1369">
        <v>3.8</v>
      </c>
      <c r="Q1369" t="s">
        <v>39</v>
      </c>
    </row>
    <row r="1370" spans="1:17" x14ac:dyDescent="0.3">
      <c r="A1370" t="s">
        <v>2023</v>
      </c>
      <c r="B1370" s="2">
        <v>46090</v>
      </c>
      <c r="C1370" t="s">
        <v>18</v>
      </c>
      <c r="D1370" t="s">
        <v>52</v>
      </c>
      <c r="E1370" t="s">
        <v>20</v>
      </c>
      <c r="F1370" t="s">
        <v>101</v>
      </c>
      <c r="G1370" t="s">
        <v>50</v>
      </c>
      <c r="H1370" t="s">
        <v>86</v>
      </c>
      <c r="I1370" t="s">
        <v>24</v>
      </c>
      <c r="J1370">
        <v>1</v>
      </c>
      <c r="K1370">
        <v>20300</v>
      </c>
      <c r="L1370">
        <v>20300</v>
      </c>
      <c r="N1370">
        <v>5.8</v>
      </c>
      <c r="Q1370" t="s">
        <v>24</v>
      </c>
    </row>
    <row r="1371" spans="1:17" x14ac:dyDescent="0.3">
      <c r="A1371" t="s">
        <v>2024</v>
      </c>
      <c r="B1371" s="2">
        <v>46148</v>
      </c>
      <c r="C1371" t="s">
        <v>18</v>
      </c>
      <c r="D1371" t="s">
        <v>19</v>
      </c>
      <c r="E1371" t="s">
        <v>48</v>
      </c>
      <c r="F1371" t="s">
        <v>136</v>
      </c>
      <c r="G1371" t="s">
        <v>44</v>
      </c>
      <c r="H1371" t="s">
        <v>78</v>
      </c>
      <c r="I1371" t="s">
        <v>24</v>
      </c>
      <c r="J1371">
        <v>1</v>
      </c>
      <c r="K1371">
        <v>132700</v>
      </c>
      <c r="L1371">
        <v>132700</v>
      </c>
      <c r="N1371">
        <v>2</v>
      </c>
      <c r="Q1371" t="s">
        <v>24</v>
      </c>
    </row>
    <row r="1372" spans="1:17" x14ac:dyDescent="0.3">
      <c r="A1372" t="s">
        <v>2025</v>
      </c>
      <c r="B1372" s="2">
        <v>45970</v>
      </c>
      <c r="C1372" t="s">
        <v>26</v>
      </c>
      <c r="D1372" t="s">
        <v>33</v>
      </c>
      <c r="E1372" t="s">
        <v>20</v>
      </c>
      <c r="F1372" t="s">
        <v>34</v>
      </c>
      <c r="G1372" t="s">
        <v>50</v>
      </c>
      <c r="J1372">
        <v>0</v>
      </c>
      <c r="K1372">
        <v>0</v>
      </c>
      <c r="L1372">
        <v>0</v>
      </c>
      <c r="M1372">
        <v>1</v>
      </c>
      <c r="N1372">
        <v>3.4</v>
      </c>
      <c r="O1372">
        <v>17.2</v>
      </c>
      <c r="P1372">
        <v>4</v>
      </c>
      <c r="Q1372" t="s">
        <v>225</v>
      </c>
    </row>
    <row r="1373" spans="1:17" x14ac:dyDescent="0.3">
      <c r="A1373" t="s">
        <v>2026</v>
      </c>
      <c r="B1373" s="2">
        <v>45917</v>
      </c>
      <c r="C1373" t="s">
        <v>18</v>
      </c>
      <c r="D1373" t="s">
        <v>47</v>
      </c>
      <c r="E1373" t="s">
        <v>20</v>
      </c>
      <c r="F1373" t="s">
        <v>2027</v>
      </c>
      <c r="G1373" t="s">
        <v>22</v>
      </c>
      <c r="H1373" t="s">
        <v>23</v>
      </c>
      <c r="I1373" t="s">
        <v>67</v>
      </c>
      <c r="J1373">
        <v>1</v>
      </c>
      <c r="K1373">
        <v>12900</v>
      </c>
      <c r="L1373">
        <v>0</v>
      </c>
      <c r="N1373">
        <v>11.4</v>
      </c>
      <c r="Q1373" t="s">
        <v>67</v>
      </c>
    </row>
    <row r="1374" spans="1:17" x14ac:dyDescent="0.3">
      <c r="A1374" t="s">
        <v>2028</v>
      </c>
      <c r="B1374" s="2">
        <v>46053</v>
      </c>
      <c r="C1374" t="s">
        <v>26</v>
      </c>
      <c r="D1374" t="s">
        <v>36</v>
      </c>
      <c r="E1374" t="s">
        <v>20</v>
      </c>
      <c r="F1374" t="s">
        <v>996</v>
      </c>
      <c r="G1374" t="s">
        <v>22</v>
      </c>
      <c r="J1374">
        <v>0</v>
      </c>
      <c r="K1374">
        <v>0</v>
      </c>
      <c r="L1374">
        <v>0</v>
      </c>
      <c r="M1374">
        <v>1</v>
      </c>
      <c r="N1374">
        <v>10.5</v>
      </c>
      <c r="O1374">
        <v>9</v>
      </c>
      <c r="P1374">
        <v>3.1</v>
      </c>
      <c r="Q1374" t="s">
        <v>31</v>
      </c>
    </row>
    <row r="1375" spans="1:17" x14ac:dyDescent="0.3">
      <c r="A1375" t="s">
        <v>2029</v>
      </c>
      <c r="B1375" s="2">
        <v>45995</v>
      </c>
      <c r="C1375" t="s">
        <v>18</v>
      </c>
      <c r="D1375" t="s">
        <v>19</v>
      </c>
      <c r="E1375" t="s">
        <v>20</v>
      </c>
      <c r="F1375" t="s">
        <v>1673</v>
      </c>
      <c r="G1375" t="s">
        <v>22</v>
      </c>
      <c r="H1375" t="s">
        <v>54</v>
      </c>
      <c r="I1375" t="s">
        <v>89</v>
      </c>
      <c r="J1375">
        <v>1</v>
      </c>
      <c r="K1375">
        <v>10800</v>
      </c>
      <c r="L1375">
        <v>0</v>
      </c>
      <c r="N1375">
        <v>12.2</v>
      </c>
      <c r="Q1375" t="s">
        <v>89</v>
      </c>
    </row>
    <row r="1376" spans="1:17" x14ac:dyDescent="0.3">
      <c r="A1376" t="s">
        <v>2030</v>
      </c>
      <c r="B1376" s="2">
        <v>46229</v>
      </c>
      <c r="C1376" t="s">
        <v>18</v>
      </c>
      <c r="D1376" t="s">
        <v>41</v>
      </c>
      <c r="E1376" t="s">
        <v>28</v>
      </c>
      <c r="F1376" t="s">
        <v>1050</v>
      </c>
      <c r="G1376" t="s">
        <v>44</v>
      </c>
      <c r="H1376" t="s">
        <v>78</v>
      </c>
      <c r="I1376" t="s">
        <v>45</v>
      </c>
      <c r="J1376">
        <v>1</v>
      </c>
      <c r="K1376">
        <v>12000</v>
      </c>
      <c r="L1376">
        <v>0</v>
      </c>
      <c r="N1376">
        <v>22.3</v>
      </c>
      <c r="Q1376" t="s">
        <v>45</v>
      </c>
    </row>
    <row r="1377" spans="1:17" x14ac:dyDescent="0.3">
      <c r="A1377" t="s">
        <v>2031</v>
      </c>
      <c r="B1377" s="2">
        <v>45982</v>
      </c>
      <c r="C1377" t="s">
        <v>26</v>
      </c>
      <c r="D1377" t="s">
        <v>69</v>
      </c>
      <c r="E1377" t="s">
        <v>28</v>
      </c>
      <c r="F1377" t="s">
        <v>280</v>
      </c>
      <c r="G1377" t="s">
        <v>22</v>
      </c>
      <c r="J1377">
        <v>0</v>
      </c>
      <c r="K1377">
        <v>0</v>
      </c>
      <c r="L1377">
        <v>0</v>
      </c>
      <c r="M1377">
        <v>1</v>
      </c>
      <c r="N1377">
        <v>7.9</v>
      </c>
      <c r="O1377">
        <v>8.6999999999999993</v>
      </c>
      <c r="P1377">
        <v>5</v>
      </c>
      <c r="Q1377" t="s">
        <v>39</v>
      </c>
    </row>
    <row r="1378" spans="1:17" x14ac:dyDescent="0.3">
      <c r="A1378" t="s">
        <v>2032</v>
      </c>
      <c r="B1378" s="2">
        <v>45944</v>
      </c>
      <c r="C1378" t="s">
        <v>18</v>
      </c>
      <c r="D1378" t="s">
        <v>64</v>
      </c>
      <c r="E1378" t="s">
        <v>20</v>
      </c>
      <c r="F1378" t="s">
        <v>2033</v>
      </c>
      <c r="G1378" t="s">
        <v>22</v>
      </c>
      <c r="H1378" t="s">
        <v>23</v>
      </c>
      <c r="I1378" t="s">
        <v>89</v>
      </c>
      <c r="J1378">
        <v>1</v>
      </c>
      <c r="K1378">
        <v>9900</v>
      </c>
      <c r="L1378">
        <v>0</v>
      </c>
      <c r="N1378">
        <v>22.5</v>
      </c>
      <c r="Q1378" t="s">
        <v>89</v>
      </c>
    </row>
    <row r="1379" spans="1:17" x14ac:dyDescent="0.3">
      <c r="A1379" t="s">
        <v>2034</v>
      </c>
      <c r="B1379" s="2">
        <v>46197</v>
      </c>
      <c r="C1379" t="s">
        <v>18</v>
      </c>
      <c r="D1379" t="s">
        <v>95</v>
      </c>
      <c r="E1379" t="s">
        <v>20</v>
      </c>
      <c r="F1379" t="s">
        <v>1555</v>
      </c>
      <c r="G1379" t="s">
        <v>22</v>
      </c>
      <c r="H1379" t="s">
        <v>78</v>
      </c>
      <c r="I1379" t="s">
        <v>55</v>
      </c>
      <c r="J1379">
        <v>1</v>
      </c>
      <c r="K1379">
        <v>22400</v>
      </c>
      <c r="L1379">
        <v>0</v>
      </c>
      <c r="N1379">
        <v>20.6</v>
      </c>
      <c r="Q1379" t="s">
        <v>55</v>
      </c>
    </row>
    <row r="1380" spans="1:17" x14ac:dyDescent="0.3">
      <c r="A1380" t="s">
        <v>2035</v>
      </c>
      <c r="B1380" s="2">
        <v>46000</v>
      </c>
      <c r="C1380" t="s">
        <v>18</v>
      </c>
      <c r="D1380" t="s">
        <v>47</v>
      </c>
      <c r="E1380" t="s">
        <v>20</v>
      </c>
      <c r="F1380" t="s">
        <v>896</v>
      </c>
      <c r="G1380" t="s">
        <v>22</v>
      </c>
      <c r="H1380" t="s">
        <v>78</v>
      </c>
      <c r="I1380" t="s">
        <v>79</v>
      </c>
      <c r="J1380">
        <v>1</v>
      </c>
      <c r="K1380">
        <v>6300</v>
      </c>
      <c r="L1380">
        <v>0</v>
      </c>
      <c r="N1380">
        <v>7.6</v>
      </c>
      <c r="Q1380" t="s">
        <v>79</v>
      </c>
    </row>
    <row r="1381" spans="1:17" x14ac:dyDescent="0.3">
      <c r="A1381" t="s">
        <v>2036</v>
      </c>
      <c r="B1381" s="2">
        <v>46195</v>
      </c>
      <c r="C1381" t="s">
        <v>26</v>
      </c>
      <c r="D1381" t="s">
        <v>232</v>
      </c>
      <c r="E1381" t="s">
        <v>20</v>
      </c>
      <c r="F1381" t="s">
        <v>1543</v>
      </c>
      <c r="G1381" t="s">
        <v>30</v>
      </c>
      <c r="J1381">
        <v>0</v>
      </c>
      <c r="K1381">
        <v>0</v>
      </c>
      <c r="L1381">
        <v>0</v>
      </c>
      <c r="M1381">
        <v>1</v>
      </c>
      <c r="N1381">
        <v>4.5999999999999996</v>
      </c>
      <c r="O1381">
        <v>8.5</v>
      </c>
      <c r="P1381">
        <v>3</v>
      </c>
      <c r="Q1381" t="s">
        <v>31</v>
      </c>
    </row>
    <row r="1382" spans="1:17" x14ac:dyDescent="0.3">
      <c r="A1382" t="s">
        <v>2037</v>
      </c>
      <c r="B1382" s="2">
        <v>46080</v>
      </c>
      <c r="C1382" t="s">
        <v>18</v>
      </c>
      <c r="D1382" t="s">
        <v>41</v>
      </c>
      <c r="E1382" t="s">
        <v>48</v>
      </c>
      <c r="F1382" t="s">
        <v>638</v>
      </c>
      <c r="G1382" t="s">
        <v>22</v>
      </c>
      <c r="H1382" t="s">
        <v>86</v>
      </c>
      <c r="I1382" t="s">
        <v>45</v>
      </c>
      <c r="J1382">
        <v>1</v>
      </c>
      <c r="K1382">
        <v>34000</v>
      </c>
      <c r="L1382">
        <v>0</v>
      </c>
      <c r="N1382">
        <v>13.1</v>
      </c>
      <c r="Q1382" t="s">
        <v>45</v>
      </c>
    </row>
    <row r="1383" spans="1:17" x14ac:dyDescent="0.3">
      <c r="A1383" t="s">
        <v>2038</v>
      </c>
      <c r="B1383" s="2">
        <v>45982</v>
      </c>
      <c r="C1383" t="s">
        <v>18</v>
      </c>
      <c r="D1383" t="s">
        <v>41</v>
      </c>
      <c r="E1383" t="s">
        <v>37</v>
      </c>
      <c r="F1383" t="s">
        <v>334</v>
      </c>
      <c r="G1383" t="s">
        <v>22</v>
      </c>
      <c r="H1383" t="s">
        <v>23</v>
      </c>
      <c r="I1383" t="s">
        <v>67</v>
      </c>
      <c r="J1383">
        <v>1</v>
      </c>
      <c r="K1383">
        <v>16600</v>
      </c>
      <c r="L1383">
        <v>0</v>
      </c>
      <c r="N1383">
        <v>9.8000000000000007</v>
      </c>
      <c r="Q1383" t="s">
        <v>67</v>
      </c>
    </row>
    <row r="1384" spans="1:17" x14ac:dyDescent="0.3">
      <c r="A1384" t="s">
        <v>2039</v>
      </c>
      <c r="B1384" s="2">
        <v>46241</v>
      </c>
      <c r="C1384" t="s">
        <v>26</v>
      </c>
      <c r="D1384" t="s">
        <v>232</v>
      </c>
      <c r="E1384" t="s">
        <v>37</v>
      </c>
      <c r="F1384" t="s">
        <v>814</v>
      </c>
      <c r="G1384" t="s">
        <v>30</v>
      </c>
      <c r="J1384">
        <v>0</v>
      </c>
      <c r="K1384">
        <v>0</v>
      </c>
      <c r="L1384">
        <v>0</v>
      </c>
      <c r="M1384">
        <v>1</v>
      </c>
      <c r="N1384">
        <v>9.8000000000000007</v>
      </c>
      <c r="O1384">
        <v>20.100000000000001</v>
      </c>
      <c r="P1384">
        <v>4.2</v>
      </c>
      <c r="Q1384" t="s">
        <v>62</v>
      </c>
    </row>
    <row r="1385" spans="1:17" x14ac:dyDescent="0.3">
      <c r="A1385" t="s">
        <v>2040</v>
      </c>
      <c r="B1385" s="2">
        <v>45951</v>
      </c>
      <c r="C1385" t="s">
        <v>18</v>
      </c>
      <c r="D1385" t="s">
        <v>95</v>
      </c>
      <c r="E1385" t="s">
        <v>48</v>
      </c>
      <c r="F1385" t="s">
        <v>266</v>
      </c>
      <c r="G1385" t="s">
        <v>22</v>
      </c>
      <c r="H1385" t="s">
        <v>86</v>
      </c>
      <c r="I1385" t="s">
        <v>45</v>
      </c>
      <c r="J1385">
        <v>1</v>
      </c>
      <c r="K1385">
        <v>12700</v>
      </c>
      <c r="L1385">
        <v>0</v>
      </c>
      <c r="N1385">
        <v>23.3</v>
      </c>
      <c r="Q1385" t="s">
        <v>45</v>
      </c>
    </row>
    <row r="1386" spans="1:17" x14ac:dyDescent="0.3">
      <c r="A1386" t="s">
        <v>2041</v>
      </c>
      <c r="B1386" s="2">
        <v>46080</v>
      </c>
      <c r="C1386" t="s">
        <v>26</v>
      </c>
      <c r="D1386" t="s">
        <v>126</v>
      </c>
      <c r="E1386" t="s">
        <v>20</v>
      </c>
      <c r="F1386" t="s">
        <v>485</v>
      </c>
      <c r="G1386" t="s">
        <v>22</v>
      </c>
      <c r="J1386">
        <v>0</v>
      </c>
      <c r="K1386">
        <v>0</v>
      </c>
      <c r="L1386">
        <v>0</v>
      </c>
      <c r="M1386">
        <v>1</v>
      </c>
      <c r="N1386">
        <v>9.1999999999999993</v>
      </c>
      <c r="O1386">
        <v>2.8</v>
      </c>
      <c r="P1386">
        <v>3.8</v>
      </c>
      <c r="Q1386" t="s">
        <v>31</v>
      </c>
    </row>
    <row r="1387" spans="1:17" x14ac:dyDescent="0.3">
      <c r="A1387" t="s">
        <v>2042</v>
      </c>
      <c r="B1387" s="2">
        <v>46243</v>
      </c>
      <c r="C1387" t="s">
        <v>18</v>
      </c>
      <c r="D1387" t="s">
        <v>19</v>
      </c>
      <c r="E1387" t="s">
        <v>20</v>
      </c>
      <c r="F1387" t="s">
        <v>1085</v>
      </c>
      <c r="G1387" t="s">
        <v>22</v>
      </c>
      <c r="H1387" t="s">
        <v>54</v>
      </c>
      <c r="I1387" t="s">
        <v>55</v>
      </c>
      <c r="J1387">
        <v>1</v>
      </c>
      <c r="K1387">
        <v>20000</v>
      </c>
      <c r="L1387">
        <v>0</v>
      </c>
      <c r="N1387">
        <v>12.1</v>
      </c>
      <c r="Q1387" t="s">
        <v>55</v>
      </c>
    </row>
    <row r="1388" spans="1:17" x14ac:dyDescent="0.3">
      <c r="A1388" t="s">
        <v>2043</v>
      </c>
      <c r="B1388" s="2">
        <v>46091</v>
      </c>
      <c r="C1388" t="s">
        <v>26</v>
      </c>
      <c r="D1388" t="s">
        <v>72</v>
      </c>
      <c r="E1388" t="s">
        <v>37</v>
      </c>
      <c r="F1388" t="s">
        <v>306</v>
      </c>
      <c r="G1388" t="s">
        <v>30</v>
      </c>
      <c r="J1388">
        <v>0</v>
      </c>
      <c r="K1388">
        <v>0</v>
      </c>
      <c r="L1388">
        <v>0</v>
      </c>
      <c r="M1388">
        <v>1</v>
      </c>
      <c r="N1388">
        <v>3</v>
      </c>
      <c r="O1388">
        <v>11.6</v>
      </c>
      <c r="P1388">
        <v>3</v>
      </c>
      <c r="Q1388" t="s">
        <v>39</v>
      </c>
    </row>
    <row r="1389" spans="1:17" x14ac:dyDescent="0.3">
      <c r="A1389" t="s">
        <v>2044</v>
      </c>
      <c r="B1389" s="2">
        <v>46143</v>
      </c>
      <c r="C1389" t="s">
        <v>18</v>
      </c>
      <c r="D1389" t="s">
        <v>95</v>
      </c>
      <c r="E1389" t="s">
        <v>20</v>
      </c>
      <c r="F1389" t="s">
        <v>430</v>
      </c>
      <c r="G1389" t="s">
        <v>44</v>
      </c>
      <c r="H1389" t="s">
        <v>78</v>
      </c>
      <c r="I1389" t="s">
        <v>79</v>
      </c>
      <c r="J1389">
        <v>1</v>
      </c>
      <c r="K1389">
        <v>17000</v>
      </c>
      <c r="L1389">
        <v>0</v>
      </c>
      <c r="N1389">
        <v>9.3000000000000007</v>
      </c>
      <c r="Q1389" t="s">
        <v>79</v>
      </c>
    </row>
    <row r="1390" spans="1:17" x14ac:dyDescent="0.3">
      <c r="A1390" t="s">
        <v>2045</v>
      </c>
      <c r="B1390" s="2">
        <v>45952</v>
      </c>
      <c r="C1390" t="s">
        <v>26</v>
      </c>
      <c r="D1390" t="s">
        <v>114</v>
      </c>
      <c r="E1390" t="s">
        <v>20</v>
      </c>
      <c r="F1390" t="s">
        <v>1481</v>
      </c>
      <c r="G1390" t="s">
        <v>22</v>
      </c>
      <c r="J1390">
        <v>0</v>
      </c>
      <c r="K1390">
        <v>0</v>
      </c>
      <c r="L1390">
        <v>0</v>
      </c>
      <c r="M1390">
        <v>1</v>
      </c>
      <c r="N1390">
        <v>10.199999999999999</v>
      </c>
      <c r="O1390">
        <v>31.5</v>
      </c>
      <c r="P1390">
        <v>3.3</v>
      </c>
      <c r="Q1390" t="s">
        <v>39</v>
      </c>
    </row>
    <row r="1391" spans="1:17" x14ac:dyDescent="0.3">
      <c r="A1391" t="s">
        <v>2046</v>
      </c>
      <c r="B1391" s="2">
        <v>46118</v>
      </c>
      <c r="C1391" t="s">
        <v>18</v>
      </c>
      <c r="D1391" t="s">
        <v>47</v>
      </c>
      <c r="E1391" t="s">
        <v>48</v>
      </c>
      <c r="F1391" t="s">
        <v>360</v>
      </c>
      <c r="G1391" t="s">
        <v>30</v>
      </c>
      <c r="H1391" t="s">
        <v>86</v>
      </c>
      <c r="I1391" t="s">
        <v>67</v>
      </c>
      <c r="J1391">
        <v>1</v>
      </c>
      <c r="K1391">
        <v>23700</v>
      </c>
      <c r="L1391">
        <v>0</v>
      </c>
      <c r="N1391">
        <v>14.1</v>
      </c>
      <c r="Q1391" t="s">
        <v>67</v>
      </c>
    </row>
    <row r="1392" spans="1:17" x14ac:dyDescent="0.3">
      <c r="A1392" t="s">
        <v>2047</v>
      </c>
      <c r="B1392" s="2">
        <v>45916</v>
      </c>
      <c r="C1392" t="s">
        <v>18</v>
      </c>
      <c r="D1392" t="s">
        <v>117</v>
      </c>
      <c r="E1392" t="s">
        <v>20</v>
      </c>
      <c r="F1392" t="s">
        <v>1852</v>
      </c>
      <c r="G1392" t="s">
        <v>22</v>
      </c>
      <c r="H1392" t="s">
        <v>54</v>
      </c>
      <c r="I1392" t="s">
        <v>45</v>
      </c>
      <c r="J1392">
        <v>1</v>
      </c>
      <c r="K1392">
        <v>43700</v>
      </c>
      <c r="L1392">
        <v>0</v>
      </c>
      <c r="N1392">
        <v>12.1</v>
      </c>
      <c r="Q1392" t="s">
        <v>45</v>
      </c>
    </row>
    <row r="1393" spans="1:17" x14ac:dyDescent="0.3">
      <c r="A1393" t="s">
        <v>2048</v>
      </c>
      <c r="B1393" s="2">
        <v>46112</v>
      </c>
      <c r="C1393" t="s">
        <v>18</v>
      </c>
      <c r="D1393" t="s">
        <v>19</v>
      </c>
      <c r="E1393" t="s">
        <v>37</v>
      </c>
      <c r="F1393" t="s">
        <v>1264</v>
      </c>
      <c r="G1393" t="s">
        <v>30</v>
      </c>
      <c r="H1393" t="s">
        <v>86</v>
      </c>
      <c r="I1393" t="s">
        <v>67</v>
      </c>
      <c r="J1393">
        <v>1</v>
      </c>
      <c r="K1393">
        <v>14800</v>
      </c>
      <c r="L1393">
        <v>0</v>
      </c>
      <c r="N1393">
        <v>6.2</v>
      </c>
      <c r="Q1393" t="s">
        <v>67</v>
      </c>
    </row>
    <row r="1394" spans="1:17" x14ac:dyDescent="0.3">
      <c r="A1394" t="s">
        <v>2049</v>
      </c>
      <c r="B1394" s="2">
        <v>46265</v>
      </c>
      <c r="C1394" t="s">
        <v>18</v>
      </c>
      <c r="D1394" t="s">
        <v>95</v>
      </c>
      <c r="E1394" t="s">
        <v>48</v>
      </c>
      <c r="F1394" t="s">
        <v>1849</v>
      </c>
      <c r="G1394" t="s">
        <v>22</v>
      </c>
      <c r="H1394" t="s">
        <v>78</v>
      </c>
      <c r="I1394" t="s">
        <v>55</v>
      </c>
      <c r="J1394">
        <v>1</v>
      </c>
      <c r="K1394">
        <v>91700</v>
      </c>
      <c r="L1394">
        <v>0</v>
      </c>
      <c r="N1394">
        <v>18.7</v>
      </c>
      <c r="Q1394" t="s">
        <v>55</v>
      </c>
    </row>
    <row r="1395" spans="1:17" x14ac:dyDescent="0.3">
      <c r="A1395" t="s">
        <v>2050</v>
      </c>
      <c r="B1395" s="2">
        <v>46205</v>
      </c>
      <c r="C1395" t="s">
        <v>18</v>
      </c>
      <c r="D1395" t="s">
        <v>19</v>
      </c>
      <c r="E1395" t="s">
        <v>20</v>
      </c>
      <c r="F1395" t="s">
        <v>2051</v>
      </c>
      <c r="G1395" t="s">
        <v>30</v>
      </c>
      <c r="H1395" t="s">
        <v>23</v>
      </c>
      <c r="I1395" t="s">
        <v>67</v>
      </c>
      <c r="J1395">
        <v>1</v>
      </c>
      <c r="K1395">
        <v>18900</v>
      </c>
      <c r="L1395">
        <v>0</v>
      </c>
      <c r="N1395">
        <v>18</v>
      </c>
      <c r="Q1395" t="s">
        <v>67</v>
      </c>
    </row>
    <row r="1396" spans="1:17" x14ac:dyDescent="0.3">
      <c r="A1396" t="s">
        <v>2052</v>
      </c>
      <c r="B1396" s="2">
        <v>45953</v>
      </c>
      <c r="C1396" t="s">
        <v>18</v>
      </c>
      <c r="D1396" t="s">
        <v>41</v>
      </c>
      <c r="E1396" t="s">
        <v>20</v>
      </c>
      <c r="F1396" t="s">
        <v>59</v>
      </c>
      <c r="G1396" t="s">
        <v>22</v>
      </c>
      <c r="H1396" t="s">
        <v>23</v>
      </c>
      <c r="I1396" t="s">
        <v>79</v>
      </c>
      <c r="J1396">
        <v>1</v>
      </c>
      <c r="K1396">
        <v>20200</v>
      </c>
      <c r="L1396">
        <v>0</v>
      </c>
      <c r="N1396">
        <v>13.6</v>
      </c>
      <c r="Q1396" t="s">
        <v>79</v>
      </c>
    </row>
    <row r="1397" spans="1:17" x14ac:dyDescent="0.3">
      <c r="A1397" t="s">
        <v>2053</v>
      </c>
      <c r="B1397" s="2">
        <v>46086</v>
      </c>
      <c r="C1397" t="s">
        <v>26</v>
      </c>
      <c r="D1397" t="s">
        <v>69</v>
      </c>
      <c r="E1397" t="s">
        <v>48</v>
      </c>
      <c r="F1397" t="s">
        <v>2054</v>
      </c>
      <c r="G1397" t="s">
        <v>22</v>
      </c>
      <c r="J1397">
        <v>0</v>
      </c>
      <c r="K1397">
        <v>0</v>
      </c>
      <c r="L1397">
        <v>0</v>
      </c>
      <c r="M1397">
        <v>1</v>
      </c>
      <c r="N1397">
        <v>11.3</v>
      </c>
      <c r="O1397">
        <v>8.4</v>
      </c>
      <c r="P1397">
        <v>4.2</v>
      </c>
      <c r="Q1397" t="s">
        <v>62</v>
      </c>
    </row>
    <row r="1398" spans="1:17" x14ac:dyDescent="0.3">
      <c r="A1398" t="s">
        <v>2055</v>
      </c>
      <c r="B1398" s="2">
        <v>46033</v>
      </c>
      <c r="C1398" t="s">
        <v>18</v>
      </c>
      <c r="D1398" t="s">
        <v>47</v>
      </c>
      <c r="E1398" t="s">
        <v>20</v>
      </c>
      <c r="F1398" t="s">
        <v>138</v>
      </c>
      <c r="G1398" t="s">
        <v>30</v>
      </c>
      <c r="H1398" t="s">
        <v>23</v>
      </c>
      <c r="I1398" t="s">
        <v>45</v>
      </c>
      <c r="J1398">
        <v>1</v>
      </c>
      <c r="K1398">
        <v>19600</v>
      </c>
      <c r="L1398">
        <v>0</v>
      </c>
      <c r="N1398">
        <v>9</v>
      </c>
      <c r="Q1398" t="s">
        <v>45</v>
      </c>
    </row>
    <row r="1399" spans="1:17" x14ac:dyDescent="0.3">
      <c r="A1399" t="s">
        <v>2056</v>
      </c>
      <c r="B1399" s="2">
        <v>45947</v>
      </c>
      <c r="C1399" t="s">
        <v>18</v>
      </c>
      <c r="D1399" t="s">
        <v>52</v>
      </c>
      <c r="E1399" t="s">
        <v>20</v>
      </c>
      <c r="F1399" t="s">
        <v>611</v>
      </c>
      <c r="G1399" t="s">
        <v>50</v>
      </c>
      <c r="H1399" t="s">
        <v>23</v>
      </c>
      <c r="I1399" t="s">
        <v>89</v>
      </c>
      <c r="J1399">
        <v>1</v>
      </c>
      <c r="K1399">
        <v>50400</v>
      </c>
      <c r="L1399">
        <v>0</v>
      </c>
      <c r="N1399">
        <v>5.8</v>
      </c>
      <c r="Q1399" t="s">
        <v>89</v>
      </c>
    </row>
    <row r="1400" spans="1:17" x14ac:dyDescent="0.3">
      <c r="A1400" t="s">
        <v>2057</v>
      </c>
      <c r="B1400" s="2">
        <v>46235</v>
      </c>
      <c r="C1400" t="s">
        <v>26</v>
      </c>
      <c r="D1400" t="s">
        <v>114</v>
      </c>
      <c r="E1400" t="s">
        <v>28</v>
      </c>
      <c r="F1400" t="s">
        <v>1230</v>
      </c>
      <c r="G1400" t="s">
        <v>30</v>
      </c>
      <c r="J1400">
        <v>0</v>
      </c>
      <c r="K1400">
        <v>0</v>
      </c>
      <c r="L1400">
        <v>0</v>
      </c>
      <c r="M1400">
        <v>1</v>
      </c>
      <c r="N1400">
        <v>7</v>
      </c>
      <c r="O1400">
        <v>13.2</v>
      </c>
      <c r="P1400">
        <v>3.5</v>
      </c>
      <c r="Q1400" t="s">
        <v>31</v>
      </c>
    </row>
    <row r="1401" spans="1:17" x14ac:dyDescent="0.3">
      <c r="A1401" t="s">
        <v>2058</v>
      </c>
      <c r="B1401" s="2">
        <v>46114</v>
      </c>
      <c r="C1401" t="s">
        <v>26</v>
      </c>
      <c r="D1401" t="s">
        <v>126</v>
      </c>
      <c r="E1401" t="s">
        <v>42</v>
      </c>
      <c r="F1401" t="s">
        <v>2059</v>
      </c>
      <c r="G1401" t="s">
        <v>30</v>
      </c>
      <c r="J1401">
        <v>0</v>
      </c>
      <c r="K1401">
        <v>0</v>
      </c>
      <c r="L1401">
        <v>0</v>
      </c>
      <c r="M1401">
        <v>1</v>
      </c>
      <c r="N1401">
        <v>1.9</v>
      </c>
      <c r="O1401">
        <v>8.9</v>
      </c>
      <c r="P1401">
        <v>3.8</v>
      </c>
      <c r="Q1401" t="s">
        <v>39</v>
      </c>
    </row>
    <row r="1402" spans="1:17" x14ac:dyDescent="0.3">
      <c r="A1402" t="s">
        <v>2060</v>
      </c>
      <c r="B1402" s="2">
        <v>46258</v>
      </c>
      <c r="C1402" t="s">
        <v>18</v>
      </c>
      <c r="D1402" t="s">
        <v>64</v>
      </c>
      <c r="E1402" t="s">
        <v>20</v>
      </c>
      <c r="F1402" t="s">
        <v>342</v>
      </c>
      <c r="G1402" t="s">
        <v>50</v>
      </c>
      <c r="H1402" t="s">
        <v>66</v>
      </c>
      <c r="I1402" t="s">
        <v>55</v>
      </c>
      <c r="J1402">
        <v>1</v>
      </c>
      <c r="K1402">
        <v>9200</v>
      </c>
      <c r="L1402">
        <v>0</v>
      </c>
      <c r="N1402">
        <v>12.5</v>
      </c>
      <c r="Q1402" t="s">
        <v>55</v>
      </c>
    </row>
    <row r="1403" spans="1:17" x14ac:dyDescent="0.3">
      <c r="A1403" t="s">
        <v>2061</v>
      </c>
      <c r="B1403" s="2">
        <v>46065</v>
      </c>
      <c r="C1403" t="s">
        <v>18</v>
      </c>
      <c r="D1403" t="s">
        <v>19</v>
      </c>
      <c r="E1403" t="s">
        <v>28</v>
      </c>
      <c r="F1403" t="s">
        <v>1587</v>
      </c>
      <c r="G1403" t="s">
        <v>22</v>
      </c>
      <c r="H1403" t="s">
        <v>23</v>
      </c>
      <c r="I1403" t="s">
        <v>45</v>
      </c>
      <c r="J1403">
        <v>1</v>
      </c>
      <c r="K1403">
        <v>16900</v>
      </c>
      <c r="L1403">
        <v>0</v>
      </c>
      <c r="N1403">
        <v>23</v>
      </c>
      <c r="Q1403" t="s">
        <v>45</v>
      </c>
    </row>
    <row r="1404" spans="1:17" x14ac:dyDescent="0.3">
      <c r="A1404" t="s">
        <v>2062</v>
      </c>
      <c r="B1404" s="2">
        <v>46063</v>
      </c>
      <c r="C1404" t="s">
        <v>18</v>
      </c>
      <c r="D1404" t="s">
        <v>117</v>
      </c>
      <c r="E1404" t="s">
        <v>20</v>
      </c>
      <c r="F1404" t="s">
        <v>1278</v>
      </c>
      <c r="G1404" t="s">
        <v>22</v>
      </c>
      <c r="H1404" t="s">
        <v>78</v>
      </c>
      <c r="I1404" t="s">
        <v>45</v>
      </c>
      <c r="J1404">
        <v>1</v>
      </c>
      <c r="K1404">
        <v>30100</v>
      </c>
      <c r="L1404">
        <v>0</v>
      </c>
      <c r="N1404">
        <v>19</v>
      </c>
      <c r="Q1404" t="s">
        <v>45</v>
      </c>
    </row>
    <row r="1405" spans="1:17" x14ac:dyDescent="0.3">
      <c r="A1405" t="s">
        <v>2063</v>
      </c>
      <c r="B1405" s="2">
        <v>46169</v>
      </c>
      <c r="C1405" t="s">
        <v>26</v>
      </c>
      <c r="D1405" t="s">
        <v>232</v>
      </c>
      <c r="E1405" t="s">
        <v>37</v>
      </c>
      <c r="F1405" t="s">
        <v>1373</v>
      </c>
      <c r="G1405" t="s">
        <v>30</v>
      </c>
      <c r="J1405">
        <v>0</v>
      </c>
      <c r="K1405">
        <v>0</v>
      </c>
      <c r="L1405">
        <v>0</v>
      </c>
      <c r="M1405">
        <v>1</v>
      </c>
      <c r="N1405">
        <v>5.4</v>
      </c>
      <c r="O1405">
        <v>12.4</v>
      </c>
      <c r="P1405">
        <v>3.4</v>
      </c>
      <c r="Q1405" t="s">
        <v>225</v>
      </c>
    </row>
    <row r="1406" spans="1:17" x14ac:dyDescent="0.3">
      <c r="A1406" t="s">
        <v>2064</v>
      </c>
      <c r="B1406" s="2">
        <v>46130</v>
      </c>
      <c r="C1406" t="s">
        <v>26</v>
      </c>
      <c r="D1406" t="s">
        <v>232</v>
      </c>
      <c r="E1406" t="s">
        <v>20</v>
      </c>
      <c r="F1406" t="s">
        <v>1887</v>
      </c>
      <c r="G1406" t="s">
        <v>30</v>
      </c>
      <c r="J1406">
        <v>0</v>
      </c>
      <c r="K1406">
        <v>0</v>
      </c>
      <c r="L1406">
        <v>0</v>
      </c>
      <c r="M1406">
        <v>1</v>
      </c>
      <c r="N1406">
        <v>4</v>
      </c>
      <c r="O1406">
        <v>5.5</v>
      </c>
      <c r="P1406">
        <v>2.8</v>
      </c>
      <c r="Q1406" t="s">
        <v>39</v>
      </c>
    </row>
    <row r="1407" spans="1:17" x14ac:dyDescent="0.3">
      <c r="A1407" t="s">
        <v>2065</v>
      </c>
      <c r="B1407" s="2">
        <v>46025</v>
      </c>
      <c r="C1407" t="s">
        <v>18</v>
      </c>
      <c r="D1407" t="s">
        <v>52</v>
      </c>
      <c r="E1407" t="s">
        <v>28</v>
      </c>
      <c r="F1407" t="s">
        <v>274</v>
      </c>
      <c r="G1407" t="s">
        <v>44</v>
      </c>
      <c r="H1407" t="s">
        <v>66</v>
      </c>
      <c r="I1407" t="s">
        <v>67</v>
      </c>
      <c r="J1407">
        <v>1</v>
      </c>
      <c r="K1407">
        <v>31100</v>
      </c>
      <c r="L1407">
        <v>0</v>
      </c>
      <c r="N1407">
        <v>2.5</v>
      </c>
      <c r="Q1407" t="s">
        <v>67</v>
      </c>
    </row>
    <row r="1408" spans="1:17" x14ac:dyDescent="0.3">
      <c r="A1408" t="s">
        <v>2066</v>
      </c>
      <c r="B1408" s="2">
        <v>46196</v>
      </c>
      <c r="C1408" t="s">
        <v>26</v>
      </c>
      <c r="D1408" t="s">
        <v>36</v>
      </c>
      <c r="E1408" t="s">
        <v>20</v>
      </c>
      <c r="F1408" t="s">
        <v>2067</v>
      </c>
      <c r="G1408" t="s">
        <v>30</v>
      </c>
      <c r="J1408">
        <v>0</v>
      </c>
      <c r="K1408">
        <v>0</v>
      </c>
      <c r="L1408">
        <v>0</v>
      </c>
      <c r="M1408">
        <v>1</v>
      </c>
      <c r="N1408">
        <v>9.8000000000000007</v>
      </c>
      <c r="O1408">
        <v>11</v>
      </c>
      <c r="P1408">
        <v>4.5999999999999996</v>
      </c>
      <c r="Q1408" t="s">
        <v>31</v>
      </c>
    </row>
    <row r="1409" spans="1:17" x14ac:dyDescent="0.3">
      <c r="A1409" t="s">
        <v>2068</v>
      </c>
      <c r="B1409" s="2">
        <v>46206</v>
      </c>
      <c r="C1409" t="s">
        <v>26</v>
      </c>
      <c r="D1409" t="s">
        <v>33</v>
      </c>
      <c r="E1409" t="s">
        <v>20</v>
      </c>
      <c r="F1409" t="s">
        <v>536</v>
      </c>
      <c r="G1409" t="s">
        <v>44</v>
      </c>
      <c r="J1409">
        <v>0</v>
      </c>
      <c r="K1409">
        <v>0</v>
      </c>
      <c r="L1409">
        <v>0</v>
      </c>
      <c r="M1409">
        <v>1</v>
      </c>
      <c r="N1409">
        <v>2.6</v>
      </c>
      <c r="O1409">
        <v>3.8</v>
      </c>
      <c r="P1409">
        <v>3.5</v>
      </c>
      <c r="Q1409" t="s">
        <v>31</v>
      </c>
    </row>
    <row r="1410" spans="1:17" x14ac:dyDescent="0.3">
      <c r="A1410" t="s">
        <v>2069</v>
      </c>
      <c r="B1410" s="2">
        <v>46003</v>
      </c>
      <c r="C1410" t="s">
        <v>26</v>
      </c>
      <c r="D1410" t="s">
        <v>36</v>
      </c>
      <c r="E1410" t="s">
        <v>20</v>
      </c>
      <c r="F1410" t="s">
        <v>609</v>
      </c>
      <c r="G1410" t="s">
        <v>50</v>
      </c>
      <c r="J1410">
        <v>0</v>
      </c>
      <c r="K1410">
        <v>0</v>
      </c>
      <c r="L1410">
        <v>0</v>
      </c>
      <c r="M1410">
        <v>1</v>
      </c>
      <c r="N1410">
        <v>9.1</v>
      </c>
      <c r="O1410">
        <v>4</v>
      </c>
      <c r="P1410">
        <v>4.3</v>
      </c>
      <c r="Q1410" t="s">
        <v>39</v>
      </c>
    </row>
    <row r="1411" spans="1:17" x14ac:dyDescent="0.3">
      <c r="A1411" t="s">
        <v>2070</v>
      </c>
      <c r="B1411" s="2">
        <v>46152</v>
      </c>
      <c r="C1411" t="s">
        <v>26</v>
      </c>
      <c r="D1411" t="s">
        <v>232</v>
      </c>
      <c r="E1411" t="s">
        <v>48</v>
      </c>
      <c r="F1411" t="s">
        <v>1281</v>
      </c>
      <c r="G1411" t="s">
        <v>44</v>
      </c>
      <c r="J1411">
        <v>0</v>
      </c>
      <c r="K1411">
        <v>0</v>
      </c>
      <c r="L1411">
        <v>0</v>
      </c>
      <c r="M1411">
        <v>1</v>
      </c>
      <c r="N1411">
        <v>10.7</v>
      </c>
      <c r="O1411">
        <v>6.8</v>
      </c>
      <c r="P1411">
        <v>5</v>
      </c>
      <c r="Q1411" t="s">
        <v>39</v>
      </c>
    </row>
    <row r="1412" spans="1:17" x14ac:dyDescent="0.3">
      <c r="A1412" t="s">
        <v>2071</v>
      </c>
      <c r="B1412" s="2">
        <v>46234</v>
      </c>
      <c r="C1412" t="s">
        <v>18</v>
      </c>
      <c r="D1412" t="s">
        <v>64</v>
      </c>
      <c r="E1412" t="s">
        <v>20</v>
      </c>
      <c r="F1412" t="s">
        <v>1399</v>
      </c>
      <c r="G1412" t="s">
        <v>22</v>
      </c>
      <c r="H1412" t="s">
        <v>78</v>
      </c>
      <c r="I1412" t="s">
        <v>79</v>
      </c>
      <c r="J1412">
        <v>1</v>
      </c>
      <c r="K1412">
        <v>5000</v>
      </c>
      <c r="L1412">
        <v>0</v>
      </c>
      <c r="N1412">
        <v>20.5</v>
      </c>
      <c r="Q1412" t="s">
        <v>79</v>
      </c>
    </row>
    <row r="1413" spans="1:17" x14ac:dyDescent="0.3">
      <c r="A1413" t="s">
        <v>2072</v>
      </c>
      <c r="B1413" s="2">
        <v>46187</v>
      </c>
      <c r="C1413" t="s">
        <v>18</v>
      </c>
      <c r="D1413" t="s">
        <v>95</v>
      </c>
      <c r="E1413" t="s">
        <v>20</v>
      </c>
      <c r="F1413" t="s">
        <v>2073</v>
      </c>
      <c r="G1413" t="s">
        <v>44</v>
      </c>
      <c r="H1413" t="s">
        <v>78</v>
      </c>
      <c r="I1413" t="s">
        <v>55</v>
      </c>
      <c r="J1413">
        <v>1</v>
      </c>
      <c r="K1413">
        <v>9400</v>
      </c>
      <c r="L1413">
        <v>0</v>
      </c>
      <c r="N1413">
        <v>4.5999999999999996</v>
      </c>
      <c r="Q1413" t="s">
        <v>55</v>
      </c>
    </row>
    <row r="1414" spans="1:17" x14ac:dyDescent="0.3">
      <c r="A1414" t="s">
        <v>2074</v>
      </c>
      <c r="B1414" s="2">
        <v>45909</v>
      </c>
      <c r="C1414" t="s">
        <v>18</v>
      </c>
      <c r="D1414" t="s">
        <v>95</v>
      </c>
      <c r="E1414" t="s">
        <v>37</v>
      </c>
      <c r="F1414" t="s">
        <v>1048</v>
      </c>
      <c r="G1414" t="s">
        <v>22</v>
      </c>
      <c r="H1414" t="s">
        <v>23</v>
      </c>
      <c r="I1414" t="s">
        <v>67</v>
      </c>
      <c r="J1414">
        <v>1</v>
      </c>
      <c r="K1414">
        <v>17600</v>
      </c>
      <c r="L1414">
        <v>0</v>
      </c>
      <c r="N1414">
        <v>21.5</v>
      </c>
      <c r="Q1414" t="s">
        <v>67</v>
      </c>
    </row>
    <row r="1415" spans="1:17" x14ac:dyDescent="0.3">
      <c r="A1415" t="s">
        <v>2075</v>
      </c>
      <c r="B1415" s="2">
        <v>46256</v>
      </c>
      <c r="C1415" t="s">
        <v>18</v>
      </c>
      <c r="D1415" t="s">
        <v>105</v>
      </c>
      <c r="E1415" t="s">
        <v>20</v>
      </c>
      <c r="F1415" t="s">
        <v>108</v>
      </c>
      <c r="G1415" t="s">
        <v>50</v>
      </c>
      <c r="H1415" t="s">
        <v>54</v>
      </c>
      <c r="I1415" t="s">
        <v>45</v>
      </c>
      <c r="J1415">
        <v>1</v>
      </c>
      <c r="K1415">
        <v>17000</v>
      </c>
      <c r="L1415">
        <v>0</v>
      </c>
      <c r="N1415">
        <v>15.2</v>
      </c>
      <c r="Q1415" t="s">
        <v>45</v>
      </c>
    </row>
    <row r="1416" spans="1:17" x14ac:dyDescent="0.3">
      <c r="A1416" t="s">
        <v>2076</v>
      </c>
      <c r="B1416" s="2">
        <v>46183</v>
      </c>
      <c r="C1416" t="s">
        <v>18</v>
      </c>
      <c r="D1416" t="s">
        <v>41</v>
      </c>
      <c r="E1416" t="s">
        <v>28</v>
      </c>
      <c r="F1416" t="s">
        <v>773</v>
      </c>
      <c r="G1416" t="s">
        <v>50</v>
      </c>
      <c r="H1416" t="s">
        <v>23</v>
      </c>
      <c r="I1416" t="s">
        <v>79</v>
      </c>
      <c r="J1416">
        <v>1</v>
      </c>
      <c r="K1416">
        <v>17900</v>
      </c>
      <c r="L1416">
        <v>0</v>
      </c>
      <c r="N1416">
        <v>17.600000000000001</v>
      </c>
      <c r="Q1416" t="s">
        <v>79</v>
      </c>
    </row>
    <row r="1417" spans="1:17" x14ac:dyDescent="0.3">
      <c r="A1417" t="s">
        <v>2077</v>
      </c>
      <c r="B1417" s="2">
        <v>46097</v>
      </c>
      <c r="C1417" t="s">
        <v>26</v>
      </c>
      <c r="D1417" t="s">
        <v>33</v>
      </c>
      <c r="E1417" t="s">
        <v>37</v>
      </c>
      <c r="F1417" t="s">
        <v>2078</v>
      </c>
      <c r="G1417" t="s">
        <v>30</v>
      </c>
      <c r="J1417">
        <v>0</v>
      </c>
      <c r="K1417">
        <v>0</v>
      </c>
      <c r="L1417">
        <v>0</v>
      </c>
      <c r="M1417">
        <v>1</v>
      </c>
      <c r="N1417">
        <v>1.8</v>
      </c>
      <c r="O1417">
        <v>8.6999999999999993</v>
      </c>
      <c r="P1417">
        <v>4</v>
      </c>
      <c r="Q1417" t="s">
        <v>31</v>
      </c>
    </row>
    <row r="1418" spans="1:17" x14ac:dyDescent="0.3">
      <c r="A1418" t="s">
        <v>2079</v>
      </c>
      <c r="B1418" s="2">
        <v>46113</v>
      </c>
      <c r="C1418" t="s">
        <v>18</v>
      </c>
      <c r="D1418" t="s">
        <v>41</v>
      </c>
      <c r="E1418" t="s">
        <v>48</v>
      </c>
      <c r="F1418" t="s">
        <v>208</v>
      </c>
      <c r="G1418" t="s">
        <v>22</v>
      </c>
      <c r="H1418" t="s">
        <v>23</v>
      </c>
      <c r="I1418" t="s">
        <v>67</v>
      </c>
      <c r="J1418">
        <v>1</v>
      </c>
      <c r="K1418">
        <v>9900</v>
      </c>
      <c r="L1418">
        <v>0</v>
      </c>
      <c r="N1418">
        <v>12.5</v>
      </c>
      <c r="Q1418" t="s">
        <v>67</v>
      </c>
    </row>
    <row r="1419" spans="1:17" x14ac:dyDescent="0.3">
      <c r="A1419" t="s">
        <v>2080</v>
      </c>
      <c r="B1419" s="2">
        <v>46175</v>
      </c>
      <c r="C1419" t="s">
        <v>18</v>
      </c>
      <c r="D1419" t="s">
        <v>47</v>
      </c>
      <c r="E1419" t="s">
        <v>20</v>
      </c>
      <c r="F1419" t="s">
        <v>1099</v>
      </c>
      <c r="G1419" t="s">
        <v>22</v>
      </c>
      <c r="H1419" t="s">
        <v>86</v>
      </c>
      <c r="I1419" t="s">
        <v>45</v>
      </c>
      <c r="J1419">
        <v>1</v>
      </c>
      <c r="K1419">
        <v>17100</v>
      </c>
      <c r="L1419">
        <v>0</v>
      </c>
      <c r="N1419">
        <v>21.7</v>
      </c>
      <c r="Q1419" t="s">
        <v>45</v>
      </c>
    </row>
    <row r="1420" spans="1:17" x14ac:dyDescent="0.3">
      <c r="A1420" t="s">
        <v>2081</v>
      </c>
      <c r="B1420" s="2">
        <v>46028</v>
      </c>
      <c r="C1420" t="s">
        <v>18</v>
      </c>
      <c r="D1420" t="s">
        <v>47</v>
      </c>
      <c r="E1420" t="s">
        <v>20</v>
      </c>
      <c r="F1420" t="s">
        <v>952</v>
      </c>
      <c r="G1420" t="s">
        <v>30</v>
      </c>
      <c r="H1420" t="s">
        <v>78</v>
      </c>
      <c r="I1420" t="s">
        <v>79</v>
      </c>
      <c r="J1420">
        <v>1</v>
      </c>
      <c r="K1420">
        <v>22000</v>
      </c>
      <c r="L1420">
        <v>0</v>
      </c>
      <c r="N1420">
        <v>10</v>
      </c>
      <c r="Q1420" t="s">
        <v>79</v>
      </c>
    </row>
    <row r="1421" spans="1:17" x14ac:dyDescent="0.3">
      <c r="A1421" t="s">
        <v>2082</v>
      </c>
      <c r="B1421" s="2">
        <v>46209</v>
      </c>
      <c r="C1421" t="s">
        <v>26</v>
      </c>
      <c r="D1421" t="s">
        <v>232</v>
      </c>
      <c r="E1421" t="s">
        <v>20</v>
      </c>
      <c r="F1421" t="s">
        <v>932</v>
      </c>
      <c r="G1421" t="s">
        <v>22</v>
      </c>
      <c r="J1421">
        <v>0</v>
      </c>
      <c r="K1421">
        <v>0</v>
      </c>
      <c r="L1421">
        <v>0</v>
      </c>
      <c r="M1421">
        <v>1</v>
      </c>
      <c r="N1421">
        <v>3.4</v>
      </c>
      <c r="O1421">
        <v>6.3</v>
      </c>
      <c r="P1421">
        <v>3.3</v>
      </c>
      <c r="Q1421" t="s">
        <v>62</v>
      </c>
    </row>
    <row r="1422" spans="1:17" x14ac:dyDescent="0.3">
      <c r="A1422" t="s">
        <v>2083</v>
      </c>
      <c r="B1422" s="2">
        <v>45908</v>
      </c>
      <c r="C1422" t="s">
        <v>18</v>
      </c>
      <c r="D1422" t="s">
        <v>47</v>
      </c>
      <c r="E1422" t="s">
        <v>20</v>
      </c>
      <c r="F1422" t="s">
        <v>1624</v>
      </c>
      <c r="G1422" t="s">
        <v>22</v>
      </c>
      <c r="H1422" t="s">
        <v>54</v>
      </c>
      <c r="I1422" t="s">
        <v>89</v>
      </c>
      <c r="J1422">
        <v>1</v>
      </c>
      <c r="K1422">
        <v>50000</v>
      </c>
      <c r="L1422">
        <v>0</v>
      </c>
      <c r="N1422">
        <v>20.2</v>
      </c>
      <c r="Q1422" t="s">
        <v>89</v>
      </c>
    </row>
    <row r="1423" spans="1:17" x14ac:dyDescent="0.3">
      <c r="A1423" t="s">
        <v>2084</v>
      </c>
      <c r="B1423" s="2">
        <v>46247</v>
      </c>
      <c r="C1423" t="s">
        <v>18</v>
      </c>
      <c r="D1423" t="s">
        <v>52</v>
      </c>
      <c r="E1423" t="s">
        <v>37</v>
      </c>
      <c r="F1423" t="s">
        <v>1186</v>
      </c>
      <c r="G1423" t="s">
        <v>22</v>
      </c>
      <c r="H1423" t="s">
        <v>86</v>
      </c>
      <c r="I1423" t="s">
        <v>45</v>
      </c>
      <c r="J1423">
        <v>1</v>
      </c>
      <c r="K1423">
        <v>38800</v>
      </c>
      <c r="L1423">
        <v>0</v>
      </c>
      <c r="N1423">
        <v>6.9</v>
      </c>
      <c r="Q1423" t="s">
        <v>45</v>
      </c>
    </row>
    <row r="1424" spans="1:17" x14ac:dyDescent="0.3">
      <c r="A1424" t="s">
        <v>2085</v>
      </c>
      <c r="B1424" s="2">
        <v>45947</v>
      </c>
      <c r="C1424" t="s">
        <v>18</v>
      </c>
      <c r="D1424" t="s">
        <v>52</v>
      </c>
      <c r="E1424" t="s">
        <v>20</v>
      </c>
      <c r="F1424" t="s">
        <v>624</v>
      </c>
      <c r="G1424" t="s">
        <v>44</v>
      </c>
      <c r="H1424" t="s">
        <v>54</v>
      </c>
      <c r="I1424" t="s">
        <v>67</v>
      </c>
      <c r="J1424">
        <v>1</v>
      </c>
      <c r="K1424">
        <v>37000</v>
      </c>
      <c r="L1424">
        <v>0</v>
      </c>
      <c r="N1424">
        <v>1.4</v>
      </c>
      <c r="Q1424" t="s">
        <v>67</v>
      </c>
    </row>
    <row r="1425" spans="1:17" x14ac:dyDescent="0.3">
      <c r="A1425" t="s">
        <v>2086</v>
      </c>
      <c r="B1425" s="2">
        <v>46158</v>
      </c>
      <c r="C1425" t="s">
        <v>18</v>
      </c>
      <c r="D1425" t="s">
        <v>64</v>
      </c>
      <c r="E1425" t="s">
        <v>20</v>
      </c>
      <c r="F1425" t="s">
        <v>2087</v>
      </c>
      <c r="G1425" t="s">
        <v>30</v>
      </c>
      <c r="H1425" t="s">
        <v>23</v>
      </c>
      <c r="I1425" t="s">
        <v>79</v>
      </c>
      <c r="J1425">
        <v>1</v>
      </c>
      <c r="K1425">
        <v>18900</v>
      </c>
      <c r="L1425">
        <v>0</v>
      </c>
      <c r="N1425">
        <v>11.6</v>
      </c>
      <c r="Q1425" t="s">
        <v>79</v>
      </c>
    </row>
    <row r="1426" spans="1:17" x14ac:dyDescent="0.3">
      <c r="A1426" t="s">
        <v>2088</v>
      </c>
      <c r="B1426" s="2">
        <v>45969</v>
      </c>
      <c r="C1426" t="s">
        <v>26</v>
      </c>
      <c r="D1426" t="s">
        <v>126</v>
      </c>
      <c r="E1426" t="s">
        <v>28</v>
      </c>
      <c r="F1426" t="s">
        <v>978</v>
      </c>
      <c r="G1426" t="s">
        <v>30</v>
      </c>
      <c r="J1426">
        <v>0</v>
      </c>
      <c r="K1426">
        <v>0</v>
      </c>
      <c r="L1426">
        <v>0</v>
      </c>
      <c r="M1426">
        <v>1</v>
      </c>
      <c r="N1426">
        <v>11.2</v>
      </c>
      <c r="O1426">
        <v>6.6</v>
      </c>
      <c r="P1426">
        <v>3.9</v>
      </c>
      <c r="Q1426" t="s">
        <v>39</v>
      </c>
    </row>
    <row r="1427" spans="1:17" x14ac:dyDescent="0.3">
      <c r="A1427" t="s">
        <v>2089</v>
      </c>
      <c r="B1427" s="2">
        <v>46043</v>
      </c>
      <c r="C1427" t="s">
        <v>26</v>
      </c>
      <c r="D1427" t="s">
        <v>126</v>
      </c>
      <c r="E1427" t="s">
        <v>20</v>
      </c>
      <c r="F1427" t="s">
        <v>2090</v>
      </c>
      <c r="G1427" t="s">
        <v>22</v>
      </c>
      <c r="J1427">
        <v>0</v>
      </c>
      <c r="K1427">
        <v>0</v>
      </c>
      <c r="L1427">
        <v>0</v>
      </c>
      <c r="M1427">
        <v>1</v>
      </c>
      <c r="N1427">
        <v>0.6</v>
      </c>
      <c r="O1427">
        <v>15.4</v>
      </c>
      <c r="P1427">
        <v>2.8</v>
      </c>
      <c r="Q1427" t="s">
        <v>31</v>
      </c>
    </row>
    <row r="1428" spans="1:17" x14ac:dyDescent="0.3">
      <c r="A1428" t="s">
        <v>2091</v>
      </c>
      <c r="B1428" s="2">
        <v>46222</v>
      </c>
      <c r="C1428" t="s">
        <v>18</v>
      </c>
      <c r="D1428" t="s">
        <v>52</v>
      </c>
      <c r="E1428" t="s">
        <v>42</v>
      </c>
      <c r="F1428" t="s">
        <v>1982</v>
      </c>
      <c r="G1428" t="s">
        <v>44</v>
      </c>
      <c r="H1428" t="s">
        <v>23</v>
      </c>
      <c r="I1428" t="s">
        <v>24</v>
      </c>
      <c r="J1428">
        <v>1</v>
      </c>
      <c r="K1428">
        <v>49700</v>
      </c>
      <c r="L1428">
        <v>49700</v>
      </c>
      <c r="N1428">
        <v>4</v>
      </c>
      <c r="Q1428" t="s">
        <v>24</v>
      </c>
    </row>
    <row r="1429" spans="1:17" x14ac:dyDescent="0.3">
      <c r="A1429" t="s">
        <v>2092</v>
      </c>
      <c r="B1429" s="2">
        <v>45991</v>
      </c>
      <c r="C1429" t="s">
        <v>26</v>
      </c>
      <c r="D1429" t="s">
        <v>36</v>
      </c>
      <c r="E1429" t="s">
        <v>42</v>
      </c>
      <c r="F1429" t="s">
        <v>872</v>
      </c>
      <c r="G1429" t="s">
        <v>44</v>
      </c>
      <c r="J1429">
        <v>0</v>
      </c>
      <c r="K1429">
        <v>0</v>
      </c>
      <c r="L1429">
        <v>0</v>
      </c>
      <c r="M1429">
        <v>1</v>
      </c>
      <c r="N1429">
        <v>8.9</v>
      </c>
      <c r="O1429">
        <v>3.7</v>
      </c>
      <c r="P1429">
        <v>3.9</v>
      </c>
      <c r="Q1429" t="s">
        <v>31</v>
      </c>
    </row>
    <row r="1430" spans="1:17" x14ac:dyDescent="0.3">
      <c r="A1430" t="s">
        <v>2093</v>
      </c>
      <c r="B1430" s="2">
        <v>46187</v>
      </c>
      <c r="C1430" t="s">
        <v>26</v>
      </c>
      <c r="D1430" t="s">
        <v>114</v>
      </c>
      <c r="E1430" t="s">
        <v>28</v>
      </c>
      <c r="F1430" t="s">
        <v>2094</v>
      </c>
      <c r="G1430" t="s">
        <v>44</v>
      </c>
      <c r="J1430">
        <v>0</v>
      </c>
      <c r="K1430">
        <v>0</v>
      </c>
      <c r="L1430">
        <v>0</v>
      </c>
      <c r="M1430">
        <v>1</v>
      </c>
      <c r="N1430">
        <v>11.6</v>
      </c>
      <c r="O1430">
        <v>5.5</v>
      </c>
      <c r="P1430">
        <v>3.7</v>
      </c>
      <c r="Q1430" t="s">
        <v>39</v>
      </c>
    </row>
    <row r="1431" spans="1:17" x14ac:dyDescent="0.3">
      <c r="A1431" t="s">
        <v>2095</v>
      </c>
      <c r="B1431" s="2">
        <v>45985</v>
      </c>
      <c r="C1431" t="s">
        <v>26</v>
      </c>
      <c r="D1431" t="s">
        <v>72</v>
      </c>
      <c r="E1431" t="s">
        <v>20</v>
      </c>
      <c r="F1431" t="s">
        <v>1184</v>
      </c>
      <c r="G1431" t="s">
        <v>30</v>
      </c>
      <c r="J1431">
        <v>0</v>
      </c>
      <c r="K1431">
        <v>0</v>
      </c>
      <c r="L1431">
        <v>0</v>
      </c>
      <c r="M1431">
        <v>1</v>
      </c>
      <c r="N1431">
        <v>9.4</v>
      </c>
      <c r="O1431">
        <v>7.7</v>
      </c>
      <c r="P1431">
        <v>4.3</v>
      </c>
      <c r="Q1431" t="s">
        <v>39</v>
      </c>
    </row>
    <row r="1432" spans="1:17" x14ac:dyDescent="0.3">
      <c r="A1432" t="s">
        <v>2096</v>
      </c>
      <c r="B1432" s="2">
        <v>46096</v>
      </c>
      <c r="C1432" t="s">
        <v>18</v>
      </c>
      <c r="D1432" t="s">
        <v>117</v>
      </c>
      <c r="E1432" t="s">
        <v>37</v>
      </c>
      <c r="F1432" t="s">
        <v>250</v>
      </c>
      <c r="G1432" t="s">
        <v>22</v>
      </c>
      <c r="H1432" t="s">
        <v>78</v>
      </c>
      <c r="I1432" t="s">
        <v>67</v>
      </c>
      <c r="J1432">
        <v>1</v>
      </c>
      <c r="K1432">
        <v>29200</v>
      </c>
      <c r="L1432">
        <v>0</v>
      </c>
      <c r="N1432">
        <v>18.5</v>
      </c>
      <c r="Q1432" t="s">
        <v>67</v>
      </c>
    </row>
    <row r="1433" spans="1:17" x14ac:dyDescent="0.3">
      <c r="A1433" t="s">
        <v>2097</v>
      </c>
      <c r="B1433" s="2">
        <v>46046</v>
      </c>
      <c r="C1433" t="s">
        <v>18</v>
      </c>
      <c r="D1433" t="s">
        <v>19</v>
      </c>
      <c r="E1433" t="s">
        <v>28</v>
      </c>
      <c r="F1433" t="s">
        <v>1199</v>
      </c>
      <c r="G1433" t="s">
        <v>22</v>
      </c>
      <c r="H1433" t="s">
        <v>54</v>
      </c>
      <c r="I1433" t="s">
        <v>24</v>
      </c>
      <c r="J1433">
        <v>1</v>
      </c>
      <c r="K1433">
        <v>18700</v>
      </c>
      <c r="L1433">
        <v>18700</v>
      </c>
      <c r="N1433">
        <v>2.9</v>
      </c>
      <c r="Q1433" t="s">
        <v>24</v>
      </c>
    </row>
    <row r="1434" spans="1:17" x14ac:dyDescent="0.3">
      <c r="A1434" t="s">
        <v>2098</v>
      </c>
      <c r="B1434" s="2">
        <v>46100</v>
      </c>
      <c r="C1434" t="s">
        <v>18</v>
      </c>
      <c r="D1434" t="s">
        <v>64</v>
      </c>
      <c r="E1434" t="s">
        <v>20</v>
      </c>
      <c r="F1434" t="s">
        <v>2067</v>
      </c>
      <c r="G1434" t="s">
        <v>22</v>
      </c>
      <c r="H1434" t="s">
        <v>86</v>
      </c>
      <c r="I1434" t="s">
        <v>24</v>
      </c>
      <c r="J1434">
        <v>1</v>
      </c>
      <c r="K1434">
        <v>11700</v>
      </c>
      <c r="L1434">
        <v>11700</v>
      </c>
      <c r="N1434">
        <v>14</v>
      </c>
      <c r="Q1434" t="s">
        <v>24</v>
      </c>
    </row>
    <row r="1435" spans="1:17" x14ac:dyDescent="0.3">
      <c r="A1435" t="s">
        <v>2099</v>
      </c>
      <c r="B1435" s="2">
        <v>45992</v>
      </c>
      <c r="C1435" t="s">
        <v>26</v>
      </c>
      <c r="D1435" t="s">
        <v>27</v>
      </c>
      <c r="E1435" t="s">
        <v>20</v>
      </c>
      <c r="F1435" t="s">
        <v>407</v>
      </c>
      <c r="G1435" t="s">
        <v>22</v>
      </c>
      <c r="J1435">
        <v>0</v>
      </c>
      <c r="K1435">
        <v>0</v>
      </c>
      <c r="L1435">
        <v>0</v>
      </c>
      <c r="M1435">
        <v>1</v>
      </c>
      <c r="N1435">
        <v>4.3</v>
      </c>
      <c r="O1435">
        <v>5.5</v>
      </c>
      <c r="P1435">
        <v>4.0999999999999996</v>
      </c>
      <c r="Q1435" t="s">
        <v>39</v>
      </c>
    </row>
    <row r="1436" spans="1:17" x14ac:dyDescent="0.3">
      <c r="A1436" t="s">
        <v>2100</v>
      </c>
      <c r="B1436" s="2">
        <v>46164</v>
      </c>
      <c r="C1436" t="s">
        <v>18</v>
      </c>
      <c r="D1436" t="s">
        <v>52</v>
      </c>
      <c r="E1436" t="s">
        <v>28</v>
      </c>
      <c r="F1436" t="s">
        <v>1067</v>
      </c>
      <c r="G1436" t="s">
        <v>44</v>
      </c>
      <c r="H1436" t="s">
        <v>23</v>
      </c>
      <c r="I1436" t="s">
        <v>45</v>
      </c>
      <c r="J1436">
        <v>1</v>
      </c>
      <c r="K1436">
        <v>65100</v>
      </c>
      <c r="L1436">
        <v>0</v>
      </c>
      <c r="N1436">
        <v>12.3</v>
      </c>
      <c r="Q1436" t="s">
        <v>45</v>
      </c>
    </row>
    <row r="1437" spans="1:17" x14ac:dyDescent="0.3">
      <c r="A1437" t="s">
        <v>2101</v>
      </c>
      <c r="B1437" s="2">
        <v>46046</v>
      </c>
      <c r="C1437" t="s">
        <v>18</v>
      </c>
      <c r="D1437" t="s">
        <v>52</v>
      </c>
      <c r="E1437" t="s">
        <v>28</v>
      </c>
      <c r="F1437" t="s">
        <v>1521</v>
      </c>
      <c r="G1437" t="s">
        <v>44</v>
      </c>
      <c r="H1437" t="s">
        <v>23</v>
      </c>
      <c r="I1437" t="s">
        <v>89</v>
      </c>
      <c r="J1437">
        <v>1</v>
      </c>
      <c r="K1437">
        <v>6300</v>
      </c>
      <c r="L1437">
        <v>0</v>
      </c>
      <c r="N1437">
        <v>5.4</v>
      </c>
      <c r="Q1437" t="s">
        <v>89</v>
      </c>
    </row>
    <row r="1438" spans="1:17" x14ac:dyDescent="0.3">
      <c r="A1438" t="s">
        <v>2102</v>
      </c>
      <c r="B1438" s="2">
        <v>46234</v>
      </c>
      <c r="C1438" t="s">
        <v>18</v>
      </c>
      <c r="D1438" t="s">
        <v>47</v>
      </c>
      <c r="E1438" t="s">
        <v>48</v>
      </c>
      <c r="F1438" t="s">
        <v>2103</v>
      </c>
      <c r="G1438" t="s">
        <v>44</v>
      </c>
      <c r="H1438" t="s">
        <v>78</v>
      </c>
      <c r="I1438" t="s">
        <v>67</v>
      </c>
      <c r="J1438">
        <v>1</v>
      </c>
      <c r="K1438">
        <v>28500</v>
      </c>
      <c r="L1438">
        <v>0</v>
      </c>
      <c r="N1438">
        <v>13.2</v>
      </c>
      <c r="Q1438" t="s">
        <v>67</v>
      </c>
    </row>
    <row r="1439" spans="1:17" x14ac:dyDescent="0.3">
      <c r="A1439" t="s">
        <v>2104</v>
      </c>
      <c r="B1439" s="2">
        <v>45961</v>
      </c>
      <c r="C1439" t="s">
        <v>26</v>
      </c>
      <c r="D1439" t="s">
        <v>114</v>
      </c>
      <c r="E1439" t="s">
        <v>48</v>
      </c>
      <c r="F1439" t="s">
        <v>1371</v>
      </c>
      <c r="G1439" t="s">
        <v>30</v>
      </c>
      <c r="J1439">
        <v>0</v>
      </c>
      <c r="K1439">
        <v>0</v>
      </c>
      <c r="L1439">
        <v>0</v>
      </c>
      <c r="M1439">
        <v>1</v>
      </c>
      <c r="N1439">
        <v>7.3</v>
      </c>
      <c r="O1439">
        <v>1.3</v>
      </c>
      <c r="P1439">
        <v>3.2</v>
      </c>
      <c r="Q1439" t="s">
        <v>39</v>
      </c>
    </row>
    <row r="1440" spans="1:17" x14ac:dyDescent="0.3">
      <c r="A1440" t="s">
        <v>2105</v>
      </c>
      <c r="B1440" s="2">
        <v>46218</v>
      </c>
      <c r="C1440" t="s">
        <v>18</v>
      </c>
      <c r="D1440" t="s">
        <v>41</v>
      </c>
      <c r="E1440" t="s">
        <v>20</v>
      </c>
      <c r="F1440" t="s">
        <v>942</v>
      </c>
      <c r="G1440" t="s">
        <v>22</v>
      </c>
      <c r="H1440" t="s">
        <v>86</v>
      </c>
      <c r="I1440" t="s">
        <v>45</v>
      </c>
      <c r="J1440">
        <v>1</v>
      </c>
      <c r="K1440">
        <v>5000</v>
      </c>
      <c r="L1440">
        <v>0</v>
      </c>
      <c r="N1440">
        <v>12.8</v>
      </c>
      <c r="Q1440" t="s">
        <v>45</v>
      </c>
    </row>
    <row r="1441" spans="1:17" x14ac:dyDescent="0.3">
      <c r="A1441" t="s">
        <v>2106</v>
      </c>
      <c r="B1441" s="2">
        <v>46001</v>
      </c>
      <c r="C1441" t="s">
        <v>26</v>
      </c>
      <c r="D1441" t="s">
        <v>232</v>
      </c>
      <c r="E1441" t="s">
        <v>20</v>
      </c>
      <c r="F1441" t="s">
        <v>1849</v>
      </c>
      <c r="G1441" t="s">
        <v>30</v>
      </c>
      <c r="J1441">
        <v>0</v>
      </c>
      <c r="K1441">
        <v>0</v>
      </c>
      <c r="L1441">
        <v>0</v>
      </c>
      <c r="M1441">
        <v>1</v>
      </c>
      <c r="N1441">
        <v>1</v>
      </c>
      <c r="O1441">
        <v>3.7</v>
      </c>
      <c r="P1441">
        <v>3.7</v>
      </c>
      <c r="Q1441" t="s">
        <v>39</v>
      </c>
    </row>
    <row r="1442" spans="1:17" x14ac:dyDescent="0.3">
      <c r="A1442" t="s">
        <v>2107</v>
      </c>
      <c r="B1442" s="2">
        <v>45920</v>
      </c>
      <c r="C1442" t="s">
        <v>26</v>
      </c>
      <c r="D1442" t="s">
        <v>126</v>
      </c>
      <c r="E1442" t="s">
        <v>37</v>
      </c>
      <c r="F1442" t="s">
        <v>801</v>
      </c>
      <c r="G1442" t="s">
        <v>44</v>
      </c>
      <c r="J1442">
        <v>0</v>
      </c>
      <c r="K1442">
        <v>0</v>
      </c>
      <c r="L1442">
        <v>0</v>
      </c>
      <c r="M1442">
        <v>1</v>
      </c>
      <c r="N1442">
        <v>3.3</v>
      </c>
      <c r="O1442">
        <v>2.1</v>
      </c>
      <c r="P1442">
        <v>4.5</v>
      </c>
      <c r="Q1442" t="s">
        <v>39</v>
      </c>
    </row>
    <row r="1443" spans="1:17" x14ac:dyDescent="0.3">
      <c r="A1443" t="s">
        <v>2108</v>
      </c>
      <c r="B1443" s="2">
        <v>46178</v>
      </c>
      <c r="C1443" t="s">
        <v>18</v>
      </c>
      <c r="D1443" t="s">
        <v>117</v>
      </c>
      <c r="E1443" t="s">
        <v>28</v>
      </c>
      <c r="F1443" t="s">
        <v>665</v>
      </c>
      <c r="G1443" t="s">
        <v>30</v>
      </c>
      <c r="H1443" t="s">
        <v>86</v>
      </c>
      <c r="I1443" t="s">
        <v>79</v>
      </c>
      <c r="J1443">
        <v>1</v>
      </c>
      <c r="K1443">
        <v>5000</v>
      </c>
      <c r="L1443">
        <v>0</v>
      </c>
      <c r="N1443">
        <v>18.3</v>
      </c>
      <c r="Q1443" t="s">
        <v>79</v>
      </c>
    </row>
    <row r="1444" spans="1:17" x14ac:dyDescent="0.3">
      <c r="A1444" t="s">
        <v>2109</v>
      </c>
      <c r="B1444" s="2">
        <v>46087</v>
      </c>
      <c r="C1444" t="s">
        <v>26</v>
      </c>
      <c r="D1444" t="s">
        <v>72</v>
      </c>
      <c r="E1444" t="s">
        <v>20</v>
      </c>
      <c r="F1444" t="s">
        <v>512</v>
      </c>
      <c r="G1444" t="s">
        <v>44</v>
      </c>
      <c r="J1444">
        <v>0</v>
      </c>
      <c r="K1444">
        <v>0</v>
      </c>
      <c r="L1444">
        <v>0</v>
      </c>
      <c r="M1444">
        <v>1</v>
      </c>
      <c r="N1444">
        <v>2.6</v>
      </c>
      <c r="O1444">
        <v>3.2</v>
      </c>
      <c r="P1444">
        <v>5</v>
      </c>
      <c r="Q1444" t="s">
        <v>39</v>
      </c>
    </row>
    <row r="1445" spans="1:17" x14ac:dyDescent="0.3">
      <c r="A1445" t="s">
        <v>2110</v>
      </c>
      <c r="B1445" s="2">
        <v>46049</v>
      </c>
      <c r="C1445" t="s">
        <v>18</v>
      </c>
      <c r="D1445" t="s">
        <v>95</v>
      </c>
      <c r="E1445" t="s">
        <v>20</v>
      </c>
      <c r="F1445" t="s">
        <v>923</v>
      </c>
      <c r="G1445" t="s">
        <v>22</v>
      </c>
      <c r="H1445" t="s">
        <v>54</v>
      </c>
      <c r="I1445" t="s">
        <v>45</v>
      </c>
      <c r="J1445">
        <v>1</v>
      </c>
      <c r="K1445">
        <v>25300</v>
      </c>
      <c r="L1445">
        <v>0</v>
      </c>
      <c r="N1445">
        <v>13.7</v>
      </c>
      <c r="Q1445" t="s">
        <v>45</v>
      </c>
    </row>
    <row r="1446" spans="1:17" x14ac:dyDescent="0.3">
      <c r="A1446" t="s">
        <v>2111</v>
      </c>
      <c r="B1446" s="2">
        <v>45965</v>
      </c>
      <c r="C1446" t="s">
        <v>26</v>
      </c>
      <c r="D1446" t="s">
        <v>232</v>
      </c>
      <c r="E1446" t="s">
        <v>28</v>
      </c>
      <c r="F1446" t="s">
        <v>364</v>
      </c>
      <c r="G1446" t="s">
        <v>22</v>
      </c>
      <c r="J1446">
        <v>0</v>
      </c>
      <c r="K1446">
        <v>0</v>
      </c>
      <c r="L1446">
        <v>0</v>
      </c>
      <c r="M1446">
        <v>1</v>
      </c>
      <c r="N1446">
        <v>5.5</v>
      </c>
      <c r="O1446">
        <v>13.8</v>
      </c>
      <c r="P1446">
        <v>3.5</v>
      </c>
      <c r="Q1446" t="s">
        <v>39</v>
      </c>
    </row>
    <row r="1447" spans="1:17" x14ac:dyDescent="0.3">
      <c r="A1447" t="s">
        <v>2112</v>
      </c>
      <c r="B1447" s="2">
        <v>46253</v>
      </c>
      <c r="C1447" t="s">
        <v>18</v>
      </c>
      <c r="D1447" t="s">
        <v>47</v>
      </c>
      <c r="E1447" t="s">
        <v>20</v>
      </c>
      <c r="F1447" t="s">
        <v>1683</v>
      </c>
      <c r="G1447" t="s">
        <v>22</v>
      </c>
      <c r="H1447" t="s">
        <v>54</v>
      </c>
      <c r="I1447" t="s">
        <v>55</v>
      </c>
      <c r="J1447">
        <v>1</v>
      </c>
      <c r="K1447">
        <v>185100</v>
      </c>
      <c r="L1447">
        <v>0</v>
      </c>
      <c r="N1447">
        <v>17</v>
      </c>
      <c r="Q1447" t="s">
        <v>55</v>
      </c>
    </row>
    <row r="1448" spans="1:17" x14ac:dyDescent="0.3">
      <c r="A1448" t="s">
        <v>2113</v>
      </c>
      <c r="B1448" s="2">
        <v>45908</v>
      </c>
      <c r="C1448" t="s">
        <v>26</v>
      </c>
      <c r="D1448" t="s">
        <v>232</v>
      </c>
      <c r="E1448" t="s">
        <v>37</v>
      </c>
      <c r="F1448" t="s">
        <v>1230</v>
      </c>
      <c r="G1448" t="s">
        <v>44</v>
      </c>
      <c r="J1448">
        <v>0</v>
      </c>
      <c r="K1448">
        <v>0</v>
      </c>
      <c r="L1448">
        <v>0</v>
      </c>
      <c r="M1448">
        <v>1</v>
      </c>
      <c r="N1448">
        <v>8.8000000000000007</v>
      </c>
      <c r="O1448">
        <v>3.8</v>
      </c>
      <c r="P1448">
        <v>2.8</v>
      </c>
      <c r="Q1448" t="s">
        <v>31</v>
      </c>
    </row>
    <row r="1449" spans="1:17" x14ac:dyDescent="0.3">
      <c r="A1449" t="s">
        <v>2114</v>
      </c>
      <c r="B1449" s="2">
        <v>46243</v>
      </c>
      <c r="C1449" t="s">
        <v>26</v>
      </c>
      <c r="D1449" t="s">
        <v>232</v>
      </c>
      <c r="E1449" t="s">
        <v>48</v>
      </c>
      <c r="F1449" t="s">
        <v>142</v>
      </c>
      <c r="G1449" t="s">
        <v>44</v>
      </c>
      <c r="J1449">
        <v>0</v>
      </c>
      <c r="K1449">
        <v>0</v>
      </c>
      <c r="L1449">
        <v>0</v>
      </c>
      <c r="M1449">
        <v>1</v>
      </c>
      <c r="N1449">
        <v>1.4</v>
      </c>
      <c r="O1449">
        <v>9.4</v>
      </c>
      <c r="P1449">
        <v>3.3</v>
      </c>
      <c r="Q1449" t="s">
        <v>39</v>
      </c>
    </row>
    <row r="1450" spans="1:17" x14ac:dyDescent="0.3">
      <c r="A1450" t="s">
        <v>2115</v>
      </c>
      <c r="B1450" s="2">
        <v>46082</v>
      </c>
      <c r="C1450" t="s">
        <v>26</v>
      </c>
      <c r="D1450" t="s">
        <v>69</v>
      </c>
      <c r="E1450" t="s">
        <v>42</v>
      </c>
      <c r="F1450" t="s">
        <v>481</v>
      </c>
      <c r="G1450" t="s">
        <v>44</v>
      </c>
      <c r="J1450">
        <v>0</v>
      </c>
      <c r="K1450">
        <v>0</v>
      </c>
      <c r="L1450">
        <v>0</v>
      </c>
      <c r="M1450">
        <v>1</v>
      </c>
      <c r="N1450">
        <v>0.9</v>
      </c>
      <c r="O1450">
        <v>3.2</v>
      </c>
      <c r="P1450">
        <v>5</v>
      </c>
      <c r="Q1450" t="s">
        <v>39</v>
      </c>
    </row>
    <row r="1451" spans="1:17" x14ac:dyDescent="0.3">
      <c r="A1451" t="s">
        <v>2116</v>
      </c>
      <c r="B1451" s="2">
        <v>46012</v>
      </c>
      <c r="C1451" t="s">
        <v>26</v>
      </c>
      <c r="D1451" t="s">
        <v>72</v>
      </c>
      <c r="E1451" t="s">
        <v>20</v>
      </c>
      <c r="F1451" t="s">
        <v>1108</v>
      </c>
      <c r="G1451" t="s">
        <v>22</v>
      </c>
      <c r="J1451">
        <v>0</v>
      </c>
      <c r="K1451">
        <v>0</v>
      </c>
      <c r="L1451">
        <v>0</v>
      </c>
      <c r="M1451">
        <v>1</v>
      </c>
      <c r="N1451">
        <v>11.8</v>
      </c>
      <c r="O1451">
        <v>6.1</v>
      </c>
      <c r="P1451">
        <v>4</v>
      </c>
      <c r="Q1451" t="s">
        <v>39</v>
      </c>
    </row>
    <row r="1452" spans="1:17" x14ac:dyDescent="0.3">
      <c r="A1452" t="s">
        <v>2117</v>
      </c>
      <c r="B1452" s="2">
        <v>46137</v>
      </c>
      <c r="C1452" t="s">
        <v>18</v>
      </c>
      <c r="D1452" t="s">
        <v>41</v>
      </c>
      <c r="E1452" t="s">
        <v>20</v>
      </c>
      <c r="F1452" t="s">
        <v>502</v>
      </c>
      <c r="G1452" t="s">
        <v>22</v>
      </c>
      <c r="H1452" t="s">
        <v>23</v>
      </c>
      <c r="I1452" t="s">
        <v>24</v>
      </c>
      <c r="J1452">
        <v>1</v>
      </c>
      <c r="K1452">
        <v>6300</v>
      </c>
      <c r="L1452">
        <v>6300</v>
      </c>
      <c r="N1452">
        <v>3.3</v>
      </c>
      <c r="Q1452" t="s">
        <v>24</v>
      </c>
    </row>
    <row r="1453" spans="1:17" x14ac:dyDescent="0.3">
      <c r="A1453" t="s">
        <v>2118</v>
      </c>
      <c r="B1453" s="2">
        <v>46236</v>
      </c>
      <c r="C1453" t="s">
        <v>26</v>
      </c>
      <c r="D1453" t="s">
        <v>126</v>
      </c>
      <c r="E1453" t="s">
        <v>20</v>
      </c>
      <c r="F1453" t="s">
        <v>2119</v>
      </c>
      <c r="G1453" t="s">
        <v>22</v>
      </c>
      <c r="J1453">
        <v>0</v>
      </c>
      <c r="K1453">
        <v>0</v>
      </c>
      <c r="L1453">
        <v>0</v>
      </c>
      <c r="M1453">
        <v>1</v>
      </c>
      <c r="N1453">
        <v>10.7</v>
      </c>
      <c r="O1453">
        <v>21.7</v>
      </c>
      <c r="P1453">
        <v>4.4000000000000004</v>
      </c>
      <c r="Q1453" t="s">
        <v>39</v>
      </c>
    </row>
    <row r="1454" spans="1:17" x14ac:dyDescent="0.3">
      <c r="A1454" t="s">
        <v>2120</v>
      </c>
      <c r="B1454" s="2">
        <v>45975</v>
      </c>
      <c r="C1454" t="s">
        <v>26</v>
      </c>
      <c r="D1454" t="s">
        <v>69</v>
      </c>
      <c r="E1454" t="s">
        <v>48</v>
      </c>
      <c r="F1454" t="s">
        <v>286</v>
      </c>
      <c r="G1454" t="s">
        <v>22</v>
      </c>
      <c r="J1454">
        <v>0</v>
      </c>
      <c r="K1454">
        <v>0</v>
      </c>
      <c r="L1454">
        <v>0</v>
      </c>
      <c r="M1454">
        <v>1</v>
      </c>
      <c r="N1454">
        <v>1.8</v>
      </c>
      <c r="O1454">
        <v>3.8</v>
      </c>
      <c r="P1454">
        <v>4.4000000000000004</v>
      </c>
      <c r="Q1454" t="s">
        <v>31</v>
      </c>
    </row>
    <row r="1455" spans="1:17" x14ac:dyDescent="0.3">
      <c r="A1455" t="s">
        <v>2121</v>
      </c>
      <c r="B1455" s="2">
        <v>45958</v>
      </c>
      <c r="C1455" t="s">
        <v>26</v>
      </c>
      <c r="D1455" t="s">
        <v>69</v>
      </c>
      <c r="E1455" t="s">
        <v>20</v>
      </c>
      <c r="F1455" t="s">
        <v>301</v>
      </c>
      <c r="G1455" t="s">
        <v>44</v>
      </c>
      <c r="J1455">
        <v>0</v>
      </c>
      <c r="K1455">
        <v>0</v>
      </c>
      <c r="L1455">
        <v>0</v>
      </c>
      <c r="M1455">
        <v>1</v>
      </c>
      <c r="N1455">
        <v>8</v>
      </c>
      <c r="O1455">
        <v>14.5</v>
      </c>
      <c r="P1455">
        <v>5</v>
      </c>
      <c r="Q1455" t="s">
        <v>225</v>
      </c>
    </row>
    <row r="1456" spans="1:17" x14ac:dyDescent="0.3">
      <c r="A1456" t="s">
        <v>2122</v>
      </c>
      <c r="B1456" s="2">
        <v>46177</v>
      </c>
      <c r="C1456" t="s">
        <v>18</v>
      </c>
      <c r="D1456" t="s">
        <v>52</v>
      </c>
      <c r="E1456" t="s">
        <v>37</v>
      </c>
      <c r="F1456" t="s">
        <v>742</v>
      </c>
      <c r="G1456" t="s">
        <v>30</v>
      </c>
      <c r="H1456" t="s">
        <v>78</v>
      </c>
      <c r="I1456" t="s">
        <v>45</v>
      </c>
      <c r="J1456">
        <v>1</v>
      </c>
      <c r="K1456">
        <v>20100</v>
      </c>
      <c r="L1456">
        <v>0</v>
      </c>
      <c r="N1456">
        <v>8.8000000000000007</v>
      </c>
      <c r="Q1456" t="s">
        <v>45</v>
      </c>
    </row>
    <row r="1457" spans="1:17" x14ac:dyDescent="0.3">
      <c r="A1457" t="s">
        <v>2123</v>
      </c>
      <c r="B1457" s="2">
        <v>46019</v>
      </c>
      <c r="C1457" t="s">
        <v>26</v>
      </c>
      <c r="D1457" t="s">
        <v>126</v>
      </c>
      <c r="E1457" t="s">
        <v>28</v>
      </c>
      <c r="F1457" t="s">
        <v>191</v>
      </c>
      <c r="G1457" t="s">
        <v>44</v>
      </c>
      <c r="J1457">
        <v>0</v>
      </c>
      <c r="K1457">
        <v>0</v>
      </c>
      <c r="L1457">
        <v>0</v>
      </c>
      <c r="M1457">
        <v>1</v>
      </c>
      <c r="N1457">
        <v>11.2</v>
      </c>
      <c r="O1457">
        <v>5.8</v>
      </c>
      <c r="P1457">
        <v>4.2</v>
      </c>
      <c r="Q1457" t="s">
        <v>62</v>
      </c>
    </row>
    <row r="1458" spans="1:17" x14ac:dyDescent="0.3">
      <c r="A1458" t="s">
        <v>2124</v>
      </c>
      <c r="B1458" s="2">
        <v>46163</v>
      </c>
      <c r="C1458" t="s">
        <v>26</v>
      </c>
      <c r="D1458" t="s">
        <v>27</v>
      </c>
      <c r="E1458" t="s">
        <v>20</v>
      </c>
      <c r="F1458" t="s">
        <v>417</v>
      </c>
      <c r="G1458" t="s">
        <v>22</v>
      </c>
      <c r="J1458">
        <v>0</v>
      </c>
      <c r="K1458">
        <v>0</v>
      </c>
      <c r="L1458">
        <v>0</v>
      </c>
      <c r="M1458">
        <v>1</v>
      </c>
      <c r="N1458">
        <v>10.5</v>
      </c>
      <c r="O1458">
        <v>12.4</v>
      </c>
      <c r="P1458">
        <v>4.7</v>
      </c>
      <c r="Q1458" t="s">
        <v>39</v>
      </c>
    </row>
    <row r="1459" spans="1:17" x14ac:dyDescent="0.3">
      <c r="A1459" t="s">
        <v>2125</v>
      </c>
      <c r="B1459" s="2">
        <v>46265</v>
      </c>
      <c r="C1459" t="s">
        <v>26</v>
      </c>
      <c r="D1459" t="s">
        <v>69</v>
      </c>
      <c r="E1459" t="s">
        <v>28</v>
      </c>
      <c r="F1459" t="s">
        <v>1890</v>
      </c>
      <c r="G1459" t="s">
        <v>22</v>
      </c>
      <c r="J1459">
        <v>0</v>
      </c>
      <c r="K1459">
        <v>0</v>
      </c>
      <c r="L1459">
        <v>0</v>
      </c>
      <c r="M1459">
        <v>1</v>
      </c>
      <c r="N1459">
        <v>6</v>
      </c>
      <c r="O1459">
        <v>24.1</v>
      </c>
      <c r="P1459">
        <v>2.6</v>
      </c>
      <c r="Q1459" t="s">
        <v>39</v>
      </c>
    </row>
    <row r="1460" spans="1:17" x14ac:dyDescent="0.3">
      <c r="A1460" t="s">
        <v>2126</v>
      </c>
      <c r="B1460" s="2">
        <v>46104</v>
      </c>
      <c r="C1460" t="s">
        <v>18</v>
      </c>
      <c r="D1460" t="s">
        <v>41</v>
      </c>
      <c r="E1460" t="s">
        <v>20</v>
      </c>
      <c r="F1460" t="s">
        <v>256</v>
      </c>
      <c r="G1460" t="s">
        <v>30</v>
      </c>
      <c r="H1460" t="s">
        <v>86</v>
      </c>
      <c r="I1460" t="s">
        <v>45</v>
      </c>
      <c r="J1460">
        <v>1</v>
      </c>
      <c r="K1460">
        <v>17100</v>
      </c>
      <c r="L1460">
        <v>0</v>
      </c>
      <c r="N1460">
        <v>21.4</v>
      </c>
      <c r="Q1460" t="s">
        <v>45</v>
      </c>
    </row>
    <row r="1461" spans="1:17" x14ac:dyDescent="0.3">
      <c r="A1461" t="s">
        <v>2127</v>
      </c>
      <c r="B1461" s="2">
        <v>46154</v>
      </c>
      <c r="C1461" t="s">
        <v>26</v>
      </c>
      <c r="D1461" t="s">
        <v>232</v>
      </c>
      <c r="E1461" t="s">
        <v>42</v>
      </c>
      <c r="F1461" t="s">
        <v>176</v>
      </c>
      <c r="G1461" t="s">
        <v>30</v>
      </c>
      <c r="J1461">
        <v>0</v>
      </c>
      <c r="K1461">
        <v>0</v>
      </c>
      <c r="L1461">
        <v>0</v>
      </c>
      <c r="M1461">
        <v>1</v>
      </c>
      <c r="N1461">
        <v>3.2</v>
      </c>
      <c r="O1461">
        <v>2.7</v>
      </c>
      <c r="P1461">
        <v>3.6</v>
      </c>
      <c r="Q1461" t="s">
        <v>225</v>
      </c>
    </row>
    <row r="1462" spans="1:17" x14ac:dyDescent="0.3">
      <c r="A1462" t="s">
        <v>2128</v>
      </c>
      <c r="B1462" s="2">
        <v>46211</v>
      </c>
      <c r="C1462" t="s">
        <v>18</v>
      </c>
      <c r="D1462" t="s">
        <v>19</v>
      </c>
      <c r="E1462" t="s">
        <v>42</v>
      </c>
      <c r="F1462" t="s">
        <v>2129</v>
      </c>
      <c r="G1462" t="s">
        <v>22</v>
      </c>
      <c r="H1462" t="s">
        <v>78</v>
      </c>
      <c r="I1462" t="s">
        <v>67</v>
      </c>
      <c r="J1462">
        <v>1</v>
      </c>
      <c r="K1462">
        <v>46100</v>
      </c>
      <c r="L1462">
        <v>0</v>
      </c>
      <c r="N1462">
        <v>13.4</v>
      </c>
      <c r="Q1462" t="s">
        <v>67</v>
      </c>
    </row>
    <row r="1463" spans="1:17" x14ac:dyDescent="0.3">
      <c r="A1463" t="s">
        <v>2130</v>
      </c>
      <c r="B1463" s="2">
        <v>45961</v>
      </c>
      <c r="C1463" t="s">
        <v>26</v>
      </c>
      <c r="D1463" t="s">
        <v>72</v>
      </c>
      <c r="E1463" t="s">
        <v>42</v>
      </c>
      <c r="F1463" t="s">
        <v>2131</v>
      </c>
      <c r="G1463" t="s">
        <v>30</v>
      </c>
      <c r="J1463">
        <v>0</v>
      </c>
      <c r="K1463">
        <v>0</v>
      </c>
      <c r="L1463">
        <v>0</v>
      </c>
      <c r="M1463">
        <v>1</v>
      </c>
      <c r="N1463">
        <v>6.3</v>
      </c>
      <c r="O1463">
        <v>17</v>
      </c>
      <c r="P1463">
        <v>4.4000000000000004</v>
      </c>
      <c r="Q1463" t="s">
        <v>39</v>
      </c>
    </row>
    <row r="1464" spans="1:17" x14ac:dyDescent="0.3">
      <c r="A1464" t="s">
        <v>2132</v>
      </c>
      <c r="B1464" s="2">
        <v>46130</v>
      </c>
      <c r="C1464" t="s">
        <v>18</v>
      </c>
      <c r="D1464" t="s">
        <v>64</v>
      </c>
      <c r="E1464" t="s">
        <v>20</v>
      </c>
      <c r="F1464" t="s">
        <v>1701</v>
      </c>
      <c r="G1464" t="s">
        <v>22</v>
      </c>
      <c r="H1464" t="s">
        <v>78</v>
      </c>
      <c r="I1464" t="s">
        <v>24</v>
      </c>
      <c r="J1464">
        <v>1</v>
      </c>
      <c r="K1464">
        <v>187300</v>
      </c>
      <c r="L1464">
        <v>187300</v>
      </c>
      <c r="N1464">
        <v>14.2</v>
      </c>
      <c r="Q1464" t="s">
        <v>24</v>
      </c>
    </row>
    <row r="1465" spans="1:17" x14ac:dyDescent="0.3">
      <c r="A1465" t="s">
        <v>2133</v>
      </c>
      <c r="B1465" s="2">
        <v>46166</v>
      </c>
      <c r="C1465" t="s">
        <v>26</v>
      </c>
      <c r="D1465" t="s">
        <v>72</v>
      </c>
      <c r="E1465" t="s">
        <v>28</v>
      </c>
      <c r="F1465" t="s">
        <v>1441</v>
      </c>
      <c r="G1465" t="s">
        <v>44</v>
      </c>
      <c r="J1465">
        <v>0</v>
      </c>
      <c r="K1465">
        <v>0</v>
      </c>
      <c r="L1465">
        <v>0</v>
      </c>
      <c r="M1465">
        <v>1</v>
      </c>
      <c r="N1465">
        <v>10.7</v>
      </c>
      <c r="O1465">
        <v>15.5</v>
      </c>
      <c r="P1465">
        <v>3.9</v>
      </c>
      <c r="Q1465" t="s">
        <v>31</v>
      </c>
    </row>
    <row r="1466" spans="1:17" x14ac:dyDescent="0.3">
      <c r="A1466" t="s">
        <v>2134</v>
      </c>
      <c r="B1466" s="2">
        <v>46099</v>
      </c>
      <c r="C1466" t="s">
        <v>26</v>
      </c>
      <c r="D1466" t="s">
        <v>69</v>
      </c>
      <c r="E1466" t="s">
        <v>20</v>
      </c>
      <c r="F1466" t="s">
        <v>984</v>
      </c>
      <c r="G1466" t="s">
        <v>22</v>
      </c>
      <c r="J1466">
        <v>0</v>
      </c>
      <c r="K1466">
        <v>0</v>
      </c>
      <c r="L1466">
        <v>0</v>
      </c>
      <c r="M1466">
        <v>1</v>
      </c>
      <c r="N1466">
        <v>6.2</v>
      </c>
      <c r="O1466">
        <v>6.6</v>
      </c>
      <c r="P1466">
        <v>4.8</v>
      </c>
      <c r="Q1466" t="s">
        <v>39</v>
      </c>
    </row>
    <row r="1467" spans="1:17" x14ac:dyDescent="0.3">
      <c r="A1467" t="s">
        <v>2135</v>
      </c>
      <c r="B1467" s="2">
        <v>46104</v>
      </c>
      <c r="C1467" t="s">
        <v>18</v>
      </c>
      <c r="D1467" t="s">
        <v>19</v>
      </c>
      <c r="E1467" t="s">
        <v>28</v>
      </c>
      <c r="F1467" t="s">
        <v>2136</v>
      </c>
      <c r="G1467" t="s">
        <v>22</v>
      </c>
      <c r="H1467" t="s">
        <v>66</v>
      </c>
      <c r="I1467" t="s">
        <v>55</v>
      </c>
      <c r="J1467">
        <v>1</v>
      </c>
      <c r="K1467">
        <v>55700</v>
      </c>
      <c r="L1467">
        <v>0</v>
      </c>
      <c r="N1467">
        <v>11.6</v>
      </c>
      <c r="Q1467" t="s">
        <v>55</v>
      </c>
    </row>
    <row r="1468" spans="1:17" x14ac:dyDescent="0.3">
      <c r="A1468" t="s">
        <v>2137</v>
      </c>
      <c r="B1468" s="2">
        <v>45949</v>
      </c>
      <c r="C1468" t="s">
        <v>26</v>
      </c>
      <c r="D1468" t="s">
        <v>69</v>
      </c>
      <c r="E1468" t="s">
        <v>37</v>
      </c>
      <c r="F1468" t="s">
        <v>266</v>
      </c>
      <c r="G1468" t="s">
        <v>50</v>
      </c>
      <c r="J1468">
        <v>0</v>
      </c>
      <c r="K1468">
        <v>0</v>
      </c>
      <c r="L1468">
        <v>0</v>
      </c>
      <c r="M1468">
        <v>1</v>
      </c>
      <c r="N1468">
        <v>0.8</v>
      </c>
      <c r="O1468">
        <v>6.1</v>
      </c>
      <c r="P1468">
        <v>3.9</v>
      </c>
      <c r="Q1468" t="s">
        <v>62</v>
      </c>
    </row>
    <row r="1469" spans="1:17" x14ac:dyDescent="0.3">
      <c r="A1469" t="s">
        <v>2138</v>
      </c>
      <c r="B1469" s="2">
        <v>46050</v>
      </c>
      <c r="C1469" t="s">
        <v>18</v>
      </c>
      <c r="D1469" t="s">
        <v>41</v>
      </c>
      <c r="E1469" t="s">
        <v>28</v>
      </c>
      <c r="F1469" t="s">
        <v>594</v>
      </c>
      <c r="G1469" t="s">
        <v>30</v>
      </c>
      <c r="H1469" t="s">
        <v>54</v>
      </c>
      <c r="I1469" t="s">
        <v>67</v>
      </c>
      <c r="J1469">
        <v>1</v>
      </c>
      <c r="K1469">
        <v>35100</v>
      </c>
      <c r="L1469">
        <v>0</v>
      </c>
      <c r="N1469">
        <v>18</v>
      </c>
      <c r="Q1469" t="s">
        <v>67</v>
      </c>
    </row>
    <row r="1470" spans="1:17" x14ac:dyDescent="0.3">
      <c r="A1470" t="s">
        <v>2139</v>
      </c>
      <c r="B1470" s="2">
        <v>46197</v>
      </c>
      <c r="C1470" t="s">
        <v>26</v>
      </c>
      <c r="D1470" t="s">
        <v>69</v>
      </c>
      <c r="E1470" t="s">
        <v>20</v>
      </c>
      <c r="F1470" t="s">
        <v>2136</v>
      </c>
      <c r="G1470" t="s">
        <v>22</v>
      </c>
      <c r="J1470">
        <v>0</v>
      </c>
      <c r="K1470">
        <v>0</v>
      </c>
      <c r="L1470">
        <v>0</v>
      </c>
      <c r="M1470">
        <v>1</v>
      </c>
      <c r="N1470">
        <v>1.8</v>
      </c>
      <c r="O1470">
        <v>10.1</v>
      </c>
      <c r="P1470">
        <v>5</v>
      </c>
      <c r="Q1470" t="s">
        <v>62</v>
      </c>
    </row>
    <row r="1471" spans="1:17" x14ac:dyDescent="0.3">
      <c r="A1471" t="s">
        <v>2140</v>
      </c>
      <c r="B1471" s="2">
        <v>46235</v>
      </c>
      <c r="C1471" t="s">
        <v>26</v>
      </c>
      <c r="D1471" t="s">
        <v>114</v>
      </c>
      <c r="E1471" t="s">
        <v>28</v>
      </c>
      <c r="F1471" t="s">
        <v>1273</v>
      </c>
      <c r="G1471" t="s">
        <v>22</v>
      </c>
      <c r="J1471">
        <v>0</v>
      </c>
      <c r="K1471">
        <v>0</v>
      </c>
      <c r="L1471">
        <v>0</v>
      </c>
      <c r="M1471">
        <v>1</v>
      </c>
      <c r="N1471">
        <v>9.1999999999999993</v>
      </c>
      <c r="O1471">
        <v>10.8</v>
      </c>
      <c r="P1471">
        <v>4.5999999999999996</v>
      </c>
      <c r="Q1471" t="s">
        <v>39</v>
      </c>
    </row>
    <row r="1472" spans="1:17" x14ac:dyDescent="0.3">
      <c r="A1472" t="s">
        <v>2141</v>
      </c>
      <c r="B1472" s="2">
        <v>45950</v>
      </c>
      <c r="C1472" t="s">
        <v>26</v>
      </c>
      <c r="D1472" t="s">
        <v>69</v>
      </c>
      <c r="E1472" t="s">
        <v>37</v>
      </c>
      <c r="F1472" t="s">
        <v>1332</v>
      </c>
      <c r="G1472" t="s">
        <v>30</v>
      </c>
      <c r="J1472">
        <v>0</v>
      </c>
      <c r="K1472">
        <v>0</v>
      </c>
      <c r="L1472">
        <v>0</v>
      </c>
      <c r="M1472">
        <v>1</v>
      </c>
      <c r="N1472">
        <v>1.1000000000000001</v>
      </c>
      <c r="O1472">
        <v>3.1</v>
      </c>
      <c r="P1472">
        <v>4</v>
      </c>
      <c r="Q1472" t="s">
        <v>225</v>
      </c>
    </row>
    <row r="1473" spans="1:17" x14ac:dyDescent="0.3">
      <c r="A1473" t="s">
        <v>2142</v>
      </c>
      <c r="B1473" s="2">
        <v>46199</v>
      </c>
      <c r="C1473" t="s">
        <v>26</v>
      </c>
      <c r="D1473" t="s">
        <v>72</v>
      </c>
      <c r="E1473" t="s">
        <v>20</v>
      </c>
      <c r="F1473" t="s">
        <v>270</v>
      </c>
      <c r="G1473" t="s">
        <v>22</v>
      </c>
      <c r="J1473">
        <v>0</v>
      </c>
      <c r="K1473">
        <v>0</v>
      </c>
      <c r="L1473">
        <v>0</v>
      </c>
      <c r="M1473">
        <v>1</v>
      </c>
      <c r="N1473">
        <v>2.8</v>
      </c>
      <c r="O1473">
        <v>3.6</v>
      </c>
      <c r="P1473">
        <v>5</v>
      </c>
      <c r="Q1473" t="s">
        <v>39</v>
      </c>
    </row>
    <row r="1474" spans="1:17" x14ac:dyDescent="0.3">
      <c r="A1474" t="s">
        <v>2143</v>
      </c>
      <c r="B1474" s="2">
        <v>46167</v>
      </c>
      <c r="C1474" t="s">
        <v>26</v>
      </c>
      <c r="D1474" t="s">
        <v>27</v>
      </c>
      <c r="E1474" t="s">
        <v>37</v>
      </c>
      <c r="F1474" t="s">
        <v>1599</v>
      </c>
      <c r="G1474" t="s">
        <v>44</v>
      </c>
      <c r="J1474">
        <v>0</v>
      </c>
      <c r="K1474">
        <v>0</v>
      </c>
      <c r="L1474">
        <v>0</v>
      </c>
      <c r="M1474">
        <v>1</v>
      </c>
      <c r="N1474">
        <v>0.5</v>
      </c>
      <c r="O1474">
        <v>5.5</v>
      </c>
      <c r="P1474">
        <v>5</v>
      </c>
      <c r="Q1474" t="s">
        <v>31</v>
      </c>
    </row>
    <row r="1475" spans="1:17" x14ac:dyDescent="0.3">
      <c r="A1475" t="s">
        <v>2144</v>
      </c>
      <c r="B1475" s="2">
        <v>46057</v>
      </c>
      <c r="C1475" t="s">
        <v>18</v>
      </c>
      <c r="D1475" t="s">
        <v>19</v>
      </c>
      <c r="E1475" t="s">
        <v>48</v>
      </c>
      <c r="F1475" t="s">
        <v>364</v>
      </c>
      <c r="G1475" t="s">
        <v>44</v>
      </c>
      <c r="H1475" t="s">
        <v>23</v>
      </c>
      <c r="I1475" t="s">
        <v>45</v>
      </c>
      <c r="J1475">
        <v>1</v>
      </c>
      <c r="K1475">
        <v>45800</v>
      </c>
      <c r="L1475">
        <v>0</v>
      </c>
      <c r="N1475">
        <v>16.100000000000001</v>
      </c>
      <c r="Q1475" t="s">
        <v>45</v>
      </c>
    </row>
    <row r="1476" spans="1:17" x14ac:dyDescent="0.3">
      <c r="A1476" t="s">
        <v>2145</v>
      </c>
      <c r="B1476" s="2">
        <v>46264</v>
      </c>
      <c r="C1476" t="s">
        <v>18</v>
      </c>
      <c r="D1476" t="s">
        <v>41</v>
      </c>
      <c r="E1476" t="s">
        <v>20</v>
      </c>
      <c r="F1476" t="s">
        <v>2146</v>
      </c>
      <c r="G1476" t="s">
        <v>50</v>
      </c>
      <c r="H1476" t="s">
        <v>78</v>
      </c>
      <c r="I1476" t="s">
        <v>67</v>
      </c>
      <c r="J1476">
        <v>1</v>
      </c>
      <c r="K1476">
        <v>126800</v>
      </c>
      <c r="L1476">
        <v>0</v>
      </c>
      <c r="N1476">
        <v>23.7</v>
      </c>
      <c r="Q1476" t="s">
        <v>67</v>
      </c>
    </row>
    <row r="1477" spans="1:17" x14ac:dyDescent="0.3">
      <c r="A1477" t="s">
        <v>2147</v>
      </c>
      <c r="B1477" s="2">
        <v>46002</v>
      </c>
      <c r="C1477" t="s">
        <v>26</v>
      </c>
      <c r="D1477" t="s">
        <v>33</v>
      </c>
      <c r="E1477" t="s">
        <v>48</v>
      </c>
      <c r="F1477" t="s">
        <v>681</v>
      </c>
      <c r="G1477" t="s">
        <v>22</v>
      </c>
      <c r="J1477">
        <v>0</v>
      </c>
      <c r="K1477">
        <v>0</v>
      </c>
      <c r="L1477">
        <v>0</v>
      </c>
      <c r="M1477">
        <v>1</v>
      </c>
      <c r="N1477">
        <v>1.8</v>
      </c>
      <c r="O1477">
        <v>6</v>
      </c>
      <c r="P1477">
        <v>3.1</v>
      </c>
      <c r="Q1477" t="s">
        <v>39</v>
      </c>
    </row>
    <row r="1478" spans="1:17" x14ac:dyDescent="0.3">
      <c r="A1478" t="s">
        <v>2148</v>
      </c>
      <c r="B1478" s="2">
        <v>46235</v>
      </c>
      <c r="C1478" t="s">
        <v>26</v>
      </c>
      <c r="D1478" t="s">
        <v>126</v>
      </c>
      <c r="E1478" t="s">
        <v>28</v>
      </c>
      <c r="F1478" t="s">
        <v>205</v>
      </c>
      <c r="G1478" t="s">
        <v>22</v>
      </c>
      <c r="J1478">
        <v>0</v>
      </c>
      <c r="K1478">
        <v>0</v>
      </c>
      <c r="L1478">
        <v>0</v>
      </c>
      <c r="M1478">
        <v>1</v>
      </c>
      <c r="N1478">
        <v>0.8</v>
      </c>
      <c r="O1478">
        <v>12.4</v>
      </c>
      <c r="P1478">
        <v>3.6</v>
      </c>
      <c r="Q1478" t="s">
        <v>62</v>
      </c>
    </row>
    <row r="1479" spans="1:17" x14ac:dyDescent="0.3">
      <c r="A1479" t="s">
        <v>2149</v>
      </c>
      <c r="B1479" s="2">
        <v>46104</v>
      </c>
      <c r="C1479" t="s">
        <v>26</v>
      </c>
      <c r="D1479" t="s">
        <v>69</v>
      </c>
      <c r="E1479" t="s">
        <v>28</v>
      </c>
      <c r="F1479" t="s">
        <v>463</v>
      </c>
      <c r="G1479" t="s">
        <v>50</v>
      </c>
      <c r="J1479">
        <v>0</v>
      </c>
      <c r="K1479">
        <v>0</v>
      </c>
      <c r="L1479">
        <v>0</v>
      </c>
      <c r="M1479">
        <v>1</v>
      </c>
      <c r="N1479">
        <v>9.5</v>
      </c>
      <c r="O1479">
        <v>9.6</v>
      </c>
      <c r="P1479">
        <v>4.8</v>
      </c>
      <c r="Q1479" t="s">
        <v>39</v>
      </c>
    </row>
    <row r="1480" spans="1:17" x14ac:dyDescent="0.3">
      <c r="A1480" t="s">
        <v>2150</v>
      </c>
      <c r="B1480" s="2">
        <v>46015</v>
      </c>
      <c r="C1480" t="s">
        <v>26</v>
      </c>
      <c r="D1480" t="s">
        <v>27</v>
      </c>
      <c r="E1480" t="s">
        <v>42</v>
      </c>
      <c r="F1480" t="s">
        <v>235</v>
      </c>
      <c r="G1480" t="s">
        <v>30</v>
      </c>
      <c r="J1480">
        <v>0</v>
      </c>
      <c r="K1480">
        <v>0</v>
      </c>
      <c r="L1480">
        <v>0</v>
      </c>
      <c r="M1480">
        <v>1</v>
      </c>
      <c r="N1480">
        <v>11.4</v>
      </c>
      <c r="O1480">
        <v>5.6</v>
      </c>
      <c r="P1480">
        <v>4.4000000000000004</v>
      </c>
      <c r="Q1480" t="s">
        <v>39</v>
      </c>
    </row>
    <row r="1481" spans="1:17" x14ac:dyDescent="0.3">
      <c r="A1481" t="s">
        <v>2151</v>
      </c>
      <c r="B1481" s="2">
        <v>45966</v>
      </c>
      <c r="C1481" t="s">
        <v>18</v>
      </c>
      <c r="D1481" t="s">
        <v>95</v>
      </c>
      <c r="E1481" t="s">
        <v>28</v>
      </c>
      <c r="F1481" t="s">
        <v>570</v>
      </c>
      <c r="G1481" t="s">
        <v>22</v>
      </c>
      <c r="H1481" t="s">
        <v>78</v>
      </c>
      <c r="I1481" t="s">
        <v>24</v>
      </c>
      <c r="J1481">
        <v>1</v>
      </c>
      <c r="K1481">
        <v>7600</v>
      </c>
      <c r="L1481">
        <v>7600</v>
      </c>
      <c r="N1481">
        <v>8.5</v>
      </c>
      <c r="Q1481" t="s">
        <v>24</v>
      </c>
    </row>
    <row r="1482" spans="1:17" x14ac:dyDescent="0.3">
      <c r="A1482" t="s">
        <v>2152</v>
      </c>
      <c r="B1482" s="2">
        <v>46076</v>
      </c>
      <c r="C1482" t="s">
        <v>26</v>
      </c>
      <c r="D1482" t="s">
        <v>114</v>
      </c>
      <c r="E1482" t="s">
        <v>28</v>
      </c>
      <c r="F1482" t="s">
        <v>932</v>
      </c>
      <c r="G1482" t="s">
        <v>30</v>
      </c>
      <c r="J1482">
        <v>0</v>
      </c>
      <c r="K1482">
        <v>0</v>
      </c>
      <c r="L1482">
        <v>0</v>
      </c>
      <c r="M1482">
        <v>1</v>
      </c>
      <c r="N1482">
        <v>4.5</v>
      </c>
      <c r="O1482">
        <v>7.7</v>
      </c>
      <c r="P1482">
        <v>4.3</v>
      </c>
      <c r="Q1482" t="s">
        <v>62</v>
      </c>
    </row>
    <row r="1483" spans="1:17" x14ac:dyDescent="0.3">
      <c r="A1483" t="s">
        <v>2153</v>
      </c>
      <c r="B1483" s="2">
        <v>45940</v>
      </c>
      <c r="C1483" t="s">
        <v>18</v>
      </c>
      <c r="D1483" t="s">
        <v>105</v>
      </c>
      <c r="E1483" t="s">
        <v>20</v>
      </c>
      <c r="F1483" t="s">
        <v>621</v>
      </c>
      <c r="G1483" t="s">
        <v>22</v>
      </c>
      <c r="H1483" t="s">
        <v>23</v>
      </c>
      <c r="I1483" t="s">
        <v>45</v>
      </c>
      <c r="J1483">
        <v>1</v>
      </c>
      <c r="K1483">
        <v>125000</v>
      </c>
      <c r="L1483">
        <v>0</v>
      </c>
      <c r="N1483">
        <v>2</v>
      </c>
      <c r="Q1483" t="s">
        <v>45</v>
      </c>
    </row>
    <row r="1484" spans="1:17" x14ac:dyDescent="0.3">
      <c r="A1484" t="s">
        <v>2154</v>
      </c>
      <c r="B1484" s="2">
        <v>46034</v>
      </c>
      <c r="C1484" t="s">
        <v>18</v>
      </c>
      <c r="D1484" t="s">
        <v>117</v>
      </c>
      <c r="E1484" t="s">
        <v>20</v>
      </c>
      <c r="F1484" t="s">
        <v>314</v>
      </c>
      <c r="G1484" t="s">
        <v>22</v>
      </c>
      <c r="H1484" t="s">
        <v>78</v>
      </c>
      <c r="I1484" t="s">
        <v>55</v>
      </c>
      <c r="J1484">
        <v>1</v>
      </c>
      <c r="K1484">
        <v>11500</v>
      </c>
      <c r="L1484">
        <v>0</v>
      </c>
      <c r="N1484">
        <v>17.600000000000001</v>
      </c>
      <c r="Q1484" t="s">
        <v>55</v>
      </c>
    </row>
    <row r="1485" spans="1:17" x14ac:dyDescent="0.3">
      <c r="A1485" t="s">
        <v>2155</v>
      </c>
      <c r="B1485" s="2">
        <v>45941</v>
      </c>
      <c r="C1485" t="s">
        <v>18</v>
      </c>
      <c r="D1485" t="s">
        <v>47</v>
      </c>
      <c r="E1485" t="s">
        <v>48</v>
      </c>
      <c r="F1485" t="s">
        <v>2078</v>
      </c>
      <c r="G1485" t="s">
        <v>30</v>
      </c>
      <c r="H1485" t="s">
        <v>23</v>
      </c>
      <c r="I1485" t="s">
        <v>55</v>
      </c>
      <c r="J1485">
        <v>1</v>
      </c>
      <c r="K1485">
        <v>78200</v>
      </c>
      <c r="L1485">
        <v>0</v>
      </c>
      <c r="N1485">
        <v>20</v>
      </c>
      <c r="Q1485" t="s">
        <v>55</v>
      </c>
    </row>
    <row r="1486" spans="1:17" x14ac:dyDescent="0.3">
      <c r="A1486" t="s">
        <v>2156</v>
      </c>
      <c r="B1486" s="2">
        <v>46143</v>
      </c>
      <c r="C1486" t="s">
        <v>18</v>
      </c>
      <c r="D1486" t="s">
        <v>41</v>
      </c>
      <c r="E1486" t="s">
        <v>20</v>
      </c>
      <c r="F1486" t="s">
        <v>456</v>
      </c>
      <c r="G1486" t="s">
        <v>44</v>
      </c>
      <c r="H1486" t="s">
        <v>78</v>
      </c>
      <c r="I1486" t="s">
        <v>55</v>
      </c>
      <c r="J1486">
        <v>1</v>
      </c>
      <c r="K1486">
        <v>59700</v>
      </c>
      <c r="L1486">
        <v>0</v>
      </c>
      <c r="N1486">
        <v>17.100000000000001</v>
      </c>
      <c r="Q1486" t="s">
        <v>55</v>
      </c>
    </row>
    <row r="1487" spans="1:17" x14ac:dyDescent="0.3">
      <c r="A1487" t="s">
        <v>2157</v>
      </c>
      <c r="B1487" s="2">
        <v>46207</v>
      </c>
      <c r="C1487" t="s">
        <v>18</v>
      </c>
      <c r="D1487" t="s">
        <v>117</v>
      </c>
      <c r="E1487" t="s">
        <v>48</v>
      </c>
      <c r="F1487" t="s">
        <v>1129</v>
      </c>
      <c r="G1487" t="s">
        <v>22</v>
      </c>
      <c r="H1487" t="s">
        <v>78</v>
      </c>
      <c r="I1487" t="s">
        <v>45</v>
      </c>
      <c r="J1487">
        <v>1</v>
      </c>
      <c r="K1487">
        <v>14200</v>
      </c>
      <c r="L1487">
        <v>0</v>
      </c>
      <c r="N1487">
        <v>8.6999999999999993</v>
      </c>
      <c r="Q1487" t="s">
        <v>45</v>
      </c>
    </row>
    <row r="1488" spans="1:17" x14ac:dyDescent="0.3">
      <c r="A1488" t="s">
        <v>2158</v>
      </c>
      <c r="B1488" s="2">
        <v>46106</v>
      </c>
      <c r="C1488" t="s">
        <v>18</v>
      </c>
      <c r="D1488" t="s">
        <v>64</v>
      </c>
      <c r="E1488" t="s">
        <v>42</v>
      </c>
      <c r="F1488" t="s">
        <v>77</v>
      </c>
      <c r="G1488" t="s">
        <v>44</v>
      </c>
      <c r="H1488" t="s">
        <v>78</v>
      </c>
      <c r="I1488" t="s">
        <v>45</v>
      </c>
      <c r="J1488">
        <v>1</v>
      </c>
      <c r="K1488">
        <v>12400</v>
      </c>
      <c r="L1488">
        <v>0</v>
      </c>
      <c r="N1488">
        <v>3.9</v>
      </c>
      <c r="Q1488" t="s">
        <v>45</v>
      </c>
    </row>
    <row r="1489" spans="1:17" x14ac:dyDescent="0.3">
      <c r="A1489" t="s">
        <v>2159</v>
      </c>
      <c r="B1489" s="2">
        <v>46070</v>
      </c>
      <c r="C1489" t="s">
        <v>26</v>
      </c>
      <c r="D1489" t="s">
        <v>33</v>
      </c>
      <c r="E1489" t="s">
        <v>20</v>
      </c>
      <c r="F1489" t="s">
        <v>178</v>
      </c>
      <c r="G1489" t="s">
        <v>44</v>
      </c>
      <c r="J1489">
        <v>0</v>
      </c>
      <c r="K1489">
        <v>0</v>
      </c>
      <c r="L1489">
        <v>0</v>
      </c>
      <c r="M1489">
        <v>1</v>
      </c>
      <c r="N1489">
        <v>11.9</v>
      </c>
      <c r="O1489">
        <v>6.3</v>
      </c>
      <c r="P1489">
        <v>2.8</v>
      </c>
      <c r="Q1489" t="s">
        <v>62</v>
      </c>
    </row>
    <row r="1490" spans="1:17" x14ac:dyDescent="0.3">
      <c r="A1490" t="s">
        <v>2160</v>
      </c>
      <c r="B1490" s="2">
        <v>45965</v>
      </c>
      <c r="C1490" t="s">
        <v>18</v>
      </c>
      <c r="D1490" t="s">
        <v>105</v>
      </c>
      <c r="E1490" t="s">
        <v>20</v>
      </c>
      <c r="F1490" t="s">
        <v>451</v>
      </c>
      <c r="G1490" t="s">
        <v>30</v>
      </c>
      <c r="H1490" t="s">
        <v>78</v>
      </c>
      <c r="I1490" t="s">
        <v>89</v>
      </c>
      <c r="J1490">
        <v>1</v>
      </c>
      <c r="K1490">
        <v>18600</v>
      </c>
      <c r="L1490">
        <v>0</v>
      </c>
      <c r="N1490">
        <v>3.2</v>
      </c>
      <c r="Q1490" t="s">
        <v>89</v>
      </c>
    </row>
    <row r="1491" spans="1:17" x14ac:dyDescent="0.3">
      <c r="A1491" t="s">
        <v>2161</v>
      </c>
      <c r="B1491" s="2">
        <v>45982</v>
      </c>
      <c r="C1491" t="s">
        <v>18</v>
      </c>
      <c r="D1491" t="s">
        <v>52</v>
      </c>
      <c r="E1491" t="s">
        <v>28</v>
      </c>
      <c r="F1491" t="s">
        <v>845</v>
      </c>
      <c r="G1491" t="s">
        <v>50</v>
      </c>
      <c r="H1491" t="s">
        <v>23</v>
      </c>
      <c r="I1491" t="s">
        <v>79</v>
      </c>
      <c r="J1491">
        <v>1</v>
      </c>
      <c r="K1491">
        <v>28600</v>
      </c>
      <c r="L1491">
        <v>0</v>
      </c>
      <c r="N1491">
        <v>15.2</v>
      </c>
      <c r="Q1491" t="s">
        <v>79</v>
      </c>
    </row>
    <row r="1492" spans="1:17" x14ac:dyDescent="0.3">
      <c r="A1492" t="s">
        <v>2162</v>
      </c>
      <c r="B1492" s="2">
        <v>46257</v>
      </c>
      <c r="C1492" t="s">
        <v>18</v>
      </c>
      <c r="D1492" t="s">
        <v>19</v>
      </c>
      <c r="E1492" t="s">
        <v>48</v>
      </c>
      <c r="F1492" t="s">
        <v>197</v>
      </c>
      <c r="G1492" t="s">
        <v>50</v>
      </c>
      <c r="H1492" t="s">
        <v>86</v>
      </c>
      <c r="I1492" t="s">
        <v>55</v>
      </c>
      <c r="J1492">
        <v>1</v>
      </c>
      <c r="K1492">
        <v>27900</v>
      </c>
      <c r="L1492">
        <v>0</v>
      </c>
      <c r="N1492">
        <v>20.8</v>
      </c>
      <c r="Q1492" t="s">
        <v>55</v>
      </c>
    </row>
    <row r="1493" spans="1:17" x14ac:dyDescent="0.3">
      <c r="A1493" t="s">
        <v>2163</v>
      </c>
      <c r="B1493" s="2">
        <v>45958</v>
      </c>
      <c r="C1493" t="s">
        <v>18</v>
      </c>
      <c r="D1493" t="s">
        <v>52</v>
      </c>
      <c r="E1493" t="s">
        <v>37</v>
      </c>
      <c r="F1493" t="s">
        <v>2164</v>
      </c>
      <c r="G1493" t="s">
        <v>22</v>
      </c>
      <c r="H1493" t="s">
        <v>86</v>
      </c>
      <c r="I1493" t="s">
        <v>45</v>
      </c>
      <c r="J1493">
        <v>1</v>
      </c>
      <c r="K1493">
        <v>24800</v>
      </c>
      <c r="L1493">
        <v>0</v>
      </c>
      <c r="N1493">
        <v>9.4</v>
      </c>
      <c r="Q1493" t="s">
        <v>45</v>
      </c>
    </row>
    <row r="1494" spans="1:17" x14ac:dyDescent="0.3">
      <c r="A1494" t="s">
        <v>2165</v>
      </c>
      <c r="B1494" s="2">
        <v>46080</v>
      </c>
      <c r="C1494" t="s">
        <v>18</v>
      </c>
      <c r="D1494" t="s">
        <v>64</v>
      </c>
      <c r="E1494" t="s">
        <v>37</v>
      </c>
      <c r="F1494" t="s">
        <v>2166</v>
      </c>
      <c r="G1494" t="s">
        <v>44</v>
      </c>
      <c r="H1494" t="s">
        <v>66</v>
      </c>
      <c r="I1494" t="s">
        <v>55</v>
      </c>
      <c r="J1494">
        <v>1</v>
      </c>
      <c r="K1494">
        <v>46800</v>
      </c>
      <c r="L1494">
        <v>0</v>
      </c>
      <c r="N1494">
        <v>6.1</v>
      </c>
      <c r="Q1494" t="s">
        <v>55</v>
      </c>
    </row>
    <row r="1495" spans="1:17" x14ac:dyDescent="0.3">
      <c r="A1495" t="s">
        <v>2167</v>
      </c>
      <c r="B1495" s="2">
        <v>45985</v>
      </c>
      <c r="C1495" t="s">
        <v>18</v>
      </c>
      <c r="D1495" t="s">
        <v>52</v>
      </c>
      <c r="E1495" t="s">
        <v>28</v>
      </c>
      <c r="F1495" t="s">
        <v>1691</v>
      </c>
      <c r="G1495" t="s">
        <v>44</v>
      </c>
      <c r="H1495" t="s">
        <v>23</v>
      </c>
      <c r="I1495" t="s">
        <v>45</v>
      </c>
      <c r="J1495">
        <v>1</v>
      </c>
      <c r="K1495">
        <v>17400</v>
      </c>
      <c r="L1495">
        <v>0</v>
      </c>
      <c r="N1495">
        <v>8.6</v>
      </c>
      <c r="Q1495" t="s">
        <v>45</v>
      </c>
    </row>
    <row r="1496" spans="1:17" x14ac:dyDescent="0.3">
      <c r="A1496" t="s">
        <v>2168</v>
      </c>
      <c r="B1496" s="2">
        <v>46044</v>
      </c>
      <c r="C1496" t="s">
        <v>26</v>
      </c>
      <c r="D1496" t="s">
        <v>33</v>
      </c>
      <c r="E1496" t="s">
        <v>28</v>
      </c>
      <c r="F1496" t="s">
        <v>2169</v>
      </c>
      <c r="G1496" t="s">
        <v>22</v>
      </c>
      <c r="J1496">
        <v>0</v>
      </c>
      <c r="K1496">
        <v>0</v>
      </c>
      <c r="L1496">
        <v>0</v>
      </c>
      <c r="M1496">
        <v>1</v>
      </c>
      <c r="N1496">
        <v>0.8</v>
      </c>
      <c r="O1496">
        <v>13.9</v>
      </c>
      <c r="P1496">
        <v>5</v>
      </c>
      <c r="Q1496" t="s">
        <v>31</v>
      </c>
    </row>
    <row r="1497" spans="1:17" x14ac:dyDescent="0.3">
      <c r="A1497" t="s">
        <v>2170</v>
      </c>
      <c r="B1497" s="2">
        <v>45907</v>
      </c>
      <c r="C1497" t="s">
        <v>26</v>
      </c>
      <c r="D1497" t="s">
        <v>72</v>
      </c>
      <c r="E1497" t="s">
        <v>20</v>
      </c>
      <c r="F1497" t="s">
        <v>1573</v>
      </c>
      <c r="G1497" t="s">
        <v>50</v>
      </c>
      <c r="J1497">
        <v>0</v>
      </c>
      <c r="K1497">
        <v>0</v>
      </c>
      <c r="L1497">
        <v>0</v>
      </c>
      <c r="M1497">
        <v>1</v>
      </c>
      <c r="N1497">
        <v>9.1</v>
      </c>
      <c r="O1497">
        <v>6.4</v>
      </c>
      <c r="P1497">
        <v>3.3</v>
      </c>
      <c r="Q1497" t="s">
        <v>39</v>
      </c>
    </row>
    <row r="1498" spans="1:17" x14ac:dyDescent="0.3">
      <c r="A1498" t="s">
        <v>2171</v>
      </c>
      <c r="B1498" s="2">
        <v>46248</v>
      </c>
      <c r="C1498" t="s">
        <v>26</v>
      </c>
      <c r="D1498" t="s">
        <v>33</v>
      </c>
      <c r="E1498" t="s">
        <v>48</v>
      </c>
      <c r="F1498" t="s">
        <v>178</v>
      </c>
      <c r="G1498" t="s">
        <v>50</v>
      </c>
      <c r="J1498">
        <v>0</v>
      </c>
      <c r="K1498">
        <v>0</v>
      </c>
      <c r="L1498">
        <v>0</v>
      </c>
      <c r="M1498">
        <v>1</v>
      </c>
      <c r="N1498">
        <v>5.3</v>
      </c>
      <c r="O1498">
        <v>6.2</v>
      </c>
      <c r="P1498">
        <v>3.8</v>
      </c>
      <c r="Q1498" t="s">
        <v>39</v>
      </c>
    </row>
    <row r="1499" spans="1:17" x14ac:dyDescent="0.3">
      <c r="A1499" t="s">
        <v>2172</v>
      </c>
      <c r="B1499" s="2">
        <v>46016</v>
      </c>
      <c r="C1499" t="s">
        <v>18</v>
      </c>
      <c r="D1499" t="s">
        <v>95</v>
      </c>
      <c r="E1499" t="s">
        <v>20</v>
      </c>
      <c r="F1499" t="s">
        <v>1549</v>
      </c>
      <c r="G1499" t="s">
        <v>30</v>
      </c>
      <c r="H1499" t="s">
        <v>86</v>
      </c>
      <c r="I1499" t="s">
        <v>67</v>
      </c>
      <c r="J1499">
        <v>1</v>
      </c>
      <c r="K1499">
        <v>28600</v>
      </c>
      <c r="L1499">
        <v>0</v>
      </c>
      <c r="N1499">
        <v>23.6</v>
      </c>
      <c r="Q1499" t="s">
        <v>67</v>
      </c>
    </row>
    <row r="1500" spans="1:17" x14ac:dyDescent="0.3">
      <c r="A1500" t="s">
        <v>2173</v>
      </c>
      <c r="B1500" s="2">
        <v>46204</v>
      </c>
      <c r="C1500" t="s">
        <v>18</v>
      </c>
      <c r="D1500" t="s">
        <v>41</v>
      </c>
      <c r="E1500" t="s">
        <v>37</v>
      </c>
      <c r="F1500" t="s">
        <v>1150</v>
      </c>
      <c r="G1500" t="s">
        <v>30</v>
      </c>
      <c r="H1500" t="s">
        <v>54</v>
      </c>
      <c r="I1500" t="s">
        <v>89</v>
      </c>
      <c r="J1500">
        <v>1</v>
      </c>
      <c r="K1500">
        <v>7900</v>
      </c>
      <c r="L1500">
        <v>0</v>
      </c>
      <c r="N1500">
        <v>22.1</v>
      </c>
      <c r="Q1500" t="s">
        <v>89</v>
      </c>
    </row>
    <row r="1501" spans="1:17" x14ac:dyDescent="0.3">
      <c r="A1501" t="s">
        <v>2174</v>
      </c>
      <c r="B1501" s="2">
        <v>46203</v>
      </c>
      <c r="C1501" t="s">
        <v>26</v>
      </c>
      <c r="D1501" t="s">
        <v>126</v>
      </c>
      <c r="E1501" t="s">
        <v>48</v>
      </c>
      <c r="F1501" t="s">
        <v>1281</v>
      </c>
      <c r="G1501" t="s">
        <v>22</v>
      </c>
      <c r="J1501">
        <v>0</v>
      </c>
      <c r="K1501">
        <v>0</v>
      </c>
      <c r="L1501">
        <v>0</v>
      </c>
      <c r="M1501">
        <v>1</v>
      </c>
      <c r="N1501">
        <v>5.0999999999999996</v>
      </c>
      <c r="O1501">
        <v>9.4</v>
      </c>
      <c r="P1501">
        <v>5</v>
      </c>
      <c r="Q1501" t="s">
        <v>62</v>
      </c>
    </row>
    <row r="1502" spans="1:17" x14ac:dyDescent="0.3">
      <c r="A1502" t="s">
        <v>2175</v>
      </c>
      <c r="B1502" s="2">
        <v>45970</v>
      </c>
      <c r="C1502" t="s">
        <v>18</v>
      </c>
      <c r="D1502" t="s">
        <v>95</v>
      </c>
      <c r="E1502" t="s">
        <v>20</v>
      </c>
      <c r="F1502" t="s">
        <v>781</v>
      </c>
      <c r="G1502" t="s">
        <v>50</v>
      </c>
      <c r="H1502" t="s">
        <v>66</v>
      </c>
      <c r="I1502" t="s">
        <v>24</v>
      </c>
      <c r="J1502">
        <v>1</v>
      </c>
      <c r="K1502">
        <v>5000</v>
      </c>
      <c r="L1502">
        <v>5000</v>
      </c>
      <c r="N1502">
        <v>23.6</v>
      </c>
      <c r="Q1502" t="s">
        <v>24</v>
      </c>
    </row>
    <row r="1503" spans="1:17" x14ac:dyDescent="0.3">
      <c r="A1503" t="s">
        <v>2176</v>
      </c>
      <c r="B1503" s="2">
        <v>46038</v>
      </c>
      <c r="C1503" t="s">
        <v>18</v>
      </c>
      <c r="D1503" t="s">
        <v>47</v>
      </c>
      <c r="E1503" t="s">
        <v>20</v>
      </c>
      <c r="F1503" t="s">
        <v>442</v>
      </c>
      <c r="G1503" t="s">
        <v>30</v>
      </c>
      <c r="H1503" t="s">
        <v>23</v>
      </c>
      <c r="I1503" t="s">
        <v>45</v>
      </c>
      <c r="J1503">
        <v>1</v>
      </c>
      <c r="K1503">
        <v>30800</v>
      </c>
      <c r="L1503">
        <v>0</v>
      </c>
      <c r="N1503">
        <v>14.6</v>
      </c>
      <c r="Q1503" t="s">
        <v>45</v>
      </c>
    </row>
    <row r="1504" spans="1:17" x14ac:dyDescent="0.3">
      <c r="A1504" t="s">
        <v>2177</v>
      </c>
      <c r="B1504" s="2">
        <v>46220</v>
      </c>
      <c r="C1504" t="s">
        <v>18</v>
      </c>
      <c r="D1504" t="s">
        <v>95</v>
      </c>
      <c r="E1504" t="s">
        <v>20</v>
      </c>
      <c r="F1504" t="s">
        <v>438</v>
      </c>
      <c r="G1504" t="s">
        <v>22</v>
      </c>
      <c r="H1504" t="s">
        <v>54</v>
      </c>
      <c r="I1504" t="s">
        <v>45</v>
      </c>
      <c r="J1504">
        <v>1</v>
      </c>
      <c r="K1504">
        <v>34600</v>
      </c>
      <c r="L1504">
        <v>0</v>
      </c>
      <c r="N1504">
        <v>9.6</v>
      </c>
      <c r="Q1504" t="s">
        <v>45</v>
      </c>
    </row>
    <row r="1505" spans="1:17" x14ac:dyDescent="0.3">
      <c r="A1505" t="s">
        <v>2178</v>
      </c>
      <c r="B1505" s="2">
        <v>46088</v>
      </c>
      <c r="C1505" t="s">
        <v>18</v>
      </c>
      <c r="D1505" t="s">
        <v>19</v>
      </c>
      <c r="E1505" t="s">
        <v>28</v>
      </c>
      <c r="F1505" t="s">
        <v>346</v>
      </c>
      <c r="G1505" t="s">
        <v>30</v>
      </c>
      <c r="H1505" t="s">
        <v>78</v>
      </c>
      <c r="I1505" t="s">
        <v>55</v>
      </c>
      <c r="J1505">
        <v>1</v>
      </c>
      <c r="K1505">
        <v>17100</v>
      </c>
      <c r="L1505">
        <v>0</v>
      </c>
      <c r="N1505">
        <v>3.6</v>
      </c>
      <c r="Q1505" t="s">
        <v>55</v>
      </c>
    </row>
    <row r="1506" spans="1:17" x14ac:dyDescent="0.3">
      <c r="A1506" t="s">
        <v>2179</v>
      </c>
      <c r="B1506" s="2">
        <v>46174</v>
      </c>
      <c r="C1506" t="s">
        <v>18</v>
      </c>
      <c r="D1506" t="s">
        <v>105</v>
      </c>
      <c r="E1506" t="s">
        <v>48</v>
      </c>
      <c r="F1506" t="s">
        <v>1112</v>
      </c>
      <c r="G1506" t="s">
        <v>44</v>
      </c>
      <c r="H1506" t="s">
        <v>78</v>
      </c>
      <c r="I1506" t="s">
        <v>45</v>
      </c>
      <c r="J1506">
        <v>1</v>
      </c>
      <c r="K1506">
        <v>17100</v>
      </c>
      <c r="L1506">
        <v>0</v>
      </c>
      <c r="N1506">
        <v>23.6</v>
      </c>
      <c r="Q1506" t="s">
        <v>45</v>
      </c>
    </row>
    <row r="1507" spans="1:17" x14ac:dyDescent="0.3">
      <c r="A1507" t="s">
        <v>2180</v>
      </c>
      <c r="B1507" s="2">
        <v>46213</v>
      </c>
      <c r="C1507" t="s">
        <v>18</v>
      </c>
      <c r="D1507" t="s">
        <v>41</v>
      </c>
      <c r="E1507" t="s">
        <v>48</v>
      </c>
      <c r="F1507" t="s">
        <v>734</v>
      </c>
      <c r="G1507" t="s">
        <v>50</v>
      </c>
      <c r="H1507" t="s">
        <v>86</v>
      </c>
      <c r="I1507" t="s">
        <v>24</v>
      </c>
      <c r="J1507">
        <v>1</v>
      </c>
      <c r="K1507">
        <v>12300</v>
      </c>
      <c r="L1507">
        <v>12300</v>
      </c>
      <c r="N1507">
        <v>20.100000000000001</v>
      </c>
      <c r="Q1507" t="s">
        <v>24</v>
      </c>
    </row>
    <row r="1508" spans="1:17" x14ac:dyDescent="0.3">
      <c r="A1508" t="s">
        <v>2181</v>
      </c>
      <c r="B1508" s="2">
        <v>46221</v>
      </c>
      <c r="C1508" t="s">
        <v>26</v>
      </c>
      <c r="D1508" t="s">
        <v>33</v>
      </c>
      <c r="E1508" t="s">
        <v>20</v>
      </c>
      <c r="F1508" t="s">
        <v>587</v>
      </c>
      <c r="G1508" t="s">
        <v>22</v>
      </c>
      <c r="J1508">
        <v>0</v>
      </c>
      <c r="K1508">
        <v>0</v>
      </c>
      <c r="L1508">
        <v>0</v>
      </c>
      <c r="M1508">
        <v>1</v>
      </c>
      <c r="N1508">
        <v>3.1</v>
      </c>
      <c r="O1508">
        <v>6.3</v>
      </c>
      <c r="P1508">
        <v>5</v>
      </c>
      <c r="Q1508" t="s">
        <v>31</v>
      </c>
    </row>
    <row r="1509" spans="1:17" x14ac:dyDescent="0.3">
      <c r="A1509" t="s">
        <v>2182</v>
      </c>
      <c r="B1509" s="2">
        <v>45964</v>
      </c>
      <c r="C1509" t="s">
        <v>18</v>
      </c>
      <c r="D1509" t="s">
        <v>19</v>
      </c>
      <c r="E1509" t="s">
        <v>48</v>
      </c>
      <c r="F1509" t="s">
        <v>262</v>
      </c>
      <c r="G1509" t="s">
        <v>30</v>
      </c>
      <c r="H1509" t="s">
        <v>66</v>
      </c>
      <c r="I1509" t="s">
        <v>67</v>
      </c>
      <c r="J1509">
        <v>1</v>
      </c>
      <c r="K1509">
        <v>15900</v>
      </c>
      <c r="L1509">
        <v>0</v>
      </c>
      <c r="N1509">
        <v>0.7</v>
      </c>
      <c r="Q1509" t="s">
        <v>67</v>
      </c>
    </row>
    <row r="1510" spans="1:17" x14ac:dyDescent="0.3">
      <c r="A1510" t="s">
        <v>2183</v>
      </c>
      <c r="B1510" s="2">
        <v>45998</v>
      </c>
      <c r="C1510" t="s">
        <v>26</v>
      </c>
      <c r="D1510" t="s">
        <v>27</v>
      </c>
      <c r="E1510" t="s">
        <v>28</v>
      </c>
      <c r="F1510" t="s">
        <v>2136</v>
      </c>
      <c r="G1510" t="s">
        <v>50</v>
      </c>
      <c r="J1510">
        <v>0</v>
      </c>
      <c r="K1510">
        <v>0</v>
      </c>
      <c r="L1510">
        <v>0</v>
      </c>
      <c r="M1510">
        <v>1</v>
      </c>
      <c r="N1510">
        <v>3.1</v>
      </c>
      <c r="O1510">
        <v>5.0999999999999996</v>
      </c>
      <c r="P1510">
        <v>5</v>
      </c>
      <c r="Q1510" t="s">
        <v>39</v>
      </c>
    </row>
    <row r="1511" spans="1:17" x14ac:dyDescent="0.3">
      <c r="A1511" t="s">
        <v>2184</v>
      </c>
      <c r="B1511" s="2">
        <v>46063</v>
      </c>
      <c r="C1511" t="s">
        <v>26</v>
      </c>
      <c r="D1511" t="s">
        <v>36</v>
      </c>
      <c r="E1511" t="s">
        <v>20</v>
      </c>
      <c r="F1511" t="s">
        <v>838</v>
      </c>
      <c r="G1511" t="s">
        <v>50</v>
      </c>
      <c r="J1511">
        <v>0</v>
      </c>
      <c r="K1511">
        <v>0</v>
      </c>
      <c r="L1511">
        <v>0</v>
      </c>
      <c r="M1511">
        <v>1</v>
      </c>
      <c r="N1511">
        <v>5.6</v>
      </c>
      <c r="O1511">
        <v>8.4</v>
      </c>
      <c r="P1511">
        <v>2.5</v>
      </c>
      <c r="Q1511" t="s">
        <v>39</v>
      </c>
    </row>
    <row r="1512" spans="1:17" x14ac:dyDescent="0.3">
      <c r="A1512" t="s">
        <v>2185</v>
      </c>
      <c r="B1512" s="2">
        <v>46196</v>
      </c>
      <c r="C1512" t="s">
        <v>26</v>
      </c>
      <c r="D1512" t="s">
        <v>33</v>
      </c>
      <c r="E1512" t="s">
        <v>37</v>
      </c>
      <c r="F1512" t="s">
        <v>292</v>
      </c>
      <c r="G1512" t="s">
        <v>44</v>
      </c>
      <c r="J1512">
        <v>0</v>
      </c>
      <c r="K1512">
        <v>0</v>
      </c>
      <c r="L1512">
        <v>0</v>
      </c>
      <c r="M1512">
        <v>1</v>
      </c>
      <c r="N1512">
        <v>7.3</v>
      </c>
      <c r="O1512">
        <v>4.3</v>
      </c>
      <c r="P1512">
        <v>3.7</v>
      </c>
      <c r="Q1512" t="s">
        <v>39</v>
      </c>
    </row>
    <row r="1513" spans="1:17" x14ac:dyDescent="0.3">
      <c r="A1513" t="s">
        <v>2186</v>
      </c>
      <c r="B1513" s="2">
        <v>46007</v>
      </c>
      <c r="C1513" t="s">
        <v>26</v>
      </c>
      <c r="D1513" t="s">
        <v>33</v>
      </c>
      <c r="E1513" t="s">
        <v>20</v>
      </c>
      <c r="F1513" t="s">
        <v>742</v>
      </c>
      <c r="G1513" t="s">
        <v>22</v>
      </c>
      <c r="J1513">
        <v>0</v>
      </c>
      <c r="K1513">
        <v>0</v>
      </c>
      <c r="L1513">
        <v>0</v>
      </c>
      <c r="M1513">
        <v>1</v>
      </c>
      <c r="N1513">
        <v>3.3</v>
      </c>
      <c r="O1513">
        <v>6.1</v>
      </c>
      <c r="P1513">
        <v>4.8</v>
      </c>
      <c r="Q1513" t="s">
        <v>31</v>
      </c>
    </row>
    <row r="1514" spans="1:17" x14ac:dyDescent="0.3">
      <c r="A1514" t="s">
        <v>2187</v>
      </c>
      <c r="B1514" s="2">
        <v>45907</v>
      </c>
      <c r="C1514" t="s">
        <v>26</v>
      </c>
      <c r="D1514" t="s">
        <v>126</v>
      </c>
      <c r="E1514" t="s">
        <v>48</v>
      </c>
      <c r="F1514" t="s">
        <v>616</v>
      </c>
      <c r="G1514" t="s">
        <v>30</v>
      </c>
      <c r="J1514">
        <v>0</v>
      </c>
      <c r="K1514">
        <v>0</v>
      </c>
      <c r="L1514">
        <v>0</v>
      </c>
      <c r="M1514">
        <v>1</v>
      </c>
      <c r="N1514">
        <v>2.7</v>
      </c>
      <c r="O1514">
        <v>11.8</v>
      </c>
      <c r="P1514">
        <v>2.5</v>
      </c>
      <c r="Q1514" t="s">
        <v>225</v>
      </c>
    </row>
    <row r="1515" spans="1:17" x14ac:dyDescent="0.3">
      <c r="A1515" t="s">
        <v>2188</v>
      </c>
      <c r="B1515" s="2">
        <v>46196</v>
      </c>
      <c r="C1515" t="s">
        <v>18</v>
      </c>
      <c r="D1515" t="s">
        <v>47</v>
      </c>
      <c r="E1515" t="s">
        <v>37</v>
      </c>
      <c r="F1515" t="s">
        <v>487</v>
      </c>
      <c r="G1515" t="s">
        <v>30</v>
      </c>
      <c r="H1515" t="s">
        <v>23</v>
      </c>
      <c r="I1515" t="s">
        <v>45</v>
      </c>
      <c r="J1515">
        <v>1</v>
      </c>
      <c r="K1515">
        <v>5700</v>
      </c>
      <c r="L1515">
        <v>0</v>
      </c>
      <c r="N1515">
        <v>23.7</v>
      </c>
      <c r="Q1515" t="s">
        <v>45</v>
      </c>
    </row>
    <row r="1516" spans="1:17" x14ac:dyDescent="0.3">
      <c r="A1516" t="s">
        <v>2189</v>
      </c>
      <c r="B1516" s="2">
        <v>45920</v>
      </c>
      <c r="C1516" t="s">
        <v>18</v>
      </c>
      <c r="D1516" t="s">
        <v>52</v>
      </c>
      <c r="E1516" t="s">
        <v>48</v>
      </c>
      <c r="F1516" t="s">
        <v>2190</v>
      </c>
      <c r="G1516" t="s">
        <v>22</v>
      </c>
      <c r="H1516" t="s">
        <v>78</v>
      </c>
      <c r="I1516" t="s">
        <v>67</v>
      </c>
      <c r="J1516">
        <v>1</v>
      </c>
      <c r="K1516">
        <v>14900</v>
      </c>
      <c r="L1516">
        <v>0</v>
      </c>
      <c r="N1516">
        <v>15.7</v>
      </c>
      <c r="Q1516" t="s">
        <v>67</v>
      </c>
    </row>
    <row r="1517" spans="1:17" x14ac:dyDescent="0.3">
      <c r="A1517" t="s">
        <v>2191</v>
      </c>
      <c r="B1517" s="2">
        <v>45931</v>
      </c>
      <c r="C1517" t="s">
        <v>18</v>
      </c>
      <c r="D1517" t="s">
        <v>95</v>
      </c>
      <c r="E1517" t="s">
        <v>20</v>
      </c>
      <c r="F1517" t="s">
        <v>1199</v>
      </c>
      <c r="G1517" t="s">
        <v>30</v>
      </c>
      <c r="H1517" t="s">
        <v>23</v>
      </c>
      <c r="I1517" t="s">
        <v>55</v>
      </c>
      <c r="J1517">
        <v>1</v>
      </c>
      <c r="K1517">
        <v>66400</v>
      </c>
      <c r="L1517">
        <v>0</v>
      </c>
      <c r="N1517">
        <v>3.2</v>
      </c>
      <c r="Q1517" t="s">
        <v>55</v>
      </c>
    </row>
    <row r="1518" spans="1:17" x14ac:dyDescent="0.3">
      <c r="A1518" t="s">
        <v>2192</v>
      </c>
      <c r="B1518" s="2">
        <v>46115</v>
      </c>
      <c r="C1518" t="s">
        <v>26</v>
      </c>
      <c r="D1518" t="s">
        <v>33</v>
      </c>
      <c r="E1518" t="s">
        <v>48</v>
      </c>
      <c r="F1518" t="s">
        <v>971</v>
      </c>
      <c r="G1518" t="s">
        <v>30</v>
      </c>
      <c r="J1518">
        <v>0</v>
      </c>
      <c r="K1518">
        <v>0</v>
      </c>
      <c r="L1518">
        <v>0</v>
      </c>
      <c r="M1518">
        <v>1</v>
      </c>
      <c r="N1518">
        <v>11.2</v>
      </c>
      <c r="O1518">
        <v>6.3</v>
      </c>
      <c r="P1518">
        <v>4.3</v>
      </c>
      <c r="Q1518" t="s">
        <v>225</v>
      </c>
    </row>
    <row r="1519" spans="1:17" x14ac:dyDescent="0.3">
      <c r="A1519" t="s">
        <v>2193</v>
      </c>
      <c r="B1519" s="2">
        <v>46079</v>
      </c>
      <c r="C1519" t="s">
        <v>26</v>
      </c>
      <c r="D1519" t="s">
        <v>72</v>
      </c>
      <c r="E1519" t="s">
        <v>20</v>
      </c>
      <c r="F1519" t="s">
        <v>112</v>
      </c>
      <c r="G1519" t="s">
        <v>44</v>
      </c>
      <c r="J1519">
        <v>0</v>
      </c>
      <c r="K1519">
        <v>0</v>
      </c>
      <c r="L1519">
        <v>0</v>
      </c>
      <c r="M1519">
        <v>1</v>
      </c>
      <c r="N1519">
        <v>9.6999999999999993</v>
      </c>
      <c r="O1519">
        <v>2.9</v>
      </c>
      <c r="P1519">
        <v>4</v>
      </c>
      <c r="Q1519" t="s">
        <v>39</v>
      </c>
    </row>
    <row r="1520" spans="1:17" x14ac:dyDescent="0.3">
      <c r="A1520" t="s">
        <v>2194</v>
      </c>
      <c r="B1520" s="2">
        <v>46163</v>
      </c>
      <c r="C1520" t="s">
        <v>18</v>
      </c>
      <c r="D1520" t="s">
        <v>47</v>
      </c>
      <c r="E1520" t="s">
        <v>20</v>
      </c>
      <c r="F1520" t="s">
        <v>950</v>
      </c>
      <c r="G1520" t="s">
        <v>22</v>
      </c>
      <c r="H1520" t="s">
        <v>66</v>
      </c>
      <c r="I1520" t="s">
        <v>67</v>
      </c>
      <c r="J1520">
        <v>1</v>
      </c>
      <c r="K1520">
        <v>39100</v>
      </c>
      <c r="L1520">
        <v>0</v>
      </c>
      <c r="N1520">
        <v>14</v>
      </c>
      <c r="Q1520" t="s">
        <v>67</v>
      </c>
    </row>
    <row r="1521" spans="1:17" x14ac:dyDescent="0.3">
      <c r="A1521" t="s">
        <v>2195</v>
      </c>
      <c r="B1521" s="2">
        <v>45969</v>
      </c>
      <c r="C1521" t="s">
        <v>26</v>
      </c>
      <c r="D1521" t="s">
        <v>27</v>
      </c>
      <c r="E1521" t="s">
        <v>37</v>
      </c>
      <c r="F1521" t="s">
        <v>112</v>
      </c>
      <c r="G1521" t="s">
        <v>30</v>
      </c>
      <c r="J1521">
        <v>0</v>
      </c>
      <c r="K1521">
        <v>0</v>
      </c>
      <c r="L1521">
        <v>0</v>
      </c>
      <c r="M1521">
        <v>1</v>
      </c>
      <c r="N1521">
        <v>3.3</v>
      </c>
      <c r="O1521">
        <v>5</v>
      </c>
      <c r="P1521">
        <v>4</v>
      </c>
      <c r="Q1521" t="s">
        <v>39</v>
      </c>
    </row>
    <row r="1522" spans="1:17" x14ac:dyDescent="0.3">
      <c r="A1522" t="s">
        <v>2196</v>
      </c>
      <c r="B1522" s="2">
        <v>46167</v>
      </c>
      <c r="C1522" t="s">
        <v>18</v>
      </c>
      <c r="D1522" t="s">
        <v>52</v>
      </c>
      <c r="E1522" t="s">
        <v>48</v>
      </c>
      <c r="F1522" t="s">
        <v>270</v>
      </c>
      <c r="G1522" t="s">
        <v>30</v>
      </c>
      <c r="H1522" t="s">
        <v>66</v>
      </c>
      <c r="I1522" t="s">
        <v>55</v>
      </c>
      <c r="J1522">
        <v>1</v>
      </c>
      <c r="K1522">
        <v>26200</v>
      </c>
      <c r="L1522">
        <v>0</v>
      </c>
      <c r="N1522">
        <v>8.6</v>
      </c>
      <c r="Q1522" t="s">
        <v>55</v>
      </c>
    </row>
    <row r="1523" spans="1:17" x14ac:dyDescent="0.3">
      <c r="A1523" t="s">
        <v>2197</v>
      </c>
      <c r="B1523" s="2">
        <v>46126</v>
      </c>
      <c r="C1523" t="s">
        <v>26</v>
      </c>
      <c r="D1523" t="s">
        <v>33</v>
      </c>
      <c r="E1523" t="s">
        <v>20</v>
      </c>
      <c r="F1523" t="s">
        <v>605</v>
      </c>
      <c r="G1523" t="s">
        <v>50</v>
      </c>
      <c r="J1523">
        <v>0</v>
      </c>
      <c r="K1523">
        <v>0</v>
      </c>
      <c r="L1523">
        <v>0</v>
      </c>
      <c r="M1523">
        <v>1</v>
      </c>
      <c r="N1523">
        <v>7</v>
      </c>
      <c r="O1523">
        <v>12.2</v>
      </c>
      <c r="P1523">
        <v>4.0999999999999996</v>
      </c>
      <c r="Q1523" t="s">
        <v>31</v>
      </c>
    </row>
    <row r="1524" spans="1:17" x14ac:dyDescent="0.3">
      <c r="A1524" t="s">
        <v>2198</v>
      </c>
      <c r="B1524" s="2">
        <v>46145</v>
      </c>
      <c r="C1524" t="s">
        <v>18</v>
      </c>
      <c r="D1524" t="s">
        <v>117</v>
      </c>
      <c r="E1524" t="s">
        <v>20</v>
      </c>
      <c r="F1524" t="s">
        <v>1295</v>
      </c>
      <c r="G1524" t="s">
        <v>22</v>
      </c>
      <c r="H1524" t="s">
        <v>54</v>
      </c>
      <c r="I1524" t="s">
        <v>45</v>
      </c>
      <c r="J1524">
        <v>1</v>
      </c>
      <c r="K1524">
        <v>22600</v>
      </c>
      <c r="L1524">
        <v>0</v>
      </c>
      <c r="N1524">
        <v>19.3</v>
      </c>
      <c r="Q1524" t="s">
        <v>45</v>
      </c>
    </row>
    <row r="1525" spans="1:17" x14ac:dyDescent="0.3">
      <c r="A1525" t="s">
        <v>2199</v>
      </c>
      <c r="B1525" s="2">
        <v>45996</v>
      </c>
      <c r="C1525" t="s">
        <v>18</v>
      </c>
      <c r="D1525" t="s">
        <v>19</v>
      </c>
      <c r="E1525" t="s">
        <v>28</v>
      </c>
      <c r="F1525" t="s">
        <v>600</v>
      </c>
      <c r="G1525" t="s">
        <v>50</v>
      </c>
      <c r="H1525" t="s">
        <v>78</v>
      </c>
      <c r="I1525" t="s">
        <v>67</v>
      </c>
      <c r="J1525">
        <v>1</v>
      </c>
      <c r="K1525">
        <v>17400</v>
      </c>
      <c r="L1525">
        <v>0</v>
      </c>
      <c r="N1525">
        <v>3.2</v>
      </c>
      <c r="Q1525" t="s">
        <v>67</v>
      </c>
    </row>
    <row r="1526" spans="1:17" x14ac:dyDescent="0.3">
      <c r="A1526" t="s">
        <v>2200</v>
      </c>
      <c r="B1526" s="2">
        <v>46036</v>
      </c>
      <c r="C1526" t="s">
        <v>18</v>
      </c>
      <c r="D1526" t="s">
        <v>105</v>
      </c>
      <c r="E1526" t="s">
        <v>42</v>
      </c>
      <c r="F1526" t="s">
        <v>796</v>
      </c>
      <c r="G1526" t="s">
        <v>44</v>
      </c>
      <c r="H1526" t="s">
        <v>66</v>
      </c>
      <c r="I1526" t="s">
        <v>67</v>
      </c>
      <c r="J1526">
        <v>1</v>
      </c>
      <c r="K1526">
        <v>59500</v>
      </c>
      <c r="L1526">
        <v>0</v>
      </c>
      <c r="N1526">
        <v>10.1</v>
      </c>
      <c r="Q1526" t="s">
        <v>67</v>
      </c>
    </row>
    <row r="1527" spans="1:17" x14ac:dyDescent="0.3">
      <c r="A1527" t="s">
        <v>2201</v>
      </c>
      <c r="B1527" s="2">
        <v>45956</v>
      </c>
      <c r="C1527" t="s">
        <v>18</v>
      </c>
      <c r="D1527" t="s">
        <v>64</v>
      </c>
      <c r="E1527" t="s">
        <v>48</v>
      </c>
      <c r="F1527" t="s">
        <v>1074</v>
      </c>
      <c r="G1527" t="s">
        <v>44</v>
      </c>
      <c r="H1527" t="s">
        <v>78</v>
      </c>
      <c r="I1527" t="s">
        <v>67</v>
      </c>
      <c r="J1527">
        <v>1</v>
      </c>
      <c r="K1527">
        <v>67800</v>
      </c>
      <c r="L1527">
        <v>0</v>
      </c>
      <c r="N1527">
        <v>1.1000000000000001</v>
      </c>
      <c r="Q1527" t="s">
        <v>67</v>
      </c>
    </row>
    <row r="1528" spans="1:17" x14ac:dyDescent="0.3">
      <c r="A1528" t="s">
        <v>2202</v>
      </c>
      <c r="B1528" s="2">
        <v>46075</v>
      </c>
      <c r="C1528" t="s">
        <v>18</v>
      </c>
      <c r="D1528" t="s">
        <v>19</v>
      </c>
      <c r="E1528" t="s">
        <v>37</v>
      </c>
      <c r="F1528" t="s">
        <v>796</v>
      </c>
      <c r="G1528" t="s">
        <v>30</v>
      </c>
      <c r="H1528" t="s">
        <v>54</v>
      </c>
      <c r="I1528" t="s">
        <v>79</v>
      </c>
      <c r="J1528">
        <v>1</v>
      </c>
      <c r="K1528">
        <v>38200</v>
      </c>
      <c r="L1528">
        <v>0</v>
      </c>
      <c r="N1528">
        <v>12.4</v>
      </c>
      <c r="Q1528" t="s">
        <v>79</v>
      </c>
    </row>
    <row r="1529" spans="1:17" x14ac:dyDescent="0.3">
      <c r="A1529" t="s">
        <v>2203</v>
      </c>
      <c r="B1529" s="2">
        <v>46234</v>
      </c>
      <c r="C1529" t="s">
        <v>18</v>
      </c>
      <c r="D1529" t="s">
        <v>95</v>
      </c>
      <c r="E1529" t="s">
        <v>42</v>
      </c>
      <c r="F1529" t="s">
        <v>1920</v>
      </c>
      <c r="G1529" t="s">
        <v>50</v>
      </c>
      <c r="H1529" t="s">
        <v>86</v>
      </c>
      <c r="I1529" t="s">
        <v>45</v>
      </c>
      <c r="J1529">
        <v>1</v>
      </c>
      <c r="K1529">
        <v>56600</v>
      </c>
      <c r="L1529">
        <v>0</v>
      </c>
      <c r="N1529">
        <v>17.899999999999999</v>
      </c>
      <c r="Q1529" t="s">
        <v>45</v>
      </c>
    </row>
    <row r="1530" spans="1:17" x14ac:dyDescent="0.3">
      <c r="A1530" t="s">
        <v>2204</v>
      </c>
      <c r="B1530" s="2">
        <v>45928</v>
      </c>
      <c r="C1530" t="s">
        <v>26</v>
      </c>
      <c r="D1530" t="s">
        <v>69</v>
      </c>
      <c r="E1530" t="s">
        <v>37</v>
      </c>
      <c r="F1530" t="s">
        <v>495</v>
      </c>
      <c r="G1530" t="s">
        <v>50</v>
      </c>
      <c r="J1530">
        <v>0</v>
      </c>
      <c r="K1530">
        <v>0</v>
      </c>
      <c r="L1530">
        <v>0</v>
      </c>
      <c r="M1530">
        <v>1</v>
      </c>
      <c r="N1530">
        <v>11.5</v>
      </c>
      <c r="O1530">
        <v>7.8</v>
      </c>
      <c r="P1530">
        <v>4.0999999999999996</v>
      </c>
      <c r="Q1530" t="s">
        <v>39</v>
      </c>
    </row>
    <row r="1531" spans="1:17" x14ac:dyDescent="0.3">
      <c r="A1531" t="s">
        <v>2205</v>
      </c>
      <c r="B1531" s="2">
        <v>46100</v>
      </c>
      <c r="C1531" t="s">
        <v>18</v>
      </c>
      <c r="D1531" t="s">
        <v>52</v>
      </c>
      <c r="E1531" t="s">
        <v>20</v>
      </c>
      <c r="F1531" t="s">
        <v>1511</v>
      </c>
      <c r="G1531" t="s">
        <v>30</v>
      </c>
      <c r="H1531" t="s">
        <v>78</v>
      </c>
      <c r="I1531" t="s">
        <v>89</v>
      </c>
      <c r="J1531">
        <v>1</v>
      </c>
      <c r="K1531">
        <v>28200</v>
      </c>
      <c r="L1531">
        <v>0</v>
      </c>
      <c r="N1531">
        <v>11.2</v>
      </c>
      <c r="Q1531" t="s">
        <v>89</v>
      </c>
    </row>
    <row r="1532" spans="1:17" x14ac:dyDescent="0.3">
      <c r="A1532" t="s">
        <v>2206</v>
      </c>
      <c r="B1532" s="2">
        <v>46088</v>
      </c>
      <c r="C1532" t="s">
        <v>18</v>
      </c>
      <c r="D1532" t="s">
        <v>19</v>
      </c>
      <c r="E1532" t="s">
        <v>48</v>
      </c>
      <c r="F1532" t="s">
        <v>262</v>
      </c>
      <c r="G1532" t="s">
        <v>44</v>
      </c>
      <c r="H1532" t="s">
        <v>23</v>
      </c>
      <c r="I1532" t="s">
        <v>89</v>
      </c>
      <c r="J1532">
        <v>1</v>
      </c>
      <c r="K1532">
        <v>16700</v>
      </c>
      <c r="L1532">
        <v>0</v>
      </c>
      <c r="N1532">
        <v>17.7</v>
      </c>
      <c r="Q1532" t="s">
        <v>89</v>
      </c>
    </row>
    <row r="1533" spans="1:17" x14ac:dyDescent="0.3">
      <c r="A1533" t="s">
        <v>2207</v>
      </c>
      <c r="B1533" s="2">
        <v>46021</v>
      </c>
      <c r="C1533" t="s">
        <v>26</v>
      </c>
      <c r="D1533" t="s">
        <v>27</v>
      </c>
      <c r="E1533" t="s">
        <v>20</v>
      </c>
      <c r="F1533" t="s">
        <v>268</v>
      </c>
      <c r="G1533" t="s">
        <v>22</v>
      </c>
      <c r="J1533">
        <v>0</v>
      </c>
      <c r="K1533">
        <v>0</v>
      </c>
      <c r="L1533">
        <v>0</v>
      </c>
      <c r="M1533">
        <v>1</v>
      </c>
      <c r="N1533">
        <v>6.7</v>
      </c>
      <c r="O1533">
        <v>12.8</v>
      </c>
      <c r="P1533">
        <v>3.2</v>
      </c>
      <c r="Q1533" t="s">
        <v>225</v>
      </c>
    </row>
    <row r="1534" spans="1:17" x14ac:dyDescent="0.3">
      <c r="A1534" t="s">
        <v>2208</v>
      </c>
      <c r="B1534" s="2">
        <v>45916</v>
      </c>
      <c r="C1534" t="s">
        <v>26</v>
      </c>
      <c r="D1534" t="s">
        <v>126</v>
      </c>
      <c r="E1534" t="s">
        <v>37</v>
      </c>
      <c r="F1534" t="s">
        <v>1085</v>
      </c>
      <c r="G1534" t="s">
        <v>22</v>
      </c>
      <c r="J1534">
        <v>0</v>
      </c>
      <c r="K1534">
        <v>0</v>
      </c>
      <c r="L1534">
        <v>0</v>
      </c>
      <c r="M1534">
        <v>1</v>
      </c>
      <c r="N1534">
        <v>0.8</v>
      </c>
      <c r="O1534">
        <v>6.2</v>
      </c>
      <c r="P1534">
        <v>3.7</v>
      </c>
      <c r="Q1534" t="s">
        <v>31</v>
      </c>
    </row>
    <row r="1535" spans="1:17" x14ac:dyDescent="0.3">
      <c r="A1535" t="s">
        <v>2209</v>
      </c>
      <c r="B1535" s="2">
        <v>46056</v>
      </c>
      <c r="C1535" t="s">
        <v>18</v>
      </c>
      <c r="D1535" t="s">
        <v>95</v>
      </c>
      <c r="E1535" t="s">
        <v>48</v>
      </c>
      <c r="F1535" t="s">
        <v>2210</v>
      </c>
      <c r="G1535" t="s">
        <v>44</v>
      </c>
      <c r="H1535" t="s">
        <v>86</v>
      </c>
      <c r="I1535" t="s">
        <v>24</v>
      </c>
      <c r="J1535">
        <v>1</v>
      </c>
      <c r="K1535">
        <v>33200</v>
      </c>
      <c r="L1535">
        <v>33200</v>
      </c>
      <c r="N1535">
        <v>5.5</v>
      </c>
      <c r="Q1535" t="s">
        <v>24</v>
      </c>
    </row>
    <row r="1536" spans="1:17" x14ac:dyDescent="0.3">
      <c r="A1536" t="s">
        <v>2211</v>
      </c>
      <c r="B1536" s="2">
        <v>46054</v>
      </c>
      <c r="C1536" t="s">
        <v>18</v>
      </c>
      <c r="D1536" t="s">
        <v>19</v>
      </c>
      <c r="E1536" t="s">
        <v>48</v>
      </c>
      <c r="F1536" t="s">
        <v>799</v>
      </c>
      <c r="G1536" t="s">
        <v>44</v>
      </c>
      <c r="H1536" t="s">
        <v>54</v>
      </c>
      <c r="I1536" t="s">
        <v>45</v>
      </c>
      <c r="J1536">
        <v>1</v>
      </c>
      <c r="K1536">
        <v>61800</v>
      </c>
      <c r="L1536">
        <v>0</v>
      </c>
      <c r="N1536">
        <v>10.6</v>
      </c>
      <c r="Q1536" t="s">
        <v>45</v>
      </c>
    </row>
    <row r="1537" spans="1:17" x14ac:dyDescent="0.3">
      <c r="A1537" t="s">
        <v>2212</v>
      </c>
      <c r="B1537" s="2">
        <v>45975</v>
      </c>
      <c r="C1537" t="s">
        <v>18</v>
      </c>
      <c r="D1537" t="s">
        <v>64</v>
      </c>
      <c r="E1537" t="s">
        <v>42</v>
      </c>
      <c r="F1537" t="s">
        <v>2213</v>
      </c>
      <c r="G1537" t="s">
        <v>50</v>
      </c>
      <c r="H1537" t="s">
        <v>54</v>
      </c>
      <c r="I1537" t="s">
        <v>24</v>
      </c>
      <c r="J1537">
        <v>1</v>
      </c>
      <c r="K1537">
        <v>23500</v>
      </c>
      <c r="L1537">
        <v>23500</v>
      </c>
      <c r="N1537">
        <v>15.7</v>
      </c>
      <c r="Q1537" t="s">
        <v>24</v>
      </c>
    </row>
    <row r="1538" spans="1:17" x14ac:dyDescent="0.3">
      <c r="A1538" t="s">
        <v>2214</v>
      </c>
      <c r="B1538" s="2">
        <v>46163</v>
      </c>
      <c r="C1538" t="s">
        <v>18</v>
      </c>
      <c r="D1538" t="s">
        <v>19</v>
      </c>
      <c r="E1538" t="s">
        <v>48</v>
      </c>
      <c r="F1538" t="s">
        <v>1541</v>
      </c>
      <c r="G1538" t="s">
        <v>22</v>
      </c>
      <c r="H1538" t="s">
        <v>86</v>
      </c>
      <c r="I1538" t="s">
        <v>89</v>
      </c>
      <c r="J1538">
        <v>1</v>
      </c>
      <c r="K1538">
        <v>13200</v>
      </c>
      <c r="L1538">
        <v>0</v>
      </c>
      <c r="N1538">
        <v>17.3</v>
      </c>
      <c r="Q1538" t="s">
        <v>89</v>
      </c>
    </row>
    <row r="1539" spans="1:17" x14ac:dyDescent="0.3">
      <c r="A1539" t="s">
        <v>2215</v>
      </c>
      <c r="B1539" s="2">
        <v>46220</v>
      </c>
      <c r="C1539" t="s">
        <v>26</v>
      </c>
      <c r="D1539" t="s">
        <v>33</v>
      </c>
      <c r="E1539" t="s">
        <v>37</v>
      </c>
      <c r="F1539" t="s">
        <v>91</v>
      </c>
      <c r="G1539" t="s">
        <v>30</v>
      </c>
      <c r="J1539">
        <v>0</v>
      </c>
      <c r="K1539">
        <v>0</v>
      </c>
      <c r="L1539">
        <v>0</v>
      </c>
      <c r="M1539">
        <v>1</v>
      </c>
      <c r="N1539">
        <v>10.4</v>
      </c>
      <c r="O1539">
        <v>27.1</v>
      </c>
      <c r="P1539">
        <v>4.2</v>
      </c>
      <c r="Q1539" t="s">
        <v>62</v>
      </c>
    </row>
    <row r="1540" spans="1:17" x14ac:dyDescent="0.3">
      <c r="A1540" t="s">
        <v>2216</v>
      </c>
      <c r="B1540" s="2">
        <v>46109</v>
      </c>
      <c r="C1540" t="s">
        <v>18</v>
      </c>
      <c r="D1540" t="s">
        <v>117</v>
      </c>
      <c r="E1540" t="s">
        <v>20</v>
      </c>
      <c r="F1540" t="s">
        <v>502</v>
      </c>
      <c r="G1540" t="s">
        <v>44</v>
      </c>
      <c r="H1540" t="s">
        <v>23</v>
      </c>
      <c r="I1540" t="s">
        <v>24</v>
      </c>
      <c r="J1540">
        <v>1</v>
      </c>
      <c r="K1540">
        <v>22800</v>
      </c>
      <c r="L1540">
        <v>22800</v>
      </c>
      <c r="N1540">
        <v>1.5</v>
      </c>
      <c r="Q1540" t="s">
        <v>24</v>
      </c>
    </row>
    <row r="1541" spans="1:17" x14ac:dyDescent="0.3">
      <c r="A1541" t="s">
        <v>2217</v>
      </c>
      <c r="B1541" s="2">
        <v>46142</v>
      </c>
      <c r="C1541" t="s">
        <v>18</v>
      </c>
      <c r="D1541" t="s">
        <v>64</v>
      </c>
      <c r="E1541" t="s">
        <v>37</v>
      </c>
      <c r="F1541" t="s">
        <v>587</v>
      </c>
      <c r="G1541" t="s">
        <v>22</v>
      </c>
      <c r="H1541" t="s">
        <v>86</v>
      </c>
      <c r="I1541" t="s">
        <v>67</v>
      </c>
      <c r="J1541">
        <v>1</v>
      </c>
      <c r="K1541">
        <v>15300</v>
      </c>
      <c r="L1541">
        <v>0</v>
      </c>
      <c r="N1541">
        <v>21.3</v>
      </c>
      <c r="Q1541" t="s">
        <v>67</v>
      </c>
    </row>
    <row r="1542" spans="1:17" x14ac:dyDescent="0.3">
      <c r="A1542" t="s">
        <v>2218</v>
      </c>
      <c r="B1542" s="2">
        <v>46196</v>
      </c>
      <c r="C1542" t="s">
        <v>26</v>
      </c>
      <c r="D1542" t="s">
        <v>27</v>
      </c>
      <c r="E1542" t="s">
        <v>48</v>
      </c>
      <c r="F1542" t="s">
        <v>531</v>
      </c>
      <c r="G1542" t="s">
        <v>50</v>
      </c>
      <c r="J1542">
        <v>0</v>
      </c>
      <c r="K1542">
        <v>0</v>
      </c>
      <c r="L1542">
        <v>0</v>
      </c>
      <c r="M1542">
        <v>1</v>
      </c>
      <c r="N1542">
        <v>8.3000000000000007</v>
      </c>
      <c r="O1542">
        <v>9.3000000000000007</v>
      </c>
      <c r="P1542">
        <v>3.9</v>
      </c>
      <c r="Q1542" t="s">
        <v>39</v>
      </c>
    </row>
    <row r="1543" spans="1:17" x14ac:dyDescent="0.3">
      <c r="A1543" t="s">
        <v>2219</v>
      </c>
      <c r="B1543" s="2">
        <v>46182</v>
      </c>
      <c r="C1543" t="s">
        <v>18</v>
      </c>
      <c r="D1543" t="s">
        <v>105</v>
      </c>
      <c r="E1543" t="s">
        <v>28</v>
      </c>
      <c r="F1543" t="s">
        <v>21</v>
      </c>
      <c r="G1543" t="s">
        <v>50</v>
      </c>
      <c r="H1543" t="s">
        <v>23</v>
      </c>
      <c r="I1543" t="s">
        <v>79</v>
      </c>
      <c r="J1543">
        <v>1</v>
      </c>
      <c r="K1543">
        <v>8100</v>
      </c>
      <c r="L1543">
        <v>0</v>
      </c>
      <c r="N1543">
        <v>16.600000000000001</v>
      </c>
      <c r="Q1543" t="s">
        <v>79</v>
      </c>
    </row>
    <row r="1544" spans="1:17" x14ac:dyDescent="0.3">
      <c r="A1544" t="s">
        <v>2220</v>
      </c>
      <c r="B1544" s="2">
        <v>45913</v>
      </c>
      <c r="C1544" t="s">
        <v>26</v>
      </c>
      <c r="D1544" t="s">
        <v>69</v>
      </c>
      <c r="E1544" t="s">
        <v>20</v>
      </c>
      <c r="F1544" t="s">
        <v>669</v>
      </c>
      <c r="G1544" t="s">
        <v>22</v>
      </c>
      <c r="J1544">
        <v>0</v>
      </c>
      <c r="K1544">
        <v>0</v>
      </c>
      <c r="L1544">
        <v>0</v>
      </c>
      <c r="M1544">
        <v>1</v>
      </c>
      <c r="N1544">
        <v>4</v>
      </c>
      <c r="O1544">
        <v>2.4</v>
      </c>
      <c r="P1544">
        <v>5</v>
      </c>
      <c r="Q1544" t="s">
        <v>31</v>
      </c>
    </row>
    <row r="1545" spans="1:17" x14ac:dyDescent="0.3">
      <c r="A1545" t="s">
        <v>2221</v>
      </c>
      <c r="B1545" s="2">
        <v>46216</v>
      </c>
      <c r="C1545" t="s">
        <v>18</v>
      </c>
      <c r="D1545" t="s">
        <v>41</v>
      </c>
      <c r="E1545" t="s">
        <v>20</v>
      </c>
      <c r="F1545" t="s">
        <v>1311</v>
      </c>
      <c r="G1545" t="s">
        <v>44</v>
      </c>
      <c r="H1545" t="s">
        <v>23</v>
      </c>
      <c r="I1545" t="s">
        <v>24</v>
      </c>
      <c r="J1545">
        <v>1</v>
      </c>
      <c r="K1545">
        <v>30200</v>
      </c>
      <c r="L1545">
        <v>30200</v>
      </c>
      <c r="N1545">
        <v>1.3</v>
      </c>
      <c r="Q1545" t="s">
        <v>24</v>
      </c>
    </row>
    <row r="1546" spans="1:17" x14ac:dyDescent="0.3">
      <c r="A1546" t="s">
        <v>2222</v>
      </c>
      <c r="B1546" s="2">
        <v>46240</v>
      </c>
      <c r="C1546" t="s">
        <v>26</v>
      </c>
      <c r="D1546" t="s">
        <v>72</v>
      </c>
      <c r="E1546" t="s">
        <v>42</v>
      </c>
      <c r="F1546" t="s">
        <v>1273</v>
      </c>
      <c r="G1546" t="s">
        <v>50</v>
      </c>
      <c r="J1546">
        <v>0</v>
      </c>
      <c r="K1546">
        <v>0</v>
      </c>
      <c r="L1546">
        <v>0</v>
      </c>
      <c r="M1546">
        <v>1</v>
      </c>
      <c r="N1546">
        <v>4</v>
      </c>
      <c r="O1546">
        <v>4.7</v>
      </c>
      <c r="P1546">
        <v>1.8</v>
      </c>
      <c r="Q1546" t="s">
        <v>225</v>
      </c>
    </row>
    <row r="1547" spans="1:17" x14ac:dyDescent="0.3">
      <c r="A1547" t="s">
        <v>2223</v>
      </c>
      <c r="B1547" s="2">
        <v>46112</v>
      </c>
      <c r="C1547" t="s">
        <v>18</v>
      </c>
      <c r="D1547" t="s">
        <v>95</v>
      </c>
      <c r="E1547" t="s">
        <v>37</v>
      </c>
      <c r="F1547" t="s">
        <v>874</v>
      </c>
      <c r="G1547" t="s">
        <v>50</v>
      </c>
      <c r="H1547" t="s">
        <v>86</v>
      </c>
      <c r="I1547" t="s">
        <v>79</v>
      </c>
      <c r="J1547">
        <v>1</v>
      </c>
      <c r="K1547">
        <v>39600</v>
      </c>
      <c r="L1547">
        <v>0</v>
      </c>
      <c r="N1547">
        <v>13.1</v>
      </c>
      <c r="Q1547" t="s">
        <v>79</v>
      </c>
    </row>
    <row r="1548" spans="1:17" x14ac:dyDescent="0.3">
      <c r="A1548" t="s">
        <v>2224</v>
      </c>
      <c r="B1548" s="2">
        <v>45978</v>
      </c>
      <c r="C1548" t="s">
        <v>26</v>
      </c>
      <c r="D1548" t="s">
        <v>126</v>
      </c>
      <c r="E1548" t="s">
        <v>48</v>
      </c>
      <c r="F1548" t="s">
        <v>270</v>
      </c>
      <c r="G1548" t="s">
        <v>22</v>
      </c>
      <c r="J1548">
        <v>0</v>
      </c>
      <c r="K1548">
        <v>0</v>
      </c>
      <c r="L1548">
        <v>0</v>
      </c>
      <c r="M1548">
        <v>1</v>
      </c>
      <c r="N1548">
        <v>3.1</v>
      </c>
      <c r="O1548">
        <v>14.6</v>
      </c>
      <c r="P1548">
        <v>5</v>
      </c>
      <c r="Q1548" t="s">
        <v>31</v>
      </c>
    </row>
    <row r="1549" spans="1:17" x14ac:dyDescent="0.3">
      <c r="A1549" t="s">
        <v>2225</v>
      </c>
      <c r="B1549" s="2">
        <v>45978</v>
      </c>
      <c r="C1549" t="s">
        <v>26</v>
      </c>
      <c r="D1549" t="s">
        <v>69</v>
      </c>
      <c r="E1549" t="s">
        <v>20</v>
      </c>
      <c r="F1549" t="s">
        <v>1511</v>
      </c>
      <c r="G1549" t="s">
        <v>50</v>
      </c>
      <c r="J1549">
        <v>0</v>
      </c>
      <c r="K1549">
        <v>0</v>
      </c>
      <c r="L1549">
        <v>0</v>
      </c>
      <c r="M1549">
        <v>1</v>
      </c>
      <c r="N1549">
        <v>9.3000000000000007</v>
      </c>
      <c r="O1549">
        <v>14.6</v>
      </c>
      <c r="P1549">
        <v>3.8</v>
      </c>
      <c r="Q1549" t="s">
        <v>31</v>
      </c>
    </row>
    <row r="1550" spans="1:17" x14ac:dyDescent="0.3">
      <c r="A1550" t="s">
        <v>2226</v>
      </c>
      <c r="B1550" s="2">
        <v>46211</v>
      </c>
      <c r="C1550" t="s">
        <v>18</v>
      </c>
      <c r="D1550" t="s">
        <v>47</v>
      </c>
      <c r="E1550" t="s">
        <v>20</v>
      </c>
      <c r="F1550" t="s">
        <v>304</v>
      </c>
      <c r="G1550" t="s">
        <v>22</v>
      </c>
      <c r="H1550" t="s">
        <v>78</v>
      </c>
      <c r="I1550" t="s">
        <v>79</v>
      </c>
      <c r="J1550">
        <v>1</v>
      </c>
      <c r="K1550">
        <v>20700</v>
      </c>
      <c r="L1550">
        <v>0</v>
      </c>
      <c r="N1550">
        <v>11.1</v>
      </c>
      <c r="Q1550" t="s">
        <v>79</v>
      </c>
    </row>
    <row r="1551" spans="1:17" x14ac:dyDescent="0.3">
      <c r="A1551" t="s">
        <v>2227</v>
      </c>
      <c r="B1551" s="2">
        <v>46105</v>
      </c>
      <c r="C1551" t="s">
        <v>26</v>
      </c>
      <c r="D1551" t="s">
        <v>114</v>
      </c>
      <c r="E1551" t="s">
        <v>20</v>
      </c>
      <c r="F1551" t="s">
        <v>2228</v>
      </c>
      <c r="G1551" t="s">
        <v>30</v>
      </c>
      <c r="J1551">
        <v>0</v>
      </c>
      <c r="K1551">
        <v>0</v>
      </c>
      <c r="L1551">
        <v>0</v>
      </c>
      <c r="M1551">
        <v>1</v>
      </c>
      <c r="N1551">
        <v>8.1</v>
      </c>
      <c r="O1551">
        <v>14.4</v>
      </c>
      <c r="P1551">
        <v>3.6</v>
      </c>
      <c r="Q1551" t="s">
        <v>39</v>
      </c>
    </row>
    <row r="1552" spans="1:17" x14ac:dyDescent="0.3">
      <c r="A1552" t="s">
        <v>2229</v>
      </c>
      <c r="B1552" s="2">
        <v>46251</v>
      </c>
      <c r="C1552" t="s">
        <v>26</v>
      </c>
      <c r="D1552" t="s">
        <v>126</v>
      </c>
      <c r="E1552" t="s">
        <v>28</v>
      </c>
      <c r="F1552" t="s">
        <v>1881</v>
      </c>
      <c r="G1552" t="s">
        <v>22</v>
      </c>
      <c r="J1552">
        <v>0</v>
      </c>
      <c r="K1552">
        <v>0</v>
      </c>
      <c r="L1552">
        <v>0</v>
      </c>
      <c r="M1552">
        <v>1</v>
      </c>
      <c r="N1552">
        <v>6.5</v>
      </c>
      <c r="O1552">
        <v>11.2</v>
      </c>
      <c r="P1552">
        <v>3.9</v>
      </c>
      <c r="Q1552" t="s">
        <v>62</v>
      </c>
    </row>
    <row r="1553" spans="1:17" x14ac:dyDescent="0.3">
      <c r="A1553" t="s">
        <v>2230</v>
      </c>
      <c r="B1553" s="2">
        <v>46097</v>
      </c>
      <c r="C1553" t="s">
        <v>26</v>
      </c>
      <c r="D1553" t="s">
        <v>36</v>
      </c>
      <c r="E1553" t="s">
        <v>28</v>
      </c>
      <c r="F1553" t="s">
        <v>781</v>
      </c>
      <c r="G1553" t="s">
        <v>44</v>
      </c>
      <c r="J1553">
        <v>0</v>
      </c>
      <c r="K1553">
        <v>0</v>
      </c>
      <c r="L1553">
        <v>0</v>
      </c>
      <c r="M1553">
        <v>1</v>
      </c>
      <c r="N1553">
        <v>10.1</v>
      </c>
      <c r="O1553">
        <v>10.1</v>
      </c>
      <c r="P1553">
        <v>4</v>
      </c>
      <c r="Q1553" t="s">
        <v>31</v>
      </c>
    </row>
    <row r="1554" spans="1:17" x14ac:dyDescent="0.3">
      <c r="A1554" t="s">
        <v>2231</v>
      </c>
      <c r="B1554" s="2">
        <v>45964</v>
      </c>
      <c r="C1554" t="s">
        <v>26</v>
      </c>
      <c r="D1554" t="s">
        <v>232</v>
      </c>
      <c r="E1554" t="s">
        <v>20</v>
      </c>
      <c r="F1554" t="s">
        <v>2232</v>
      </c>
      <c r="G1554" t="s">
        <v>30</v>
      </c>
      <c r="J1554">
        <v>0</v>
      </c>
      <c r="K1554">
        <v>0</v>
      </c>
      <c r="L1554">
        <v>0</v>
      </c>
      <c r="M1554">
        <v>1</v>
      </c>
      <c r="N1554">
        <v>2.5</v>
      </c>
      <c r="O1554">
        <v>14.8</v>
      </c>
      <c r="P1554">
        <v>3.9</v>
      </c>
      <c r="Q1554" t="s">
        <v>39</v>
      </c>
    </row>
    <row r="1555" spans="1:17" x14ac:dyDescent="0.3">
      <c r="A1555" t="s">
        <v>2233</v>
      </c>
      <c r="B1555" s="2">
        <v>45921</v>
      </c>
      <c r="C1555" t="s">
        <v>26</v>
      </c>
      <c r="D1555" t="s">
        <v>69</v>
      </c>
      <c r="E1555" t="s">
        <v>48</v>
      </c>
      <c r="F1555" t="s">
        <v>587</v>
      </c>
      <c r="G1555" t="s">
        <v>30</v>
      </c>
      <c r="J1555">
        <v>0</v>
      </c>
      <c r="K1555">
        <v>0</v>
      </c>
      <c r="L1555">
        <v>0</v>
      </c>
      <c r="M1555">
        <v>1</v>
      </c>
      <c r="N1555">
        <v>10.1</v>
      </c>
      <c r="O1555">
        <v>5.3</v>
      </c>
      <c r="P1555">
        <v>4.8</v>
      </c>
      <c r="Q1555" t="s">
        <v>31</v>
      </c>
    </row>
    <row r="1556" spans="1:17" x14ac:dyDescent="0.3">
      <c r="A1556" t="s">
        <v>2234</v>
      </c>
      <c r="B1556" s="2">
        <v>45972</v>
      </c>
      <c r="C1556" t="s">
        <v>18</v>
      </c>
      <c r="D1556" t="s">
        <v>47</v>
      </c>
      <c r="E1556" t="s">
        <v>28</v>
      </c>
      <c r="F1556" t="s">
        <v>676</v>
      </c>
      <c r="G1556" t="s">
        <v>22</v>
      </c>
      <c r="H1556" t="s">
        <v>78</v>
      </c>
      <c r="I1556" t="s">
        <v>67</v>
      </c>
      <c r="J1556">
        <v>1</v>
      </c>
      <c r="K1556">
        <v>11000</v>
      </c>
      <c r="L1556">
        <v>0</v>
      </c>
      <c r="N1556">
        <v>23.9</v>
      </c>
      <c r="Q1556" t="s">
        <v>67</v>
      </c>
    </row>
    <row r="1557" spans="1:17" x14ac:dyDescent="0.3">
      <c r="A1557" t="s">
        <v>2235</v>
      </c>
      <c r="B1557" s="2">
        <v>46002</v>
      </c>
      <c r="C1557" t="s">
        <v>18</v>
      </c>
      <c r="D1557" t="s">
        <v>52</v>
      </c>
      <c r="E1557" t="s">
        <v>20</v>
      </c>
      <c r="F1557" t="s">
        <v>962</v>
      </c>
      <c r="G1557" t="s">
        <v>22</v>
      </c>
      <c r="H1557" t="s">
        <v>54</v>
      </c>
      <c r="I1557" t="s">
        <v>67</v>
      </c>
      <c r="J1557">
        <v>1</v>
      </c>
      <c r="K1557">
        <v>29800</v>
      </c>
      <c r="L1557">
        <v>0</v>
      </c>
      <c r="N1557">
        <v>2.5</v>
      </c>
      <c r="Q1557" t="s">
        <v>67</v>
      </c>
    </row>
    <row r="1558" spans="1:17" x14ac:dyDescent="0.3">
      <c r="A1558" t="s">
        <v>2236</v>
      </c>
      <c r="B1558" s="2">
        <v>45987</v>
      </c>
      <c r="C1558" t="s">
        <v>26</v>
      </c>
      <c r="D1558" t="s">
        <v>69</v>
      </c>
      <c r="E1558" t="s">
        <v>20</v>
      </c>
      <c r="F1558" t="s">
        <v>1210</v>
      </c>
      <c r="G1558" t="s">
        <v>30</v>
      </c>
      <c r="J1558">
        <v>0</v>
      </c>
      <c r="K1558">
        <v>0</v>
      </c>
      <c r="L1558">
        <v>0</v>
      </c>
      <c r="M1558">
        <v>1</v>
      </c>
      <c r="N1558">
        <v>6.1</v>
      </c>
      <c r="O1558">
        <v>15.1</v>
      </c>
      <c r="P1558">
        <v>5</v>
      </c>
      <c r="Q1558" t="s">
        <v>31</v>
      </c>
    </row>
    <row r="1559" spans="1:17" x14ac:dyDescent="0.3">
      <c r="A1559" t="s">
        <v>2237</v>
      </c>
      <c r="B1559" s="2">
        <v>45927</v>
      </c>
      <c r="C1559" t="s">
        <v>18</v>
      </c>
      <c r="D1559" t="s">
        <v>41</v>
      </c>
      <c r="E1559" t="s">
        <v>28</v>
      </c>
      <c r="F1559" t="s">
        <v>1560</v>
      </c>
      <c r="G1559" t="s">
        <v>22</v>
      </c>
      <c r="H1559" t="s">
        <v>54</v>
      </c>
      <c r="I1559" t="s">
        <v>24</v>
      </c>
      <c r="J1559">
        <v>1</v>
      </c>
      <c r="K1559">
        <v>20500</v>
      </c>
      <c r="L1559">
        <v>20500</v>
      </c>
      <c r="N1559">
        <v>2.5</v>
      </c>
      <c r="Q1559" t="s">
        <v>24</v>
      </c>
    </row>
    <row r="1560" spans="1:17" x14ac:dyDescent="0.3">
      <c r="A1560" t="s">
        <v>2238</v>
      </c>
      <c r="B1560" s="2">
        <v>46046</v>
      </c>
      <c r="C1560" t="s">
        <v>26</v>
      </c>
      <c r="D1560" t="s">
        <v>33</v>
      </c>
      <c r="E1560" t="s">
        <v>20</v>
      </c>
      <c r="F1560" t="s">
        <v>2239</v>
      </c>
      <c r="G1560" t="s">
        <v>22</v>
      </c>
      <c r="J1560">
        <v>0</v>
      </c>
      <c r="K1560">
        <v>0</v>
      </c>
      <c r="L1560">
        <v>0</v>
      </c>
      <c r="M1560">
        <v>1</v>
      </c>
      <c r="N1560">
        <v>3.3</v>
      </c>
      <c r="O1560">
        <v>11.4</v>
      </c>
      <c r="P1560">
        <v>3.2</v>
      </c>
      <c r="Q1560" t="s">
        <v>31</v>
      </c>
    </row>
    <row r="1561" spans="1:17" x14ac:dyDescent="0.3">
      <c r="A1561" t="s">
        <v>2240</v>
      </c>
      <c r="B1561" s="2">
        <v>45969</v>
      </c>
      <c r="C1561" t="s">
        <v>26</v>
      </c>
      <c r="D1561" t="s">
        <v>232</v>
      </c>
      <c r="E1561" t="s">
        <v>42</v>
      </c>
      <c r="F1561" t="s">
        <v>754</v>
      </c>
      <c r="G1561" t="s">
        <v>30</v>
      </c>
      <c r="J1561">
        <v>0</v>
      </c>
      <c r="K1561">
        <v>0</v>
      </c>
      <c r="L1561">
        <v>0</v>
      </c>
      <c r="M1561">
        <v>1</v>
      </c>
      <c r="N1561">
        <v>9.6999999999999993</v>
      </c>
      <c r="O1561">
        <v>1.6</v>
      </c>
      <c r="P1561">
        <v>3.7</v>
      </c>
      <c r="Q1561" t="s">
        <v>31</v>
      </c>
    </row>
    <row r="1562" spans="1:17" x14ac:dyDescent="0.3">
      <c r="A1562" t="s">
        <v>2241</v>
      </c>
      <c r="B1562" s="2">
        <v>46175</v>
      </c>
      <c r="C1562" t="s">
        <v>18</v>
      </c>
      <c r="D1562" t="s">
        <v>64</v>
      </c>
      <c r="E1562" t="s">
        <v>48</v>
      </c>
      <c r="F1562" t="s">
        <v>1573</v>
      </c>
      <c r="G1562" t="s">
        <v>30</v>
      </c>
      <c r="H1562" t="s">
        <v>23</v>
      </c>
      <c r="I1562" t="s">
        <v>24</v>
      </c>
      <c r="J1562">
        <v>1</v>
      </c>
      <c r="K1562">
        <v>9700</v>
      </c>
      <c r="L1562">
        <v>9700</v>
      </c>
      <c r="N1562">
        <v>11</v>
      </c>
      <c r="Q1562" t="s">
        <v>24</v>
      </c>
    </row>
    <row r="1563" spans="1:17" x14ac:dyDescent="0.3">
      <c r="A1563" t="s">
        <v>2242</v>
      </c>
      <c r="B1563" s="2">
        <v>45955</v>
      </c>
      <c r="C1563" t="s">
        <v>18</v>
      </c>
      <c r="D1563" t="s">
        <v>117</v>
      </c>
      <c r="E1563" t="s">
        <v>37</v>
      </c>
      <c r="F1563" t="s">
        <v>1264</v>
      </c>
      <c r="G1563" t="s">
        <v>44</v>
      </c>
      <c r="H1563" t="s">
        <v>23</v>
      </c>
      <c r="I1563" t="s">
        <v>89</v>
      </c>
      <c r="J1563">
        <v>1</v>
      </c>
      <c r="K1563">
        <v>26600</v>
      </c>
      <c r="L1563">
        <v>0</v>
      </c>
      <c r="N1563">
        <v>1.2</v>
      </c>
      <c r="Q1563" t="s">
        <v>89</v>
      </c>
    </row>
    <row r="1564" spans="1:17" x14ac:dyDescent="0.3">
      <c r="A1564" t="s">
        <v>2243</v>
      </c>
      <c r="B1564" s="2">
        <v>45967</v>
      </c>
      <c r="C1564" t="s">
        <v>26</v>
      </c>
      <c r="D1564" t="s">
        <v>114</v>
      </c>
      <c r="E1564" t="s">
        <v>28</v>
      </c>
      <c r="F1564" t="s">
        <v>2244</v>
      </c>
      <c r="G1564" t="s">
        <v>22</v>
      </c>
      <c r="J1564">
        <v>0</v>
      </c>
      <c r="K1564">
        <v>0</v>
      </c>
      <c r="L1564">
        <v>0</v>
      </c>
      <c r="M1564">
        <v>1</v>
      </c>
      <c r="N1564">
        <v>1.4</v>
      </c>
      <c r="O1564">
        <v>2.2000000000000002</v>
      </c>
      <c r="P1564">
        <v>4.9000000000000004</v>
      </c>
      <c r="Q1564" t="s">
        <v>39</v>
      </c>
    </row>
    <row r="1565" spans="1:17" x14ac:dyDescent="0.3">
      <c r="A1565" t="s">
        <v>2245</v>
      </c>
      <c r="B1565" s="2">
        <v>46244</v>
      </c>
      <c r="C1565" t="s">
        <v>18</v>
      </c>
      <c r="D1565" t="s">
        <v>41</v>
      </c>
      <c r="E1565" t="s">
        <v>37</v>
      </c>
      <c r="F1565" t="s">
        <v>212</v>
      </c>
      <c r="G1565" t="s">
        <v>22</v>
      </c>
      <c r="H1565" t="s">
        <v>54</v>
      </c>
      <c r="I1565" t="s">
        <v>79</v>
      </c>
      <c r="J1565">
        <v>1</v>
      </c>
      <c r="K1565">
        <v>17200</v>
      </c>
      <c r="L1565">
        <v>0</v>
      </c>
      <c r="N1565">
        <v>22.4</v>
      </c>
      <c r="Q1565" t="s">
        <v>79</v>
      </c>
    </row>
    <row r="1566" spans="1:17" x14ac:dyDescent="0.3">
      <c r="A1566" t="s">
        <v>2246</v>
      </c>
      <c r="B1566" s="2">
        <v>46170</v>
      </c>
      <c r="C1566" t="s">
        <v>26</v>
      </c>
      <c r="D1566" t="s">
        <v>33</v>
      </c>
      <c r="E1566" t="s">
        <v>20</v>
      </c>
      <c r="F1566" t="s">
        <v>1249</v>
      </c>
      <c r="G1566" t="s">
        <v>50</v>
      </c>
      <c r="J1566">
        <v>0</v>
      </c>
      <c r="K1566">
        <v>0</v>
      </c>
      <c r="L1566">
        <v>0</v>
      </c>
      <c r="M1566">
        <v>1</v>
      </c>
      <c r="N1566">
        <v>2.1</v>
      </c>
      <c r="O1566">
        <v>8.3000000000000007</v>
      </c>
      <c r="P1566">
        <v>4.2</v>
      </c>
      <c r="Q1566" t="s">
        <v>31</v>
      </c>
    </row>
    <row r="1567" spans="1:17" x14ac:dyDescent="0.3">
      <c r="A1567" t="s">
        <v>2247</v>
      </c>
      <c r="B1567" s="2">
        <v>46250</v>
      </c>
      <c r="C1567" t="s">
        <v>18</v>
      </c>
      <c r="D1567" t="s">
        <v>95</v>
      </c>
      <c r="E1567" t="s">
        <v>20</v>
      </c>
      <c r="F1567" t="s">
        <v>1012</v>
      </c>
      <c r="G1567" t="s">
        <v>22</v>
      </c>
      <c r="H1567" t="s">
        <v>86</v>
      </c>
      <c r="I1567" t="s">
        <v>67</v>
      </c>
      <c r="J1567">
        <v>1</v>
      </c>
      <c r="K1567">
        <v>46000</v>
      </c>
      <c r="L1567">
        <v>0</v>
      </c>
      <c r="N1567">
        <v>8.6</v>
      </c>
      <c r="Q1567" t="s">
        <v>67</v>
      </c>
    </row>
    <row r="1568" spans="1:17" x14ac:dyDescent="0.3">
      <c r="A1568" t="s">
        <v>2248</v>
      </c>
      <c r="B1568" s="2">
        <v>45956</v>
      </c>
      <c r="C1568" t="s">
        <v>26</v>
      </c>
      <c r="D1568" t="s">
        <v>232</v>
      </c>
      <c r="E1568" t="s">
        <v>20</v>
      </c>
      <c r="F1568" t="s">
        <v>1067</v>
      </c>
      <c r="G1568" t="s">
        <v>30</v>
      </c>
      <c r="J1568">
        <v>0</v>
      </c>
      <c r="K1568">
        <v>0</v>
      </c>
      <c r="L1568">
        <v>0</v>
      </c>
      <c r="M1568">
        <v>1</v>
      </c>
      <c r="N1568">
        <v>7.2</v>
      </c>
      <c r="O1568">
        <v>7</v>
      </c>
      <c r="P1568">
        <v>2.7</v>
      </c>
      <c r="Q1568" t="s">
        <v>62</v>
      </c>
    </row>
    <row r="1569" spans="1:17" x14ac:dyDescent="0.3">
      <c r="A1569" t="s">
        <v>2249</v>
      </c>
      <c r="B1569" s="2">
        <v>45964</v>
      </c>
      <c r="C1569" t="s">
        <v>18</v>
      </c>
      <c r="D1569" t="s">
        <v>64</v>
      </c>
      <c r="E1569" t="s">
        <v>28</v>
      </c>
      <c r="F1569" t="s">
        <v>1631</v>
      </c>
      <c r="G1569" t="s">
        <v>30</v>
      </c>
      <c r="H1569" t="s">
        <v>66</v>
      </c>
      <c r="I1569" t="s">
        <v>89</v>
      </c>
      <c r="J1569">
        <v>1</v>
      </c>
      <c r="K1569">
        <v>14400</v>
      </c>
      <c r="L1569">
        <v>0</v>
      </c>
      <c r="N1569">
        <v>12.9</v>
      </c>
      <c r="Q1569" t="s">
        <v>89</v>
      </c>
    </row>
    <row r="1570" spans="1:17" x14ac:dyDescent="0.3">
      <c r="A1570" t="s">
        <v>2250</v>
      </c>
      <c r="B1570" s="2">
        <v>46220</v>
      </c>
      <c r="C1570" t="s">
        <v>26</v>
      </c>
      <c r="D1570" t="s">
        <v>114</v>
      </c>
      <c r="E1570" t="s">
        <v>20</v>
      </c>
      <c r="F1570" t="s">
        <v>1186</v>
      </c>
      <c r="G1570" t="s">
        <v>22</v>
      </c>
      <c r="J1570">
        <v>0</v>
      </c>
      <c r="K1570">
        <v>0</v>
      </c>
      <c r="L1570">
        <v>0</v>
      </c>
      <c r="M1570">
        <v>1</v>
      </c>
      <c r="N1570">
        <v>9.1999999999999993</v>
      </c>
      <c r="O1570">
        <v>9.6999999999999993</v>
      </c>
      <c r="P1570">
        <v>4.5999999999999996</v>
      </c>
      <c r="Q1570" t="s">
        <v>39</v>
      </c>
    </row>
    <row r="1571" spans="1:17" x14ac:dyDescent="0.3">
      <c r="A1571" t="s">
        <v>2251</v>
      </c>
      <c r="B1571" s="2">
        <v>45986</v>
      </c>
      <c r="C1571" t="s">
        <v>18</v>
      </c>
      <c r="D1571" t="s">
        <v>117</v>
      </c>
      <c r="E1571" t="s">
        <v>42</v>
      </c>
      <c r="F1571" t="s">
        <v>489</v>
      </c>
      <c r="G1571" t="s">
        <v>22</v>
      </c>
      <c r="H1571" t="s">
        <v>86</v>
      </c>
      <c r="I1571" t="s">
        <v>45</v>
      </c>
      <c r="J1571">
        <v>1</v>
      </c>
      <c r="K1571">
        <v>26600</v>
      </c>
      <c r="L1571">
        <v>0</v>
      </c>
      <c r="N1571">
        <v>4.5999999999999996</v>
      </c>
      <c r="Q1571" t="s">
        <v>45</v>
      </c>
    </row>
    <row r="1572" spans="1:17" x14ac:dyDescent="0.3">
      <c r="A1572" t="s">
        <v>2252</v>
      </c>
      <c r="B1572" s="2">
        <v>45910</v>
      </c>
      <c r="C1572" t="s">
        <v>26</v>
      </c>
      <c r="D1572" t="s">
        <v>126</v>
      </c>
      <c r="E1572" t="s">
        <v>20</v>
      </c>
      <c r="F1572" t="s">
        <v>917</v>
      </c>
      <c r="G1572" t="s">
        <v>30</v>
      </c>
      <c r="J1572">
        <v>0</v>
      </c>
      <c r="K1572">
        <v>0</v>
      </c>
      <c r="L1572">
        <v>0</v>
      </c>
      <c r="M1572">
        <v>1</v>
      </c>
      <c r="N1572">
        <v>2.8</v>
      </c>
      <c r="O1572">
        <v>8.1</v>
      </c>
      <c r="P1572">
        <v>4.4000000000000004</v>
      </c>
      <c r="Q1572" t="s">
        <v>39</v>
      </c>
    </row>
    <row r="1573" spans="1:17" x14ac:dyDescent="0.3">
      <c r="A1573" t="s">
        <v>2253</v>
      </c>
      <c r="B1573" s="2">
        <v>46061</v>
      </c>
      <c r="C1573" t="s">
        <v>18</v>
      </c>
      <c r="D1573" t="s">
        <v>41</v>
      </c>
      <c r="E1573" t="s">
        <v>20</v>
      </c>
      <c r="F1573" t="s">
        <v>172</v>
      </c>
      <c r="G1573" t="s">
        <v>50</v>
      </c>
      <c r="H1573" t="s">
        <v>66</v>
      </c>
      <c r="I1573" t="s">
        <v>55</v>
      </c>
      <c r="J1573">
        <v>1</v>
      </c>
      <c r="K1573">
        <v>16600</v>
      </c>
      <c r="L1573">
        <v>0</v>
      </c>
      <c r="N1573">
        <v>1.1000000000000001</v>
      </c>
      <c r="Q1573" t="s">
        <v>55</v>
      </c>
    </row>
    <row r="1574" spans="1:17" x14ac:dyDescent="0.3">
      <c r="A1574" t="s">
        <v>2254</v>
      </c>
      <c r="B1574" s="2">
        <v>46124</v>
      </c>
      <c r="C1574" t="s">
        <v>26</v>
      </c>
      <c r="D1574" t="s">
        <v>69</v>
      </c>
      <c r="E1574" t="s">
        <v>20</v>
      </c>
      <c r="F1574" t="s">
        <v>2255</v>
      </c>
      <c r="G1574" t="s">
        <v>44</v>
      </c>
      <c r="J1574">
        <v>0</v>
      </c>
      <c r="K1574">
        <v>0</v>
      </c>
      <c r="L1574">
        <v>0</v>
      </c>
      <c r="M1574">
        <v>1</v>
      </c>
      <c r="N1574">
        <v>1.5</v>
      </c>
      <c r="O1574">
        <v>8.6</v>
      </c>
      <c r="P1574">
        <v>4.3</v>
      </c>
      <c r="Q1574" t="s">
        <v>39</v>
      </c>
    </row>
    <row r="1575" spans="1:17" x14ac:dyDescent="0.3">
      <c r="A1575" t="s">
        <v>2256</v>
      </c>
      <c r="B1575" s="2">
        <v>45912</v>
      </c>
      <c r="C1575" t="s">
        <v>26</v>
      </c>
      <c r="D1575" t="s">
        <v>232</v>
      </c>
      <c r="E1575" t="s">
        <v>28</v>
      </c>
      <c r="F1575" t="s">
        <v>465</v>
      </c>
      <c r="G1575" t="s">
        <v>22</v>
      </c>
      <c r="J1575">
        <v>0</v>
      </c>
      <c r="K1575">
        <v>0</v>
      </c>
      <c r="L1575">
        <v>0</v>
      </c>
      <c r="M1575">
        <v>1</v>
      </c>
      <c r="N1575">
        <v>8.5</v>
      </c>
      <c r="O1575">
        <v>7.5</v>
      </c>
      <c r="P1575">
        <v>3.7</v>
      </c>
      <c r="Q1575" t="s">
        <v>225</v>
      </c>
    </row>
    <row r="1576" spans="1:17" x14ac:dyDescent="0.3">
      <c r="A1576" t="s">
        <v>2257</v>
      </c>
      <c r="B1576" s="2">
        <v>46173</v>
      </c>
      <c r="C1576" t="s">
        <v>18</v>
      </c>
      <c r="D1576" t="s">
        <v>19</v>
      </c>
      <c r="E1576" t="s">
        <v>48</v>
      </c>
      <c r="F1576" t="s">
        <v>193</v>
      </c>
      <c r="G1576" t="s">
        <v>22</v>
      </c>
      <c r="H1576" t="s">
        <v>54</v>
      </c>
      <c r="I1576" t="s">
        <v>24</v>
      </c>
      <c r="J1576">
        <v>1</v>
      </c>
      <c r="K1576">
        <v>7300</v>
      </c>
      <c r="L1576">
        <v>7300</v>
      </c>
      <c r="N1576">
        <v>8.3000000000000007</v>
      </c>
      <c r="Q1576" t="s">
        <v>24</v>
      </c>
    </row>
    <row r="1577" spans="1:17" x14ac:dyDescent="0.3">
      <c r="A1577" t="s">
        <v>2258</v>
      </c>
      <c r="B1577" s="2">
        <v>45945</v>
      </c>
      <c r="C1577" t="s">
        <v>18</v>
      </c>
      <c r="D1577" t="s">
        <v>117</v>
      </c>
      <c r="E1577" t="s">
        <v>20</v>
      </c>
      <c r="F1577" t="s">
        <v>896</v>
      </c>
      <c r="G1577" t="s">
        <v>50</v>
      </c>
      <c r="H1577" t="s">
        <v>78</v>
      </c>
      <c r="I1577" t="s">
        <v>45</v>
      </c>
      <c r="J1577">
        <v>1</v>
      </c>
      <c r="K1577">
        <v>63000</v>
      </c>
      <c r="L1577">
        <v>0</v>
      </c>
      <c r="N1577">
        <v>19.399999999999999</v>
      </c>
      <c r="Q1577" t="s">
        <v>45</v>
      </c>
    </row>
    <row r="1578" spans="1:17" x14ac:dyDescent="0.3">
      <c r="A1578" t="s">
        <v>2259</v>
      </c>
      <c r="B1578" s="2">
        <v>46022</v>
      </c>
      <c r="C1578" t="s">
        <v>18</v>
      </c>
      <c r="D1578" t="s">
        <v>64</v>
      </c>
      <c r="E1578" t="s">
        <v>37</v>
      </c>
      <c r="F1578" t="s">
        <v>1000</v>
      </c>
      <c r="G1578" t="s">
        <v>30</v>
      </c>
      <c r="H1578" t="s">
        <v>23</v>
      </c>
      <c r="I1578" t="s">
        <v>55</v>
      </c>
      <c r="J1578">
        <v>1</v>
      </c>
      <c r="K1578">
        <v>20700</v>
      </c>
      <c r="L1578">
        <v>0</v>
      </c>
      <c r="N1578">
        <v>3.3</v>
      </c>
      <c r="Q1578" t="s">
        <v>55</v>
      </c>
    </row>
    <row r="1579" spans="1:17" x14ac:dyDescent="0.3">
      <c r="A1579" t="s">
        <v>2260</v>
      </c>
      <c r="B1579" s="2">
        <v>46120</v>
      </c>
      <c r="C1579" t="s">
        <v>26</v>
      </c>
      <c r="D1579" t="s">
        <v>33</v>
      </c>
      <c r="E1579" t="s">
        <v>28</v>
      </c>
      <c r="F1579" t="s">
        <v>887</v>
      </c>
      <c r="G1579" t="s">
        <v>30</v>
      </c>
      <c r="J1579">
        <v>0</v>
      </c>
      <c r="K1579">
        <v>0</v>
      </c>
      <c r="L1579">
        <v>0</v>
      </c>
      <c r="M1579">
        <v>1</v>
      </c>
      <c r="N1579">
        <v>6.2</v>
      </c>
      <c r="O1579">
        <v>2.9</v>
      </c>
      <c r="P1579">
        <v>4.3</v>
      </c>
      <c r="Q1579" t="s">
        <v>31</v>
      </c>
    </row>
    <row r="1580" spans="1:17" x14ac:dyDescent="0.3">
      <c r="A1580" t="s">
        <v>2261</v>
      </c>
      <c r="B1580" s="2">
        <v>46024</v>
      </c>
      <c r="C1580" t="s">
        <v>26</v>
      </c>
      <c r="D1580" t="s">
        <v>36</v>
      </c>
      <c r="E1580" t="s">
        <v>20</v>
      </c>
      <c r="F1580" t="s">
        <v>1521</v>
      </c>
      <c r="G1580" t="s">
        <v>44</v>
      </c>
      <c r="J1580">
        <v>0</v>
      </c>
      <c r="K1580">
        <v>0</v>
      </c>
      <c r="L1580">
        <v>0</v>
      </c>
      <c r="M1580">
        <v>1</v>
      </c>
      <c r="N1580">
        <v>10.7</v>
      </c>
      <c r="O1580">
        <v>12.7</v>
      </c>
      <c r="P1580">
        <v>2.6</v>
      </c>
      <c r="Q1580" t="s">
        <v>62</v>
      </c>
    </row>
    <row r="1581" spans="1:17" x14ac:dyDescent="0.3">
      <c r="A1581" t="s">
        <v>2262</v>
      </c>
      <c r="B1581" s="2">
        <v>46228</v>
      </c>
      <c r="C1581" t="s">
        <v>18</v>
      </c>
      <c r="D1581" t="s">
        <v>52</v>
      </c>
      <c r="E1581" t="s">
        <v>37</v>
      </c>
      <c r="F1581" t="s">
        <v>110</v>
      </c>
      <c r="G1581" t="s">
        <v>22</v>
      </c>
      <c r="H1581" t="s">
        <v>78</v>
      </c>
      <c r="I1581" t="s">
        <v>45</v>
      </c>
      <c r="J1581">
        <v>1</v>
      </c>
      <c r="K1581">
        <v>58600</v>
      </c>
      <c r="L1581">
        <v>0</v>
      </c>
      <c r="N1581">
        <v>18.399999999999999</v>
      </c>
      <c r="Q1581" t="s">
        <v>45</v>
      </c>
    </row>
    <row r="1582" spans="1:17" x14ac:dyDescent="0.3">
      <c r="A1582" t="s">
        <v>2263</v>
      </c>
      <c r="B1582" s="2">
        <v>46095</v>
      </c>
      <c r="C1582" t="s">
        <v>18</v>
      </c>
      <c r="D1582" t="s">
        <v>117</v>
      </c>
      <c r="E1582" t="s">
        <v>48</v>
      </c>
      <c r="F1582" t="s">
        <v>57</v>
      </c>
      <c r="G1582" t="s">
        <v>22</v>
      </c>
      <c r="H1582" t="s">
        <v>66</v>
      </c>
      <c r="I1582" t="s">
        <v>79</v>
      </c>
      <c r="J1582">
        <v>1</v>
      </c>
      <c r="K1582">
        <v>15900</v>
      </c>
      <c r="L1582">
        <v>0</v>
      </c>
      <c r="N1582">
        <v>7.2</v>
      </c>
      <c r="Q1582" t="s">
        <v>79</v>
      </c>
    </row>
    <row r="1583" spans="1:17" x14ac:dyDescent="0.3">
      <c r="A1583" t="s">
        <v>2264</v>
      </c>
      <c r="B1583" s="2">
        <v>46042</v>
      </c>
      <c r="C1583" t="s">
        <v>18</v>
      </c>
      <c r="D1583" t="s">
        <v>105</v>
      </c>
      <c r="E1583" t="s">
        <v>48</v>
      </c>
      <c r="F1583" t="s">
        <v>838</v>
      </c>
      <c r="G1583" t="s">
        <v>30</v>
      </c>
      <c r="H1583" t="s">
        <v>23</v>
      </c>
      <c r="I1583" t="s">
        <v>79</v>
      </c>
      <c r="J1583">
        <v>1</v>
      </c>
      <c r="K1583">
        <v>47700</v>
      </c>
      <c r="L1583">
        <v>0</v>
      </c>
      <c r="N1583">
        <v>21.5</v>
      </c>
      <c r="Q1583" t="s">
        <v>79</v>
      </c>
    </row>
    <row r="1584" spans="1:17" x14ac:dyDescent="0.3">
      <c r="A1584" t="s">
        <v>2265</v>
      </c>
      <c r="B1584" s="2">
        <v>46191</v>
      </c>
      <c r="C1584" t="s">
        <v>26</v>
      </c>
      <c r="D1584" t="s">
        <v>27</v>
      </c>
      <c r="E1584" t="s">
        <v>48</v>
      </c>
      <c r="F1584" t="s">
        <v>193</v>
      </c>
      <c r="G1584" t="s">
        <v>30</v>
      </c>
      <c r="J1584">
        <v>0</v>
      </c>
      <c r="K1584">
        <v>0</v>
      </c>
      <c r="L1584">
        <v>0</v>
      </c>
      <c r="M1584">
        <v>1</v>
      </c>
      <c r="N1584">
        <v>1.3</v>
      </c>
      <c r="O1584">
        <v>1.8</v>
      </c>
      <c r="P1584">
        <v>3.7</v>
      </c>
      <c r="Q1584" t="s">
        <v>62</v>
      </c>
    </row>
    <row r="1585" spans="1:17" x14ac:dyDescent="0.3">
      <c r="A1585" t="s">
        <v>2266</v>
      </c>
      <c r="B1585" s="2">
        <v>45916</v>
      </c>
      <c r="C1585" t="s">
        <v>18</v>
      </c>
      <c r="D1585" t="s">
        <v>64</v>
      </c>
      <c r="E1585" t="s">
        <v>20</v>
      </c>
      <c r="F1585" t="s">
        <v>1146</v>
      </c>
      <c r="G1585" t="s">
        <v>30</v>
      </c>
      <c r="H1585" t="s">
        <v>78</v>
      </c>
      <c r="I1585" t="s">
        <v>79</v>
      </c>
      <c r="J1585">
        <v>1</v>
      </c>
      <c r="K1585">
        <v>12600</v>
      </c>
      <c r="L1585">
        <v>0</v>
      </c>
      <c r="N1585">
        <v>4.2</v>
      </c>
      <c r="Q1585" t="s">
        <v>79</v>
      </c>
    </row>
    <row r="1586" spans="1:17" x14ac:dyDescent="0.3">
      <c r="A1586" t="s">
        <v>2267</v>
      </c>
      <c r="B1586" s="2">
        <v>45963</v>
      </c>
      <c r="C1586" t="s">
        <v>26</v>
      </c>
      <c r="D1586" t="s">
        <v>232</v>
      </c>
      <c r="E1586" t="s">
        <v>20</v>
      </c>
      <c r="F1586" t="s">
        <v>2210</v>
      </c>
      <c r="G1586" t="s">
        <v>50</v>
      </c>
      <c r="J1586">
        <v>0</v>
      </c>
      <c r="K1586">
        <v>0</v>
      </c>
      <c r="L1586">
        <v>0</v>
      </c>
      <c r="M1586">
        <v>1</v>
      </c>
      <c r="N1586">
        <v>4.4000000000000004</v>
      </c>
      <c r="O1586">
        <v>4.0999999999999996</v>
      </c>
      <c r="P1586">
        <v>3.8</v>
      </c>
      <c r="Q1586" t="s">
        <v>62</v>
      </c>
    </row>
    <row r="1587" spans="1:17" x14ac:dyDescent="0.3">
      <c r="A1587" t="s">
        <v>2268</v>
      </c>
      <c r="B1587" s="2">
        <v>45977</v>
      </c>
      <c r="C1587" t="s">
        <v>18</v>
      </c>
      <c r="D1587" t="s">
        <v>19</v>
      </c>
      <c r="E1587" t="s">
        <v>28</v>
      </c>
      <c r="F1587" t="s">
        <v>2269</v>
      </c>
      <c r="G1587" t="s">
        <v>44</v>
      </c>
      <c r="H1587" t="s">
        <v>66</v>
      </c>
      <c r="I1587" t="s">
        <v>89</v>
      </c>
      <c r="J1587">
        <v>1</v>
      </c>
      <c r="K1587">
        <v>33200</v>
      </c>
      <c r="L1587">
        <v>0</v>
      </c>
      <c r="N1587">
        <v>16.2</v>
      </c>
      <c r="Q1587" t="s">
        <v>89</v>
      </c>
    </row>
    <row r="1588" spans="1:17" x14ac:dyDescent="0.3">
      <c r="A1588" t="s">
        <v>2270</v>
      </c>
      <c r="B1588" s="2">
        <v>45962</v>
      </c>
      <c r="C1588" t="s">
        <v>26</v>
      </c>
      <c r="D1588" t="s">
        <v>232</v>
      </c>
      <c r="E1588" t="s">
        <v>37</v>
      </c>
      <c r="F1588" t="s">
        <v>1841</v>
      </c>
      <c r="G1588" t="s">
        <v>50</v>
      </c>
      <c r="J1588">
        <v>0</v>
      </c>
      <c r="K1588">
        <v>0</v>
      </c>
      <c r="L1588">
        <v>0</v>
      </c>
      <c r="M1588">
        <v>1</v>
      </c>
      <c r="N1588">
        <v>3.9</v>
      </c>
      <c r="O1588">
        <v>12.6</v>
      </c>
      <c r="P1588">
        <v>5</v>
      </c>
      <c r="Q1588" t="s">
        <v>39</v>
      </c>
    </row>
    <row r="1589" spans="1:17" x14ac:dyDescent="0.3">
      <c r="A1589" t="s">
        <v>2271</v>
      </c>
      <c r="B1589" s="2">
        <v>45920</v>
      </c>
      <c r="C1589" t="s">
        <v>18</v>
      </c>
      <c r="D1589" t="s">
        <v>64</v>
      </c>
      <c r="E1589" t="s">
        <v>48</v>
      </c>
      <c r="F1589" t="s">
        <v>683</v>
      </c>
      <c r="G1589" t="s">
        <v>30</v>
      </c>
      <c r="H1589" t="s">
        <v>86</v>
      </c>
      <c r="I1589" t="s">
        <v>45</v>
      </c>
      <c r="J1589">
        <v>1</v>
      </c>
      <c r="K1589">
        <v>36100</v>
      </c>
      <c r="L1589">
        <v>0</v>
      </c>
      <c r="N1589">
        <v>10.1</v>
      </c>
      <c r="Q1589" t="s">
        <v>45</v>
      </c>
    </row>
    <row r="1590" spans="1:17" x14ac:dyDescent="0.3">
      <c r="A1590" t="s">
        <v>2272</v>
      </c>
      <c r="B1590" s="2">
        <v>46128</v>
      </c>
      <c r="C1590" t="s">
        <v>18</v>
      </c>
      <c r="D1590" t="s">
        <v>117</v>
      </c>
      <c r="E1590" t="s">
        <v>20</v>
      </c>
      <c r="F1590" t="s">
        <v>1020</v>
      </c>
      <c r="G1590" t="s">
        <v>44</v>
      </c>
      <c r="H1590" t="s">
        <v>66</v>
      </c>
      <c r="I1590" t="s">
        <v>79</v>
      </c>
      <c r="J1590">
        <v>1</v>
      </c>
      <c r="K1590">
        <v>77600</v>
      </c>
      <c r="L1590">
        <v>0</v>
      </c>
      <c r="N1590">
        <v>17.899999999999999</v>
      </c>
      <c r="Q1590" t="s">
        <v>79</v>
      </c>
    </row>
    <row r="1591" spans="1:17" x14ac:dyDescent="0.3">
      <c r="A1591" t="s">
        <v>2273</v>
      </c>
      <c r="B1591" s="2">
        <v>46029</v>
      </c>
      <c r="C1591" t="s">
        <v>26</v>
      </c>
      <c r="D1591" t="s">
        <v>72</v>
      </c>
      <c r="E1591" t="s">
        <v>20</v>
      </c>
      <c r="F1591" t="s">
        <v>1150</v>
      </c>
      <c r="G1591" t="s">
        <v>50</v>
      </c>
      <c r="J1591">
        <v>0</v>
      </c>
      <c r="K1591">
        <v>0</v>
      </c>
      <c r="L1591">
        <v>0</v>
      </c>
      <c r="M1591">
        <v>1</v>
      </c>
      <c r="N1591">
        <v>4.2</v>
      </c>
      <c r="O1591">
        <v>3.4</v>
      </c>
      <c r="P1591">
        <v>2.2999999999999998</v>
      </c>
      <c r="Q1591" t="s">
        <v>31</v>
      </c>
    </row>
    <row r="1592" spans="1:17" x14ac:dyDescent="0.3">
      <c r="A1592" t="s">
        <v>2274</v>
      </c>
      <c r="B1592" s="2">
        <v>46102</v>
      </c>
      <c r="C1592" t="s">
        <v>26</v>
      </c>
      <c r="D1592" t="s">
        <v>126</v>
      </c>
      <c r="E1592" t="s">
        <v>20</v>
      </c>
      <c r="F1592" t="s">
        <v>1083</v>
      </c>
      <c r="G1592" t="s">
        <v>50</v>
      </c>
      <c r="J1592">
        <v>0</v>
      </c>
      <c r="K1592">
        <v>0</v>
      </c>
      <c r="L1592">
        <v>0</v>
      </c>
      <c r="M1592">
        <v>1</v>
      </c>
      <c r="N1592">
        <v>4.3</v>
      </c>
      <c r="O1592">
        <v>5.3</v>
      </c>
      <c r="P1592">
        <v>5</v>
      </c>
      <c r="Q1592" t="s">
        <v>62</v>
      </c>
    </row>
    <row r="1593" spans="1:17" x14ac:dyDescent="0.3">
      <c r="A1593" t="s">
        <v>2275</v>
      </c>
      <c r="B1593" s="2">
        <v>46197</v>
      </c>
      <c r="C1593" t="s">
        <v>26</v>
      </c>
      <c r="D1593" t="s">
        <v>36</v>
      </c>
      <c r="E1593" t="s">
        <v>20</v>
      </c>
      <c r="F1593" t="s">
        <v>2276</v>
      </c>
      <c r="G1593" t="s">
        <v>30</v>
      </c>
      <c r="J1593">
        <v>0</v>
      </c>
      <c r="K1593">
        <v>0</v>
      </c>
      <c r="L1593">
        <v>0</v>
      </c>
      <c r="M1593">
        <v>1</v>
      </c>
      <c r="N1593">
        <v>4.2</v>
      </c>
      <c r="O1593">
        <v>2.2000000000000002</v>
      </c>
      <c r="P1593">
        <v>4.8</v>
      </c>
      <c r="Q1593" t="s">
        <v>39</v>
      </c>
    </row>
    <row r="1594" spans="1:17" x14ac:dyDescent="0.3">
      <c r="A1594" t="s">
        <v>2277</v>
      </c>
      <c r="B1594" s="2">
        <v>46125</v>
      </c>
      <c r="C1594" t="s">
        <v>18</v>
      </c>
      <c r="D1594" t="s">
        <v>19</v>
      </c>
      <c r="E1594" t="s">
        <v>37</v>
      </c>
      <c r="F1594" t="s">
        <v>1521</v>
      </c>
      <c r="G1594" t="s">
        <v>22</v>
      </c>
      <c r="H1594" t="s">
        <v>23</v>
      </c>
      <c r="I1594" t="s">
        <v>24</v>
      </c>
      <c r="J1594">
        <v>1</v>
      </c>
      <c r="K1594">
        <v>12500</v>
      </c>
      <c r="L1594">
        <v>12500</v>
      </c>
      <c r="N1594">
        <v>1</v>
      </c>
      <c r="Q1594" t="s">
        <v>24</v>
      </c>
    </row>
    <row r="1595" spans="1:17" x14ac:dyDescent="0.3">
      <c r="A1595" t="s">
        <v>2278</v>
      </c>
      <c r="B1595" s="2">
        <v>46061</v>
      </c>
      <c r="C1595" t="s">
        <v>18</v>
      </c>
      <c r="D1595" t="s">
        <v>41</v>
      </c>
      <c r="E1595" t="s">
        <v>20</v>
      </c>
      <c r="F1595" t="s">
        <v>971</v>
      </c>
      <c r="G1595" t="s">
        <v>44</v>
      </c>
      <c r="H1595" t="s">
        <v>78</v>
      </c>
      <c r="I1595" t="s">
        <v>45</v>
      </c>
      <c r="J1595">
        <v>1</v>
      </c>
      <c r="K1595">
        <v>28100</v>
      </c>
      <c r="L1595">
        <v>0</v>
      </c>
      <c r="N1595">
        <v>23.6</v>
      </c>
      <c r="Q1595" t="s">
        <v>45</v>
      </c>
    </row>
    <row r="1596" spans="1:17" x14ac:dyDescent="0.3">
      <c r="A1596" t="s">
        <v>2279</v>
      </c>
      <c r="B1596" s="2">
        <v>46120</v>
      </c>
      <c r="C1596" t="s">
        <v>26</v>
      </c>
      <c r="D1596" t="s">
        <v>114</v>
      </c>
      <c r="E1596" t="s">
        <v>37</v>
      </c>
      <c r="F1596" t="s">
        <v>2027</v>
      </c>
      <c r="G1596" t="s">
        <v>22</v>
      </c>
      <c r="J1596">
        <v>0</v>
      </c>
      <c r="K1596">
        <v>0</v>
      </c>
      <c r="L1596">
        <v>0</v>
      </c>
      <c r="M1596">
        <v>1</v>
      </c>
      <c r="N1596">
        <v>4.0999999999999996</v>
      </c>
      <c r="O1596">
        <v>3.5</v>
      </c>
      <c r="P1596">
        <v>3.9</v>
      </c>
      <c r="Q1596" t="s">
        <v>31</v>
      </c>
    </row>
    <row r="1597" spans="1:17" x14ac:dyDescent="0.3">
      <c r="A1597" t="s">
        <v>2280</v>
      </c>
      <c r="B1597" s="2">
        <v>45906</v>
      </c>
      <c r="C1597" t="s">
        <v>26</v>
      </c>
      <c r="D1597" t="s">
        <v>69</v>
      </c>
      <c r="E1597" t="s">
        <v>48</v>
      </c>
      <c r="F1597" t="s">
        <v>328</v>
      </c>
      <c r="G1597" t="s">
        <v>22</v>
      </c>
      <c r="J1597">
        <v>0</v>
      </c>
      <c r="K1597">
        <v>0</v>
      </c>
      <c r="L1597">
        <v>0</v>
      </c>
      <c r="M1597">
        <v>1</v>
      </c>
      <c r="N1597">
        <v>5.2</v>
      </c>
      <c r="O1597">
        <v>3</v>
      </c>
      <c r="P1597">
        <v>4.5</v>
      </c>
      <c r="Q1597" t="s">
        <v>39</v>
      </c>
    </row>
    <row r="1598" spans="1:17" x14ac:dyDescent="0.3">
      <c r="A1598" t="s">
        <v>2281</v>
      </c>
      <c r="B1598" s="2">
        <v>46063</v>
      </c>
      <c r="C1598" t="s">
        <v>18</v>
      </c>
      <c r="D1598" t="s">
        <v>19</v>
      </c>
      <c r="E1598" t="s">
        <v>20</v>
      </c>
      <c r="F1598" t="s">
        <v>358</v>
      </c>
      <c r="G1598" t="s">
        <v>22</v>
      </c>
      <c r="H1598" t="s">
        <v>66</v>
      </c>
      <c r="I1598" t="s">
        <v>89</v>
      </c>
      <c r="J1598">
        <v>1</v>
      </c>
      <c r="K1598">
        <v>8800</v>
      </c>
      <c r="L1598">
        <v>0</v>
      </c>
      <c r="N1598">
        <v>23.4</v>
      </c>
      <c r="Q1598" t="s">
        <v>89</v>
      </c>
    </row>
    <row r="1599" spans="1:17" x14ac:dyDescent="0.3">
      <c r="A1599" t="s">
        <v>2282</v>
      </c>
      <c r="B1599" s="2">
        <v>46047</v>
      </c>
      <c r="C1599" t="s">
        <v>18</v>
      </c>
      <c r="D1599" t="s">
        <v>52</v>
      </c>
      <c r="E1599" t="s">
        <v>48</v>
      </c>
      <c r="F1599" t="s">
        <v>252</v>
      </c>
      <c r="G1599" t="s">
        <v>30</v>
      </c>
      <c r="H1599" t="s">
        <v>78</v>
      </c>
      <c r="I1599" t="s">
        <v>79</v>
      </c>
      <c r="J1599">
        <v>1</v>
      </c>
      <c r="K1599">
        <v>60400</v>
      </c>
      <c r="L1599">
        <v>0</v>
      </c>
      <c r="N1599">
        <v>14.5</v>
      </c>
      <c r="Q1599" t="s">
        <v>79</v>
      </c>
    </row>
    <row r="1600" spans="1:17" x14ac:dyDescent="0.3">
      <c r="A1600" t="s">
        <v>2283</v>
      </c>
      <c r="B1600" s="2">
        <v>46019</v>
      </c>
      <c r="C1600" t="s">
        <v>18</v>
      </c>
      <c r="D1600" t="s">
        <v>19</v>
      </c>
      <c r="E1600" t="s">
        <v>48</v>
      </c>
      <c r="F1600" t="s">
        <v>706</v>
      </c>
      <c r="G1600" t="s">
        <v>30</v>
      </c>
      <c r="H1600" t="s">
        <v>78</v>
      </c>
      <c r="I1600" t="s">
        <v>24</v>
      </c>
      <c r="J1600">
        <v>1</v>
      </c>
      <c r="K1600">
        <v>14000</v>
      </c>
      <c r="L1600">
        <v>14000</v>
      </c>
      <c r="N1600">
        <v>13.9</v>
      </c>
      <c r="Q1600" t="s">
        <v>24</v>
      </c>
    </row>
    <row r="1601" spans="1:17" x14ac:dyDescent="0.3">
      <c r="A1601" t="s">
        <v>2284</v>
      </c>
      <c r="B1601" s="2">
        <v>46159</v>
      </c>
      <c r="C1601" t="s">
        <v>26</v>
      </c>
      <c r="D1601" t="s">
        <v>72</v>
      </c>
      <c r="E1601" t="s">
        <v>20</v>
      </c>
      <c r="F1601" t="s">
        <v>1249</v>
      </c>
      <c r="G1601" t="s">
        <v>30</v>
      </c>
      <c r="J1601">
        <v>0</v>
      </c>
      <c r="K1601">
        <v>0</v>
      </c>
      <c r="L1601">
        <v>0</v>
      </c>
      <c r="M1601">
        <v>1</v>
      </c>
      <c r="N1601">
        <v>0.1</v>
      </c>
      <c r="O1601">
        <v>5.7</v>
      </c>
      <c r="P1601">
        <v>3.2</v>
      </c>
      <c r="Q1601" t="s">
        <v>62</v>
      </c>
    </row>
    <row r="1602" spans="1:17" x14ac:dyDescent="0.3">
      <c r="A1602" t="s">
        <v>2285</v>
      </c>
      <c r="B1602" s="2">
        <v>46204</v>
      </c>
      <c r="C1602" t="s">
        <v>18</v>
      </c>
      <c r="D1602" t="s">
        <v>105</v>
      </c>
      <c r="E1602" t="s">
        <v>20</v>
      </c>
      <c r="F1602" t="s">
        <v>814</v>
      </c>
      <c r="G1602" t="s">
        <v>30</v>
      </c>
      <c r="H1602" t="s">
        <v>54</v>
      </c>
      <c r="I1602" t="s">
        <v>45</v>
      </c>
      <c r="J1602">
        <v>1</v>
      </c>
      <c r="K1602">
        <v>50300</v>
      </c>
      <c r="L1602">
        <v>0</v>
      </c>
      <c r="N1602">
        <v>22.2</v>
      </c>
      <c r="Q1602" t="s">
        <v>45</v>
      </c>
    </row>
    <row r="1603" spans="1:17" x14ac:dyDescent="0.3">
      <c r="A1603" t="s">
        <v>2286</v>
      </c>
      <c r="B1603" s="2">
        <v>46155</v>
      </c>
      <c r="C1603" t="s">
        <v>18</v>
      </c>
      <c r="D1603" t="s">
        <v>41</v>
      </c>
      <c r="E1603" t="s">
        <v>28</v>
      </c>
      <c r="F1603" t="s">
        <v>1582</v>
      </c>
      <c r="G1603" t="s">
        <v>22</v>
      </c>
      <c r="H1603" t="s">
        <v>23</v>
      </c>
      <c r="I1603" t="s">
        <v>45</v>
      </c>
      <c r="J1603">
        <v>1</v>
      </c>
      <c r="K1603">
        <v>47600</v>
      </c>
      <c r="L1603">
        <v>0</v>
      </c>
      <c r="N1603">
        <v>21.6</v>
      </c>
      <c r="Q1603" t="s">
        <v>45</v>
      </c>
    </row>
    <row r="1604" spans="1:17" x14ac:dyDescent="0.3">
      <c r="A1604" t="s">
        <v>2287</v>
      </c>
      <c r="B1604" s="2">
        <v>45933</v>
      </c>
      <c r="C1604" t="s">
        <v>18</v>
      </c>
      <c r="D1604" t="s">
        <v>117</v>
      </c>
      <c r="E1604" t="s">
        <v>48</v>
      </c>
      <c r="F1604" t="s">
        <v>1757</v>
      </c>
      <c r="G1604" t="s">
        <v>30</v>
      </c>
      <c r="H1604" t="s">
        <v>23</v>
      </c>
      <c r="I1604" t="s">
        <v>89</v>
      </c>
      <c r="J1604">
        <v>1</v>
      </c>
      <c r="K1604">
        <v>14800</v>
      </c>
      <c r="L1604">
        <v>0</v>
      </c>
      <c r="N1604">
        <v>19</v>
      </c>
      <c r="Q1604" t="s">
        <v>89</v>
      </c>
    </row>
    <row r="1605" spans="1:17" x14ac:dyDescent="0.3">
      <c r="A1605" t="s">
        <v>2288</v>
      </c>
      <c r="B1605" s="2">
        <v>46055</v>
      </c>
      <c r="C1605" t="s">
        <v>18</v>
      </c>
      <c r="D1605" t="s">
        <v>52</v>
      </c>
      <c r="E1605" t="s">
        <v>48</v>
      </c>
      <c r="F1605" t="s">
        <v>1639</v>
      </c>
      <c r="G1605" t="s">
        <v>22</v>
      </c>
      <c r="H1605" t="s">
        <v>86</v>
      </c>
      <c r="I1605" t="s">
        <v>79</v>
      </c>
      <c r="J1605">
        <v>1</v>
      </c>
      <c r="K1605">
        <v>7700</v>
      </c>
      <c r="L1605">
        <v>0</v>
      </c>
      <c r="N1605">
        <v>6.4</v>
      </c>
      <c r="Q1605" t="s">
        <v>79</v>
      </c>
    </row>
    <row r="1606" spans="1:17" x14ac:dyDescent="0.3">
      <c r="A1606" t="s">
        <v>2289</v>
      </c>
      <c r="B1606" s="2">
        <v>46043</v>
      </c>
      <c r="C1606" t="s">
        <v>18</v>
      </c>
      <c r="D1606" t="s">
        <v>19</v>
      </c>
      <c r="E1606" t="s">
        <v>20</v>
      </c>
      <c r="F1606" t="s">
        <v>1063</v>
      </c>
      <c r="G1606" t="s">
        <v>44</v>
      </c>
      <c r="H1606" t="s">
        <v>78</v>
      </c>
      <c r="I1606" t="s">
        <v>67</v>
      </c>
      <c r="J1606">
        <v>1</v>
      </c>
      <c r="K1606">
        <v>16900</v>
      </c>
      <c r="L1606">
        <v>0</v>
      </c>
      <c r="N1606">
        <v>16.8</v>
      </c>
      <c r="Q1606" t="s">
        <v>67</v>
      </c>
    </row>
    <row r="1607" spans="1:17" x14ac:dyDescent="0.3">
      <c r="A1607" t="s">
        <v>2290</v>
      </c>
      <c r="B1607" s="2">
        <v>46239</v>
      </c>
      <c r="C1607" t="s">
        <v>18</v>
      </c>
      <c r="D1607" t="s">
        <v>19</v>
      </c>
      <c r="E1607" t="s">
        <v>20</v>
      </c>
      <c r="F1607" t="s">
        <v>1528</v>
      </c>
      <c r="G1607" t="s">
        <v>30</v>
      </c>
      <c r="H1607" t="s">
        <v>78</v>
      </c>
      <c r="I1607" t="s">
        <v>45</v>
      </c>
      <c r="J1607">
        <v>1</v>
      </c>
      <c r="K1607">
        <v>37300</v>
      </c>
      <c r="L1607">
        <v>0</v>
      </c>
      <c r="N1607">
        <v>16.600000000000001</v>
      </c>
      <c r="Q1607" t="s">
        <v>45</v>
      </c>
    </row>
    <row r="1608" spans="1:17" x14ac:dyDescent="0.3">
      <c r="A1608" t="s">
        <v>2291</v>
      </c>
      <c r="B1608" s="2">
        <v>46206</v>
      </c>
      <c r="C1608" t="s">
        <v>18</v>
      </c>
      <c r="D1608" t="s">
        <v>95</v>
      </c>
      <c r="E1608" t="s">
        <v>20</v>
      </c>
      <c r="F1608" t="s">
        <v>61</v>
      </c>
      <c r="G1608" t="s">
        <v>30</v>
      </c>
      <c r="H1608" t="s">
        <v>54</v>
      </c>
      <c r="I1608" t="s">
        <v>55</v>
      </c>
      <c r="J1608">
        <v>1</v>
      </c>
      <c r="K1608">
        <v>16100</v>
      </c>
      <c r="L1608">
        <v>0</v>
      </c>
      <c r="N1608">
        <v>15</v>
      </c>
      <c r="Q1608" t="s">
        <v>55</v>
      </c>
    </row>
    <row r="1609" spans="1:17" x14ac:dyDescent="0.3">
      <c r="A1609" t="s">
        <v>2292</v>
      </c>
      <c r="B1609" s="2">
        <v>45967</v>
      </c>
      <c r="C1609" t="s">
        <v>26</v>
      </c>
      <c r="D1609" t="s">
        <v>114</v>
      </c>
      <c r="E1609" t="s">
        <v>28</v>
      </c>
      <c r="F1609" t="s">
        <v>237</v>
      </c>
      <c r="G1609" t="s">
        <v>50</v>
      </c>
      <c r="J1609">
        <v>0</v>
      </c>
      <c r="K1609">
        <v>0</v>
      </c>
      <c r="L1609">
        <v>0</v>
      </c>
      <c r="M1609">
        <v>1</v>
      </c>
      <c r="N1609">
        <v>4.8</v>
      </c>
      <c r="O1609">
        <v>11.5</v>
      </c>
      <c r="P1609">
        <v>4.5999999999999996</v>
      </c>
      <c r="Q1609" t="s">
        <v>31</v>
      </c>
    </row>
    <row r="1610" spans="1:17" x14ac:dyDescent="0.3">
      <c r="A1610" t="s">
        <v>2293</v>
      </c>
      <c r="B1610" s="2">
        <v>45980</v>
      </c>
      <c r="C1610" t="s">
        <v>18</v>
      </c>
      <c r="D1610" t="s">
        <v>19</v>
      </c>
      <c r="E1610" t="s">
        <v>20</v>
      </c>
      <c r="F1610" t="s">
        <v>417</v>
      </c>
      <c r="G1610" t="s">
        <v>30</v>
      </c>
      <c r="H1610" t="s">
        <v>23</v>
      </c>
      <c r="I1610" t="s">
        <v>67</v>
      </c>
      <c r="J1610">
        <v>1</v>
      </c>
      <c r="K1610">
        <v>5000</v>
      </c>
      <c r="L1610">
        <v>0</v>
      </c>
      <c r="N1610">
        <v>11.3</v>
      </c>
      <c r="Q1610" t="s">
        <v>67</v>
      </c>
    </row>
    <row r="1611" spans="1:17" x14ac:dyDescent="0.3">
      <c r="A1611" t="s">
        <v>2294</v>
      </c>
      <c r="B1611" s="2">
        <v>46069</v>
      </c>
      <c r="C1611" t="s">
        <v>18</v>
      </c>
      <c r="D1611" t="s">
        <v>64</v>
      </c>
      <c r="E1611" t="s">
        <v>20</v>
      </c>
      <c r="F1611" t="s">
        <v>572</v>
      </c>
      <c r="G1611" t="s">
        <v>30</v>
      </c>
      <c r="H1611" t="s">
        <v>78</v>
      </c>
      <c r="I1611" t="s">
        <v>67</v>
      </c>
      <c r="J1611">
        <v>1</v>
      </c>
      <c r="K1611">
        <v>7700</v>
      </c>
      <c r="L1611">
        <v>0</v>
      </c>
      <c r="N1611">
        <v>11.7</v>
      </c>
      <c r="Q1611" t="s">
        <v>67</v>
      </c>
    </row>
    <row r="1612" spans="1:17" x14ac:dyDescent="0.3">
      <c r="A1612" t="s">
        <v>2295</v>
      </c>
      <c r="B1612" s="2">
        <v>46228</v>
      </c>
      <c r="C1612" t="s">
        <v>26</v>
      </c>
      <c r="D1612" t="s">
        <v>36</v>
      </c>
      <c r="E1612" t="s">
        <v>20</v>
      </c>
      <c r="F1612" t="s">
        <v>2296</v>
      </c>
      <c r="G1612" t="s">
        <v>30</v>
      </c>
      <c r="J1612">
        <v>0</v>
      </c>
      <c r="K1612">
        <v>0</v>
      </c>
      <c r="L1612">
        <v>0</v>
      </c>
      <c r="M1612">
        <v>1</v>
      </c>
      <c r="N1612">
        <v>2.1</v>
      </c>
      <c r="O1612">
        <v>5.5</v>
      </c>
      <c r="P1612">
        <v>4.0999999999999996</v>
      </c>
      <c r="Q1612" t="s">
        <v>39</v>
      </c>
    </row>
    <row r="1613" spans="1:17" x14ac:dyDescent="0.3">
      <c r="A1613" t="s">
        <v>2297</v>
      </c>
      <c r="B1613" s="2">
        <v>46203</v>
      </c>
      <c r="C1613" t="s">
        <v>26</v>
      </c>
      <c r="D1613" t="s">
        <v>72</v>
      </c>
      <c r="E1613" t="s">
        <v>28</v>
      </c>
      <c r="F1613" t="s">
        <v>172</v>
      </c>
      <c r="G1613" t="s">
        <v>30</v>
      </c>
      <c r="J1613">
        <v>0</v>
      </c>
      <c r="K1613">
        <v>0</v>
      </c>
      <c r="L1613">
        <v>0</v>
      </c>
      <c r="M1613">
        <v>1</v>
      </c>
      <c r="N1613">
        <v>8.9</v>
      </c>
      <c r="O1613">
        <v>10.5</v>
      </c>
      <c r="P1613">
        <v>4.9000000000000004</v>
      </c>
      <c r="Q1613" t="s">
        <v>39</v>
      </c>
    </row>
    <row r="1614" spans="1:17" x14ac:dyDescent="0.3">
      <c r="A1614" t="s">
        <v>2298</v>
      </c>
      <c r="B1614" s="2">
        <v>46126</v>
      </c>
      <c r="C1614" t="s">
        <v>18</v>
      </c>
      <c r="D1614" t="s">
        <v>95</v>
      </c>
      <c r="E1614" t="s">
        <v>28</v>
      </c>
      <c r="F1614" t="s">
        <v>777</v>
      </c>
      <c r="G1614" t="s">
        <v>22</v>
      </c>
      <c r="H1614" t="s">
        <v>66</v>
      </c>
      <c r="I1614" t="s">
        <v>67</v>
      </c>
      <c r="J1614">
        <v>1</v>
      </c>
      <c r="K1614">
        <v>59600</v>
      </c>
      <c r="L1614">
        <v>0</v>
      </c>
      <c r="N1614">
        <v>5.5</v>
      </c>
      <c r="Q1614" t="s">
        <v>67</v>
      </c>
    </row>
    <row r="1615" spans="1:17" x14ac:dyDescent="0.3">
      <c r="A1615" t="s">
        <v>2299</v>
      </c>
      <c r="B1615" s="2">
        <v>46149</v>
      </c>
      <c r="C1615" t="s">
        <v>18</v>
      </c>
      <c r="D1615" t="s">
        <v>52</v>
      </c>
      <c r="E1615" t="s">
        <v>20</v>
      </c>
      <c r="F1615" t="s">
        <v>596</v>
      </c>
      <c r="G1615" t="s">
        <v>22</v>
      </c>
      <c r="H1615" t="s">
        <v>23</v>
      </c>
      <c r="I1615" t="s">
        <v>45</v>
      </c>
      <c r="J1615">
        <v>1</v>
      </c>
      <c r="K1615">
        <v>40900</v>
      </c>
      <c r="L1615">
        <v>0</v>
      </c>
      <c r="N1615">
        <v>13.2</v>
      </c>
      <c r="Q1615" t="s">
        <v>45</v>
      </c>
    </row>
    <row r="1616" spans="1:17" x14ac:dyDescent="0.3">
      <c r="A1616" t="s">
        <v>2300</v>
      </c>
      <c r="B1616" s="2">
        <v>46169</v>
      </c>
      <c r="C1616" t="s">
        <v>18</v>
      </c>
      <c r="D1616" t="s">
        <v>95</v>
      </c>
      <c r="E1616" t="s">
        <v>20</v>
      </c>
      <c r="F1616" t="s">
        <v>1304</v>
      </c>
      <c r="G1616" t="s">
        <v>30</v>
      </c>
      <c r="H1616" t="s">
        <v>54</v>
      </c>
      <c r="I1616" t="s">
        <v>89</v>
      </c>
      <c r="J1616">
        <v>1</v>
      </c>
      <c r="K1616">
        <v>23300</v>
      </c>
      <c r="L1616">
        <v>0</v>
      </c>
      <c r="N1616">
        <v>7.6</v>
      </c>
      <c r="Q1616" t="s">
        <v>89</v>
      </c>
    </row>
    <row r="1617" spans="1:17" x14ac:dyDescent="0.3">
      <c r="A1617" t="s">
        <v>2301</v>
      </c>
      <c r="B1617" s="2">
        <v>46073</v>
      </c>
      <c r="C1617" t="s">
        <v>26</v>
      </c>
      <c r="D1617" t="s">
        <v>114</v>
      </c>
      <c r="E1617" t="s">
        <v>20</v>
      </c>
      <c r="F1617" t="s">
        <v>1940</v>
      </c>
      <c r="G1617" t="s">
        <v>22</v>
      </c>
      <c r="J1617">
        <v>0</v>
      </c>
      <c r="K1617">
        <v>0</v>
      </c>
      <c r="L1617">
        <v>0</v>
      </c>
      <c r="M1617">
        <v>1</v>
      </c>
      <c r="N1617">
        <v>1</v>
      </c>
      <c r="O1617">
        <v>8.5</v>
      </c>
      <c r="P1617">
        <v>4.8</v>
      </c>
      <c r="Q1617" t="s">
        <v>39</v>
      </c>
    </row>
    <row r="1618" spans="1:17" x14ac:dyDescent="0.3">
      <c r="A1618" t="s">
        <v>2302</v>
      </c>
      <c r="B1618" s="2">
        <v>46132</v>
      </c>
      <c r="C1618" t="s">
        <v>26</v>
      </c>
      <c r="D1618" t="s">
        <v>72</v>
      </c>
      <c r="E1618" t="s">
        <v>28</v>
      </c>
      <c r="F1618" t="s">
        <v>827</v>
      </c>
      <c r="G1618" t="s">
        <v>30</v>
      </c>
      <c r="J1618">
        <v>0</v>
      </c>
      <c r="K1618">
        <v>0</v>
      </c>
      <c r="L1618">
        <v>0</v>
      </c>
      <c r="M1618">
        <v>1</v>
      </c>
      <c r="N1618">
        <v>2.2999999999999998</v>
      </c>
      <c r="O1618">
        <v>4.5999999999999996</v>
      </c>
      <c r="P1618">
        <v>4.8</v>
      </c>
      <c r="Q1618" t="s">
        <v>31</v>
      </c>
    </row>
    <row r="1619" spans="1:17" x14ac:dyDescent="0.3">
      <c r="A1619" t="s">
        <v>2303</v>
      </c>
      <c r="B1619" s="2">
        <v>46165</v>
      </c>
      <c r="C1619" t="s">
        <v>26</v>
      </c>
      <c r="D1619" t="s">
        <v>126</v>
      </c>
      <c r="E1619" t="s">
        <v>20</v>
      </c>
      <c r="F1619" t="s">
        <v>1784</v>
      </c>
      <c r="G1619" t="s">
        <v>30</v>
      </c>
      <c r="J1619">
        <v>0</v>
      </c>
      <c r="K1619">
        <v>0</v>
      </c>
      <c r="L1619">
        <v>0</v>
      </c>
      <c r="M1619">
        <v>1</v>
      </c>
      <c r="N1619">
        <v>3.5</v>
      </c>
      <c r="O1619">
        <v>13.1</v>
      </c>
      <c r="P1619">
        <v>3.7</v>
      </c>
      <c r="Q1619" t="s">
        <v>31</v>
      </c>
    </row>
    <row r="1620" spans="1:17" x14ac:dyDescent="0.3">
      <c r="A1620" t="s">
        <v>2304</v>
      </c>
      <c r="B1620" s="2">
        <v>46133</v>
      </c>
      <c r="C1620" t="s">
        <v>26</v>
      </c>
      <c r="D1620" t="s">
        <v>36</v>
      </c>
      <c r="E1620" t="s">
        <v>42</v>
      </c>
      <c r="F1620" t="s">
        <v>178</v>
      </c>
      <c r="G1620" t="s">
        <v>44</v>
      </c>
      <c r="J1620">
        <v>0</v>
      </c>
      <c r="K1620">
        <v>0</v>
      </c>
      <c r="L1620">
        <v>0</v>
      </c>
      <c r="M1620">
        <v>1</v>
      </c>
      <c r="N1620">
        <v>6.5</v>
      </c>
      <c r="O1620">
        <v>5.9</v>
      </c>
      <c r="P1620">
        <v>4.3</v>
      </c>
      <c r="Q1620" t="s">
        <v>225</v>
      </c>
    </row>
    <row r="1621" spans="1:17" x14ac:dyDescent="0.3">
      <c r="A1621" t="s">
        <v>2305</v>
      </c>
      <c r="B1621" s="2">
        <v>46175</v>
      </c>
      <c r="C1621" t="s">
        <v>26</v>
      </c>
      <c r="D1621" t="s">
        <v>72</v>
      </c>
      <c r="E1621" t="s">
        <v>42</v>
      </c>
      <c r="F1621" t="s">
        <v>2306</v>
      </c>
      <c r="G1621" t="s">
        <v>50</v>
      </c>
      <c r="J1621">
        <v>0</v>
      </c>
      <c r="K1621">
        <v>0</v>
      </c>
      <c r="L1621">
        <v>0</v>
      </c>
      <c r="M1621">
        <v>1</v>
      </c>
      <c r="N1621">
        <v>9.5</v>
      </c>
      <c r="O1621">
        <v>6.4</v>
      </c>
      <c r="P1621">
        <v>3</v>
      </c>
      <c r="Q1621" t="s">
        <v>39</v>
      </c>
    </row>
    <row r="1622" spans="1:17" x14ac:dyDescent="0.3">
      <c r="A1622" t="s">
        <v>2307</v>
      </c>
      <c r="B1622" s="2">
        <v>46192</v>
      </c>
      <c r="C1622" t="s">
        <v>18</v>
      </c>
      <c r="D1622" t="s">
        <v>19</v>
      </c>
      <c r="E1622" t="s">
        <v>48</v>
      </c>
      <c r="F1622" t="s">
        <v>1373</v>
      </c>
      <c r="G1622" t="s">
        <v>22</v>
      </c>
      <c r="H1622" t="s">
        <v>66</v>
      </c>
      <c r="I1622" t="s">
        <v>24</v>
      </c>
      <c r="J1622">
        <v>1</v>
      </c>
      <c r="K1622">
        <v>17700</v>
      </c>
      <c r="L1622">
        <v>17700</v>
      </c>
      <c r="N1622">
        <v>16.100000000000001</v>
      </c>
      <c r="Q1622" t="s">
        <v>24</v>
      </c>
    </row>
    <row r="1623" spans="1:17" x14ac:dyDescent="0.3">
      <c r="A1623" t="s">
        <v>2308</v>
      </c>
      <c r="B1623" s="2">
        <v>46057</v>
      </c>
      <c r="C1623" t="s">
        <v>18</v>
      </c>
      <c r="D1623" t="s">
        <v>47</v>
      </c>
      <c r="E1623" t="s">
        <v>42</v>
      </c>
      <c r="F1623" t="s">
        <v>197</v>
      </c>
      <c r="G1623" t="s">
        <v>22</v>
      </c>
      <c r="H1623" t="s">
        <v>86</v>
      </c>
      <c r="I1623" t="s">
        <v>89</v>
      </c>
      <c r="J1623">
        <v>1</v>
      </c>
      <c r="K1623">
        <v>147900</v>
      </c>
      <c r="L1623">
        <v>0</v>
      </c>
      <c r="N1623">
        <v>9.8000000000000007</v>
      </c>
      <c r="Q1623" t="s">
        <v>89</v>
      </c>
    </row>
    <row r="1624" spans="1:17" x14ac:dyDescent="0.3">
      <c r="A1624" t="s">
        <v>2309</v>
      </c>
      <c r="B1624" s="2">
        <v>46102</v>
      </c>
      <c r="C1624" t="s">
        <v>26</v>
      </c>
      <c r="D1624" t="s">
        <v>36</v>
      </c>
      <c r="E1624" t="s">
        <v>20</v>
      </c>
      <c r="F1624" t="s">
        <v>2310</v>
      </c>
      <c r="G1624" t="s">
        <v>22</v>
      </c>
      <c r="J1624">
        <v>0</v>
      </c>
      <c r="K1624">
        <v>0</v>
      </c>
      <c r="L1624">
        <v>0</v>
      </c>
      <c r="M1624">
        <v>1</v>
      </c>
      <c r="N1624">
        <v>8.9</v>
      </c>
      <c r="O1624">
        <v>10.8</v>
      </c>
      <c r="P1624">
        <v>3.7</v>
      </c>
      <c r="Q1624" t="s">
        <v>39</v>
      </c>
    </row>
    <row r="1625" spans="1:17" x14ac:dyDescent="0.3">
      <c r="A1625" t="s">
        <v>2311</v>
      </c>
      <c r="B1625" s="2">
        <v>46163</v>
      </c>
      <c r="C1625" t="s">
        <v>26</v>
      </c>
      <c r="D1625" t="s">
        <v>27</v>
      </c>
      <c r="E1625" t="s">
        <v>20</v>
      </c>
      <c r="F1625" t="s">
        <v>195</v>
      </c>
      <c r="G1625" t="s">
        <v>22</v>
      </c>
      <c r="J1625">
        <v>0</v>
      </c>
      <c r="K1625">
        <v>0</v>
      </c>
      <c r="L1625">
        <v>0</v>
      </c>
      <c r="M1625">
        <v>1</v>
      </c>
      <c r="N1625">
        <v>6.2</v>
      </c>
      <c r="O1625">
        <v>5.5</v>
      </c>
      <c r="P1625">
        <v>3.4</v>
      </c>
      <c r="Q1625" t="s">
        <v>39</v>
      </c>
    </row>
    <row r="1626" spans="1:17" x14ac:dyDescent="0.3">
      <c r="A1626" t="s">
        <v>2312</v>
      </c>
      <c r="B1626" s="2">
        <v>46060</v>
      </c>
      <c r="C1626" t="s">
        <v>18</v>
      </c>
      <c r="D1626" t="s">
        <v>117</v>
      </c>
      <c r="E1626" t="s">
        <v>20</v>
      </c>
      <c r="F1626" t="s">
        <v>1691</v>
      </c>
      <c r="G1626" t="s">
        <v>44</v>
      </c>
      <c r="H1626" t="s">
        <v>78</v>
      </c>
      <c r="I1626" t="s">
        <v>79</v>
      </c>
      <c r="J1626">
        <v>1</v>
      </c>
      <c r="K1626">
        <v>21300</v>
      </c>
      <c r="L1626">
        <v>0</v>
      </c>
      <c r="N1626">
        <v>1.7</v>
      </c>
      <c r="Q1626" t="s">
        <v>79</v>
      </c>
    </row>
    <row r="1627" spans="1:17" x14ac:dyDescent="0.3">
      <c r="A1627" t="s">
        <v>2313</v>
      </c>
      <c r="B1627" s="2">
        <v>46119</v>
      </c>
      <c r="C1627" t="s">
        <v>26</v>
      </c>
      <c r="D1627" t="s">
        <v>114</v>
      </c>
      <c r="E1627" t="s">
        <v>20</v>
      </c>
      <c r="F1627" t="s">
        <v>2190</v>
      </c>
      <c r="G1627" t="s">
        <v>22</v>
      </c>
      <c r="J1627">
        <v>0</v>
      </c>
      <c r="K1627">
        <v>0</v>
      </c>
      <c r="L1627">
        <v>0</v>
      </c>
      <c r="M1627">
        <v>1</v>
      </c>
      <c r="N1627">
        <v>6.7</v>
      </c>
      <c r="O1627">
        <v>6</v>
      </c>
      <c r="P1627">
        <v>3.4</v>
      </c>
      <c r="Q1627" t="s">
        <v>39</v>
      </c>
    </row>
    <row r="1628" spans="1:17" x14ac:dyDescent="0.3">
      <c r="A1628" t="s">
        <v>2314</v>
      </c>
      <c r="B1628" s="2">
        <v>46212</v>
      </c>
      <c r="C1628" t="s">
        <v>18</v>
      </c>
      <c r="D1628" t="s">
        <v>105</v>
      </c>
      <c r="E1628" t="s">
        <v>20</v>
      </c>
      <c r="F1628" t="s">
        <v>246</v>
      </c>
      <c r="G1628" t="s">
        <v>22</v>
      </c>
      <c r="H1628" t="s">
        <v>54</v>
      </c>
      <c r="I1628" t="s">
        <v>45</v>
      </c>
      <c r="J1628">
        <v>1</v>
      </c>
      <c r="K1628">
        <v>13900</v>
      </c>
      <c r="L1628">
        <v>0</v>
      </c>
      <c r="N1628">
        <v>0.6</v>
      </c>
      <c r="Q1628" t="s">
        <v>45</v>
      </c>
    </row>
    <row r="1629" spans="1:17" x14ac:dyDescent="0.3">
      <c r="A1629" t="s">
        <v>2315</v>
      </c>
      <c r="B1629" s="2">
        <v>46069</v>
      </c>
      <c r="C1629" t="s">
        <v>18</v>
      </c>
      <c r="D1629" t="s">
        <v>64</v>
      </c>
      <c r="E1629" t="s">
        <v>20</v>
      </c>
      <c r="F1629" t="s">
        <v>514</v>
      </c>
      <c r="G1629" t="s">
        <v>44</v>
      </c>
      <c r="H1629" t="s">
        <v>23</v>
      </c>
      <c r="I1629" t="s">
        <v>24</v>
      </c>
      <c r="J1629">
        <v>1</v>
      </c>
      <c r="K1629">
        <v>14200</v>
      </c>
      <c r="L1629">
        <v>14200</v>
      </c>
      <c r="N1629">
        <v>23.2</v>
      </c>
      <c r="Q1629" t="s">
        <v>24</v>
      </c>
    </row>
    <row r="1630" spans="1:17" x14ac:dyDescent="0.3">
      <c r="A1630" t="s">
        <v>2316</v>
      </c>
      <c r="B1630" s="2">
        <v>46041</v>
      </c>
      <c r="C1630" t="s">
        <v>18</v>
      </c>
      <c r="D1630" t="s">
        <v>47</v>
      </c>
      <c r="E1630" t="s">
        <v>20</v>
      </c>
      <c r="F1630" t="s">
        <v>1182</v>
      </c>
      <c r="G1630" t="s">
        <v>30</v>
      </c>
      <c r="H1630" t="s">
        <v>23</v>
      </c>
      <c r="I1630" t="s">
        <v>45</v>
      </c>
      <c r="J1630">
        <v>1</v>
      </c>
      <c r="K1630">
        <v>9600</v>
      </c>
      <c r="L1630">
        <v>0</v>
      </c>
      <c r="N1630">
        <v>23.7</v>
      </c>
      <c r="Q1630" t="s">
        <v>45</v>
      </c>
    </row>
    <row r="1631" spans="1:17" x14ac:dyDescent="0.3">
      <c r="A1631" t="s">
        <v>2317</v>
      </c>
      <c r="B1631" s="2">
        <v>45957</v>
      </c>
      <c r="C1631" t="s">
        <v>18</v>
      </c>
      <c r="D1631" t="s">
        <v>117</v>
      </c>
      <c r="E1631" t="s">
        <v>20</v>
      </c>
      <c r="F1631" t="s">
        <v>716</v>
      </c>
      <c r="G1631" t="s">
        <v>22</v>
      </c>
      <c r="H1631" t="s">
        <v>86</v>
      </c>
      <c r="I1631" t="s">
        <v>67</v>
      </c>
      <c r="J1631">
        <v>1</v>
      </c>
      <c r="K1631">
        <v>5300</v>
      </c>
      <c r="L1631">
        <v>0</v>
      </c>
      <c r="N1631">
        <v>20.3</v>
      </c>
      <c r="Q1631" t="s">
        <v>67</v>
      </c>
    </row>
    <row r="1632" spans="1:17" x14ac:dyDescent="0.3">
      <c r="A1632" t="s">
        <v>2318</v>
      </c>
      <c r="B1632" s="2">
        <v>46127</v>
      </c>
      <c r="C1632" t="s">
        <v>26</v>
      </c>
      <c r="D1632" t="s">
        <v>36</v>
      </c>
      <c r="E1632" t="s">
        <v>20</v>
      </c>
      <c r="F1632" t="s">
        <v>299</v>
      </c>
      <c r="G1632" t="s">
        <v>30</v>
      </c>
      <c r="J1632">
        <v>0</v>
      </c>
      <c r="K1632">
        <v>0</v>
      </c>
      <c r="L1632">
        <v>0</v>
      </c>
      <c r="M1632">
        <v>1</v>
      </c>
      <c r="N1632">
        <v>10.5</v>
      </c>
      <c r="O1632">
        <v>3.4</v>
      </c>
      <c r="P1632">
        <v>2.8</v>
      </c>
      <c r="Q1632" t="s">
        <v>31</v>
      </c>
    </row>
    <row r="1633" spans="1:17" x14ac:dyDescent="0.3">
      <c r="A1633" t="s">
        <v>2319</v>
      </c>
      <c r="B1633" s="2">
        <v>46193</v>
      </c>
      <c r="C1633" t="s">
        <v>18</v>
      </c>
      <c r="D1633" t="s">
        <v>95</v>
      </c>
      <c r="E1633" t="s">
        <v>20</v>
      </c>
      <c r="F1633" t="s">
        <v>2320</v>
      </c>
      <c r="G1633" t="s">
        <v>22</v>
      </c>
      <c r="H1633" t="s">
        <v>54</v>
      </c>
      <c r="I1633" t="s">
        <v>45</v>
      </c>
      <c r="J1633">
        <v>1</v>
      </c>
      <c r="K1633">
        <v>5000</v>
      </c>
      <c r="L1633">
        <v>0</v>
      </c>
      <c r="N1633">
        <v>21.6</v>
      </c>
      <c r="Q1633" t="s">
        <v>45</v>
      </c>
    </row>
    <row r="1634" spans="1:17" x14ac:dyDescent="0.3">
      <c r="A1634" t="s">
        <v>2321</v>
      </c>
      <c r="B1634" s="2">
        <v>46184</v>
      </c>
      <c r="C1634" t="s">
        <v>26</v>
      </c>
      <c r="D1634" t="s">
        <v>27</v>
      </c>
      <c r="E1634" t="s">
        <v>20</v>
      </c>
      <c r="F1634" t="s">
        <v>295</v>
      </c>
      <c r="G1634" t="s">
        <v>22</v>
      </c>
      <c r="J1634">
        <v>0</v>
      </c>
      <c r="K1634">
        <v>0</v>
      </c>
      <c r="L1634">
        <v>0</v>
      </c>
      <c r="M1634">
        <v>1</v>
      </c>
      <c r="N1634">
        <v>3.1</v>
      </c>
      <c r="O1634">
        <v>10.3</v>
      </c>
      <c r="P1634">
        <v>3.7</v>
      </c>
      <c r="Q1634" t="s">
        <v>39</v>
      </c>
    </row>
    <row r="1635" spans="1:17" x14ac:dyDescent="0.3">
      <c r="A1635" t="s">
        <v>2322</v>
      </c>
      <c r="B1635" s="2">
        <v>46255</v>
      </c>
      <c r="C1635" t="s">
        <v>26</v>
      </c>
      <c r="D1635" t="s">
        <v>33</v>
      </c>
      <c r="E1635" t="s">
        <v>20</v>
      </c>
      <c r="F1635" t="s">
        <v>304</v>
      </c>
      <c r="G1635" t="s">
        <v>44</v>
      </c>
      <c r="J1635">
        <v>0</v>
      </c>
      <c r="K1635">
        <v>0</v>
      </c>
      <c r="L1635">
        <v>0</v>
      </c>
      <c r="M1635">
        <v>1</v>
      </c>
      <c r="N1635">
        <v>2.5</v>
      </c>
      <c r="O1635">
        <v>1.7</v>
      </c>
      <c r="P1635">
        <v>3.9</v>
      </c>
      <c r="Q1635" t="s">
        <v>39</v>
      </c>
    </row>
    <row r="1636" spans="1:17" x14ac:dyDescent="0.3">
      <c r="A1636" t="s">
        <v>2323</v>
      </c>
      <c r="B1636" s="2">
        <v>46178</v>
      </c>
      <c r="C1636" t="s">
        <v>26</v>
      </c>
      <c r="D1636" t="s">
        <v>33</v>
      </c>
      <c r="E1636" t="s">
        <v>48</v>
      </c>
      <c r="F1636" t="s">
        <v>1450</v>
      </c>
      <c r="G1636" t="s">
        <v>50</v>
      </c>
      <c r="J1636">
        <v>0</v>
      </c>
      <c r="K1636">
        <v>0</v>
      </c>
      <c r="L1636">
        <v>0</v>
      </c>
      <c r="M1636">
        <v>1</v>
      </c>
      <c r="N1636">
        <v>6.3</v>
      </c>
      <c r="O1636">
        <v>3.8</v>
      </c>
      <c r="P1636">
        <v>4.4000000000000004</v>
      </c>
      <c r="Q1636" t="s">
        <v>39</v>
      </c>
    </row>
    <row r="1637" spans="1:17" x14ac:dyDescent="0.3">
      <c r="A1637" t="s">
        <v>2324</v>
      </c>
      <c r="B1637" s="2">
        <v>46134</v>
      </c>
      <c r="C1637" t="s">
        <v>18</v>
      </c>
      <c r="D1637" t="s">
        <v>19</v>
      </c>
      <c r="E1637" t="s">
        <v>48</v>
      </c>
      <c r="F1637" t="s">
        <v>1077</v>
      </c>
      <c r="G1637" t="s">
        <v>30</v>
      </c>
      <c r="H1637" t="s">
        <v>54</v>
      </c>
      <c r="I1637" t="s">
        <v>45</v>
      </c>
      <c r="J1637">
        <v>1</v>
      </c>
      <c r="K1637">
        <v>36600</v>
      </c>
      <c r="L1637">
        <v>0</v>
      </c>
      <c r="N1637">
        <v>0.6</v>
      </c>
      <c r="Q1637" t="s">
        <v>45</v>
      </c>
    </row>
    <row r="1638" spans="1:17" x14ac:dyDescent="0.3">
      <c r="A1638" t="s">
        <v>2325</v>
      </c>
      <c r="B1638" s="2">
        <v>45983</v>
      </c>
      <c r="C1638" t="s">
        <v>18</v>
      </c>
      <c r="D1638" t="s">
        <v>19</v>
      </c>
      <c r="E1638" t="s">
        <v>48</v>
      </c>
      <c r="F1638" t="s">
        <v>1201</v>
      </c>
      <c r="G1638" t="s">
        <v>44</v>
      </c>
      <c r="H1638" t="s">
        <v>86</v>
      </c>
      <c r="I1638" t="s">
        <v>79</v>
      </c>
      <c r="J1638">
        <v>1</v>
      </c>
      <c r="K1638">
        <v>16100</v>
      </c>
      <c r="L1638">
        <v>0</v>
      </c>
      <c r="N1638">
        <v>3.3</v>
      </c>
      <c r="Q1638" t="s">
        <v>79</v>
      </c>
    </row>
    <row r="1639" spans="1:17" x14ac:dyDescent="0.3">
      <c r="A1639" t="s">
        <v>2326</v>
      </c>
      <c r="B1639" s="2">
        <v>45941</v>
      </c>
      <c r="C1639" t="s">
        <v>18</v>
      </c>
      <c r="D1639" t="s">
        <v>41</v>
      </c>
      <c r="E1639" t="s">
        <v>48</v>
      </c>
      <c r="F1639" t="s">
        <v>1972</v>
      </c>
      <c r="G1639" t="s">
        <v>30</v>
      </c>
      <c r="H1639" t="s">
        <v>54</v>
      </c>
      <c r="I1639" t="s">
        <v>55</v>
      </c>
      <c r="J1639">
        <v>1</v>
      </c>
      <c r="K1639">
        <v>25100</v>
      </c>
      <c r="L1639">
        <v>0</v>
      </c>
      <c r="N1639">
        <v>20.5</v>
      </c>
      <c r="Q1639" t="s">
        <v>55</v>
      </c>
    </row>
    <row r="1640" spans="1:17" x14ac:dyDescent="0.3">
      <c r="A1640" t="s">
        <v>2327</v>
      </c>
      <c r="B1640" s="2">
        <v>45927</v>
      </c>
      <c r="C1640" t="s">
        <v>26</v>
      </c>
      <c r="D1640" t="s">
        <v>69</v>
      </c>
      <c r="E1640" t="s">
        <v>48</v>
      </c>
      <c r="F1640" t="s">
        <v>2328</v>
      </c>
      <c r="G1640" t="s">
        <v>44</v>
      </c>
      <c r="J1640">
        <v>0</v>
      </c>
      <c r="K1640">
        <v>0</v>
      </c>
      <c r="L1640">
        <v>0</v>
      </c>
      <c r="M1640">
        <v>1</v>
      </c>
      <c r="N1640">
        <v>1</v>
      </c>
      <c r="O1640">
        <v>7.1</v>
      </c>
      <c r="P1640">
        <v>2.7</v>
      </c>
      <c r="Q1640" t="s">
        <v>31</v>
      </c>
    </row>
    <row r="1641" spans="1:17" x14ac:dyDescent="0.3">
      <c r="A1641" t="s">
        <v>2329</v>
      </c>
      <c r="B1641" s="2">
        <v>46052</v>
      </c>
      <c r="C1641" t="s">
        <v>26</v>
      </c>
      <c r="D1641" t="s">
        <v>126</v>
      </c>
      <c r="E1641" t="s">
        <v>20</v>
      </c>
      <c r="F1641" t="s">
        <v>1599</v>
      </c>
      <c r="G1641" t="s">
        <v>30</v>
      </c>
      <c r="J1641">
        <v>0</v>
      </c>
      <c r="K1641">
        <v>0</v>
      </c>
      <c r="L1641">
        <v>0</v>
      </c>
      <c r="M1641">
        <v>1</v>
      </c>
      <c r="N1641">
        <v>6.6</v>
      </c>
      <c r="O1641">
        <v>17.600000000000001</v>
      </c>
      <c r="P1641">
        <v>4.5999999999999996</v>
      </c>
      <c r="Q1641" t="s">
        <v>39</v>
      </c>
    </row>
    <row r="1642" spans="1:17" x14ac:dyDescent="0.3">
      <c r="A1642" t="s">
        <v>2330</v>
      </c>
      <c r="B1642" s="2">
        <v>46007</v>
      </c>
      <c r="C1642" t="s">
        <v>18</v>
      </c>
      <c r="D1642" t="s">
        <v>41</v>
      </c>
      <c r="E1642" t="s">
        <v>20</v>
      </c>
      <c r="F1642" t="s">
        <v>398</v>
      </c>
      <c r="G1642" t="s">
        <v>22</v>
      </c>
      <c r="H1642" t="s">
        <v>54</v>
      </c>
      <c r="I1642" t="s">
        <v>45</v>
      </c>
      <c r="J1642">
        <v>1</v>
      </c>
      <c r="K1642">
        <v>12300</v>
      </c>
      <c r="L1642">
        <v>0</v>
      </c>
      <c r="N1642">
        <v>4.8</v>
      </c>
      <c r="Q1642" t="s">
        <v>45</v>
      </c>
    </row>
    <row r="1643" spans="1:17" x14ac:dyDescent="0.3">
      <c r="A1643" t="s">
        <v>2331</v>
      </c>
      <c r="B1643" s="2">
        <v>46106</v>
      </c>
      <c r="C1643" t="s">
        <v>26</v>
      </c>
      <c r="D1643" t="s">
        <v>232</v>
      </c>
      <c r="E1643" t="s">
        <v>42</v>
      </c>
      <c r="F1643" t="s">
        <v>2332</v>
      </c>
      <c r="G1643" t="s">
        <v>30</v>
      </c>
      <c r="J1643">
        <v>0</v>
      </c>
      <c r="K1643">
        <v>0</v>
      </c>
      <c r="L1643">
        <v>0</v>
      </c>
      <c r="M1643">
        <v>1</v>
      </c>
      <c r="N1643">
        <v>3.2</v>
      </c>
      <c r="O1643">
        <v>16.3</v>
      </c>
      <c r="P1643">
        <v>3.5</v>
      </c>
      <c r="Q1643" t="s">
        <v>39</v>
      </c>
    </row>
    <row r="1644" spans="1:17" x14ac:dyDescent="0.3">
      <c r="A1644" t="s">
        <v>2333</v>
      </c>
      <c r="B1644" s="2">
        <v>45962</v>
      </c>
      <c r="C1644" t="s">
        <v>18</v>
      </c>
      <c r="D1644" t="s">
        <v>47</v>
      </c>
      <c r="E1644" t="s">
        <v>20</v>
      </c>
      <c r="F1644" t="s">
        <v>1521</v>
      </c>
      <c r="G1644" t="s">
        <v>30</v>
      </c>
      <c r="H1644" t="s">
        <v>54</v>
      </c>
      <c r="I1644" t="s">
        <v>55</v>
      </c>
      <c r="J1644">
        <v>1</v>
      </c>
      <c r="K1644">
        <v>18100</v>
      </c>
      <c r="L1644">
        <v>0</v>
      </c>
      <c r="N1644">
        <v>5.7</v>
      </c>
      <c r="Q1644" t="s">
        <v>55</v>
      </c>
    </row>
    <row r="1645" spans="1:17" x14ac:dyDescent="0.3">
      <c r="A1645" t="s">
        <v>2334</v>
      </c>
      <c r="B1645" s="2">
        <v>45957</v>
      </c>
      <c r="C1645" t="s">
        <v>26</v>
      </c>
      <c r="D1645" t="s">
        <v>69</v>
      </c>
      <c r="E1645" t="s">
        <v>20</v>
      </c>
      <c r="F1645" t="s">
        <v>2335</v>
      </c>
      <c r="G1645" t="s">
        <v>50</v>
      </c>
      <c r="J1645">
        <v>0</v>
      </c>
      <c r="K1645">
        <v>0</v>
      </c>
      <c r="L1645">
        <v>0</v>
      </c>
      <c r="M1645">
        <v>1</v>
      </c>
      <c r="N1645">
        <v>1.9</v>
      </c>
      <c r="O1645">
        <v>14</v>
      </c>
      <c r="P1645">
        <v>5</v>
      </c>
      <c r="Q1645" t="s">
        <v>225</v>
      </c>
    </row>
    <row r="1646" spans="1:17" x14ac:dyDescent="0.3">
      <c r="A1646" t="s">
        <v>2336</v>
      </c>
      <c r="B1646" s="2">
        <v>45917</v>
      </c>
      <c r="C1646" t="s">
        <v>18</v>
      </c>
      <c r="D1646" t="s">
        <v>41</v>
      </c>
      <c r="E1646" t="s">
        <v>20</v>
      </c>
      <c r="F1646" t="s">
        <v>2337</v>
      </c>
      <c r="G1646" t="s">
        <v>22</v>
      </c>
      <c r="H1646" t="s">
        <v>23</v>
      </c>
      <c r="I1646" t="s">
        <v>89</v>
      </c>
      <c r="J1646">
        <v>1</v>
      </c>
      <c r="K1646">
        <v>20200</v>
      </c>
      <c r="L1646">
        <v>0</v>
      </c>
      <c r="N1646">
        <v>15.4</v>
      </c>
      <c r="Q1646" t="s">
        <v>89</v>
      </c>
    </row>
    <row r="1647" spans="1:17" x14ac:dyDescent="0.3">
      <c r="A1647" t="s">
        <v>2338</v>
      </c>
      <c r="B1647" s="2">
        <v>46010</v>
      </c>
      <c r="C1647" t="s">
        <v>26</v>
      </c>
      <c r="D1647" t="s">
        <v>27</v>
      </c>
      <c r="E1647" t="s">
        <v>37</v>
      </c>
      <c r="F1647" t="s">
        <v>1063</v>
      </c>
      <c r="G1647" t="s">
        <v>22</v>
      </c>
      <c r="J1647">
        <v>0</v>
      </c>
      <c r="K1647">
        <v>0</v>
      </c>
      <c r="L1647">
        <v>0</v>
      </c>
      <c r="M1647">
        <v>1</v>
      </c>
      <c r="N1647">
        <v>9.3000000000000007</v>
      </c>
      <c r="O1647">
        <v>11.5</v>
      </c>
      <c r="P1647">
        <v>3.9</v>
      </c>
      <c r="Q1647" t="s">
        <v>39</v>
      </c>
    </row>
    <row r="1648" spans="1:17" x14ac:dyDescent="0.3">
      <c r="A1648" t="s">
        <v>2339</v>
      </c>
      <c r="B1648" s="2">
        <v>46256</v>
      </c>
      <c r="C1648" t="s">
        <v>18</v>
      </c>
      <c r="D1648" t="s">
        <v>19</v>
      </c>
      <c r="E1648" t="s">
        <v>37</v>
      </c>
      <c r="F1648" t="s">
        <v>481</v>
      </c>
      <c r="G1648" t="s">
        <v>22</v>
      </c>
      <c r="H1648" t="s">
        <v>66</v>
      </c>
      <c r="I1648" t="s">
        <v>24</v>
      </c>
      <c r="J1648">
        <v>1</v>
      </c>
      <c r="K1648">
        <v>13700</v>
      </c>
      <c r="L1648">
        <v>13700</v>
      </c>
      <c r="N1648">
        <v>15.7</v>
      </c>
      <c r="Q1648" t="s">
        <v>24</v>
      </c>
    </row>
    <row r="1649" spans="1:17" x14ac:dyDescent="0.3">
      <c r="A1649" t="s">
        <v>2340</v>
      </c>
      <c r="B1649" s="2">
        <v>46056</v>
      </c>
      <c r="C1649" t="s">
        <v>26</v>
      </c>
      <c r="D1649" t="s">
        <v>232</v>
      </c>
      <c r="E1649" t="s">
        <v>20</v>
      </c>
      <c r="F1649" t="s">
        <v>514</v>
      </c>
      <c r="G1649" t="s">
        <v>22</v>
      </c>
      <c r="J1649">
        <v>0</v>
      </c>
      <c r="K1649">
        <v>0</v>
      </c>
      <c r="L1649">
        <v>0</v>
      </c>
      <c r="M1649">
        <v>1</v>
      </c>
      <c r="N1649">
        <v>10.6</v>
      </c>
      <c r="O1649">
        <v>2.2999999999999998</v>
      </c>
      <c r="P1649">
        <v>3</v>
      </c>
      <c r="Q1649" t="s">
        <v>31</v>
      </c>
    </row>
    <row r="1650" spans="1:17" x14ac:dyDescent="0.3">
      <c r="A1650" t="s">
        <v>2341</v>
      </c>
      <c r="B1650" s="2">
        <v>45996</v>
      </c>
      <c r="C1650" t="s">
        <v>26</v>
      </c>
      <c r="D1650" t="s">
        <v>232</v>
      </c>
      <c r="E1650" t="s">
        <v>20</v>
      </c>
      <c r="F1650" t="s">
        <v>570</v>
      </c>
      <c r="G1650" t="s">
        <v>50</v>
      </c>
      <c r="J1650">
        <v>0</v>
      </c>
      <c r="K1650">
        <v>0</v>
      </c>
      <c r="L1650">
        <v>0</v>
      </c>
      <c r="M1650">
        <v>1</v>
      </c>
      <c r="N1650">
        <v>1.7</v>
      </c>
      <c r="O1650">
        <v>7.3</v>
      </c>
      <c r="P1650">
        <v>4.4000000000000004</v>
      </c>
      <c r="Q1650" t="s">
        <v>39</v>
      </c>
    </row>
    <row r="1651" spans="1:17" x14ac:dyDescent="0.3">
      <c r="A1651" t="s">
        <v>2342</v>
      </c>
      <c r="B1651" s="2">
        <v>46162</v>
      </c>
      <c r="C1651" t="s">
        <v>26</v>
      </c>
      <c r="D1651" t="s">
        <v>126</v>
      </c>
      <c r="E1651" t="s">
        <v>20</v>
      </c>
      <c r="F1651" t="s">
        <v>838</v>
      </c>
      <c r="G1651" t="s">
        <v>44</v>
      </c>
      <c r="J1651">
        <v>0</v>
      </c>
      <c r="K1651">
        <v>0</v>
      </c>
      <c r="L1651">
        <v>0</v>
      </c>
      <c r="M1651">
        <v>1</v>
      </c>
      <c r="N1651">
        <v>11.5</v>
      </c>
      <c r="O1651">
        <v>5.2</v>
      </c>
      <c r="P1651">
        <v>3.3</v>
      </c>
      <c r="Q1651" t="s">
        <v>62</v>
      </c>
    </row>
    <row r="1652" spans="1:17" x14ac:dyDescent="0.3">
      <c r="A1652" t="s">
        <v>2343</v>
      </c>
      <c r="B1652" s="2">
        <v>46174</v>
      </c>
      <c r="C1652" t="s">
        <v>18</v>
      </c>
      <c r="D1652" t="s">
        <v>95</v>
      </c>
      <c r="E1652" t="s">
        <v>20</v>
      </c>
      <c r="F1652" t="s">
        <v>969</v>
      </c>
      <c r="G1652" t="s">
        <v>44</v>
      </c>
      <c r="H1652" t="s">
        <v>86</v>
      </c>
      <c r="I1652" t="s">
        <v>24</v>
      </c>
      <c r="J1652">
        <v>1</v>
      </c>
      <c r="K1652">
        <v>11000</v>
      </c>
      <c r="L1652">
        <v>11000</v>
      </c>
      <c r="N1652">
        <v>9.5</v>
      </c>
      <c r="Q1652" t="s">
        <v>24</v>
      </c>
    </row>
    <row r="1653" spans="1:17" x14ac:dyDescent="0.3">
      <c r="A1653" t="s">
        <v>2344</v>
      </c>
      <c r="B1653" s="2">
        <v>45997</v>
      </c>
      <c r="C1653" t="s">
        <v>18</v>
      </c>
      <c r="D1653" t="s">
        <v>19</v>
      </c>
      <c r="E1653" t="s">
        <v>20</v>
      </c>
      <c r="F1653" t="s">
        <v>942</v>
      </c>
      <c r="G1653" t="s">
        <v>44</v>
      </c>
      <c r="H1653" t="s">
        <v>78</v>
      </c>
      <c r="I1653" t="s">
        <v>79</v>
      </c>
      <c r="J1653">
        <v>1</v>
      </c>
      <c r="K1653">
        <v>26300</v>
      </c>
      <c r="L1653">
        <v>0</v>
      </c>
      <c r="N1653">
        <v>19.600000000000001</v>
      </c>
      <c r="Q1653" t="s">
        <v>79</v>
      </c>
    </row>
    <row r="1654" spans="1:17" x14ac:dyDescent="0.3">
      <c r="A1654" t="s">
        <v>2345</v>
      </c>
      <c r="B1654" s="2">
        <v>46116</v>
      </c>
      <c r="C1654" t="s">
        <v>18</v>
      </c>
      <c r="D1654" t="s">
        <v>19</v>
      </c>
      <c r="E1654" t="s">
        <v>48</v>
      </c>
      <c r="F1654" t="s">
        <v>1750</v>
      </c>
      <c r="G1654" t="s">
        <v>44</v>
      </c>
      <c r="H1654" t="s">
        <v>23</v>
      </c>
      <c r="I1654" t="s">
        <v>89</v>
      </c>
      <c r="J1654">
        <v>1</v>
      </c>
      <c r="K1654">
        <v>17900</v>
      </c>
      <c r="L1654">
        <v>0</v>
      </c>
      <c r="N1654">
        <v>11.1</v>
      </c>
      <c r="Q1654" t="s">
        <v>89</v>
      </c>
    </row>
    <row r="1655" spans="1:17" x14ac:dyDescent="0.3">
      <c r="A1655" t="s">
        <v>2346</v>
      </c>
      <c r="B1655" s="2">
        <v>46068</v>
      </c>
      <c r="C1655" t="s">
        <v>18</v>
      </c>
      <c r="D1655" t="s">
        <v>105</v>
      </c>
      <c r="E1655" t="s">
        <v>37</v>
      </c>
      <c r="F1655" t="s">
        <v>781</v>
      </c>
      <c r="G1655" t="s">
        <v>22</v>
      </c>
      <c r="H1655" t="s">
        <v>54</v>
      </c>
      <c r="I1655" t="s">
        <v>45</v>
      </c>
      <c r="J1655">
        <v>1</v>
      </c>
      <c r="K1655">
        <v>19000</v>
      </c>
      <c r="L1655">
        <v>0</v>
      </c>
      <c r="N1655">
        <v>14.7</v>
      </c>
      <c r="Q1655" t="s">
        <v>45</v>
      </c>
    </row>
    <row r="1656" spans="1:17" x14ac:dyDescent="0.3">
      <c r="A1656" t="s">
        <v>2347</v>
      </c>
      <c r="B1656" s="2">
        <v>46025</v>
      </c>
      <c r="C1656" t="s">
        <v>18</v>
      </c>
      <c r="D1656" t="s">
        <v>64</v>
      </c>
      <c r="E1656" t="s">
        <v>20</v>
      </c>
      <c r="F1656" t="s">
        <v>1587</v>
      </c>
      <c r="G1656" t="s">
        <v>22</v>
      </c>
      <c r="H1656" t="s">
        <v>86</v>
      </c>
      <c r="I1656" t="s">
        <v>45</v>
      </c>
      <c r="J1656">
        <v>1</v>
      </c>
      <c r="K1656">
        <v>7200</v>
      </c>
      <c r="L1656">
        <v>0</v>
      </c>
      <c r="N1656">
        <v>4.7</v>
      </c>
      <c r="Q1656" t="s">
        <v>45</v>
      </c>
    </row>
    <row r="1657" spans="1:17" x14ac:dyDescent="0.3">
      <c r="A1657" t="s">
        <v>2348</v>
      </c>
      <c r="B1657" s="2">
        <v>46094</v>
      </c>
      <c r="C1657" t="s">
        <v>26</v>
      </c>
      <c r="D1657" t="s">
        <v>72</v>
      </c>
      <c r="E1657" t="s">
        <v>20</v>
      </c>
      <c r="F1657" t="s">
        <v>542</v>
      </c>
      <c r="G1657" t="s">
        <v>22</v>
      </c>
      <c r="J1657">
        <v>0</v>
      </c>
      <c r="K1657">
        <v>0</v>
      </c>
      <c r="L1657">
        <v>0</v>
      </c>
      <c r="M1657">
        <v>1</v>
      </c>
      <c r="N1657">
        <v>3.6</v>
      </c>
      <c r="O1657">
        <v>15.8</v>
      </c>
      <c r="P1657">
        <v>4</v>
      </c>
      <c r="Q1657" t="s">
        <v>39</v>
      </c>
    </row>
    <row r="1658" spans="1:17" x14ac:dyDescent="0.3">
      <c r="A1658" t="s">
        <v>2349</v>
      </c>
      <c r="B1658" s="2">
        <v>45983</v>
      </c>
      <c r="C1658" t="s">
        <v>26</v>
      </c>
      <c r="D1658" t="s">
        <v>232</v>
      </c>
      <c r="E1658" t="s">
        <v>42</v>
      </c>
      <c r="F1658" t="s">
        <v>2350</v>
      </c>
      <c r="G1658" t="s">
        <v>30</v>
      </c>
      <c r="J1658">
        <v>0</v>
      </c>
      <c r="K1658">
        <v>0</v>
      </c>
      <c r="L1658">
        <v>0</v>
      </c>
      <c r="M1658">
        <v>1</v>
      </c>
      <c r="N1658">
        <v>9.6</v>
      </c>
      <c r="O1658">
        <v>10</v>
      </c>
      <c r="P1658">
        <v>4.0999999999999996</v>
      </c>
      <c r="Q1658" t="s">
        <v>39</v>
      </c>
    </row>
    <row r="1659" spans="1:17" x14ac:dyDescent="0.3">
      <c r="A1659" t="s">
        <v>2351</v>
      </c>
      <c r="B1659" s="2">
        <v>46124</v>
      </c>
      <c r="C1659" t="s">
        <v>18</v>
      </c>
      <c r="D1659" t="s">
        <v>19</v>
      </c>
      <c r="E1659" t="s">
        <v>20</v>
      </c>
      <c r="F1659" t="s">
        <v>461</v>
      </c>
      <c r="G1659" t="s">
        <v>44</v>
      </c>
      <c r="H1659" t="s">
        <v>23</v>
      </c>
      <c r="I1659" t="s">
        <v>67</v>
      </c>
      <c r="J1659">
        <v>1</v>
      </c>
      <c r="K1659">
        <v>42900</v>
      </c>
      <c r="L1659">
        <v>0</v>
      </c>
      <c r="N1659">
        <v>4.4000000000000004</v>
      </c>
      <c r="Q1659" t="s">
        <v>67</v>
      </c>
    </row>
    <row r="1660" spans="1:17" x14ac:dyDescent="0.3">
      <c r="A1660" t="s">
        <v>2352</v>
      </c>
      <c r="B1660" s="2">
        <v>46182</v>
      </c>
      <c r="C1660" t="s">
        <v>18</v>
      </c>
      <c r="D1660" t="s">
        <v>105</v>
      </c>
      <c r="E1660" t="s">
        <v>20</v>
      </c>
      <c r="F1660" t="s">
        <v>978</v>
      </c>
      <c r="G1660" t="s">
        <v>22</v>
      </c>
      <c r="H1660" t="s">
        <v>78</v>
      </c>
      <c r="I1660" t="s">
        <v>24</v>
      </c>
      <c r="J1660">
        <v>1</v>
      </c>
      <c r="K1660">
        <v>20600</v>
      </c>
      <c r="L1660">
        <v>20600</v>
      </c>
      <c r="N1660">
        <v>5.3</v>
      </c>
      <c r="Q1660" t="s">
        <v>24</v>
      </c>
    </row>
    <row r="1661" spans="1:17" x14ac:dyDescent="0.3">
      <c r="A1661" t="s">
        <v>2353</v>
      </c>
      <c r="B1661" s="2">
        <v>46249</v>
      </c>
      <c r="C1661" t="s">
        <v>18</v>
      </c>
      <c r="D1661" t="s">
        <v>19</v>
      </c>
      <c r="E1661" t="s">
        <v>20</v>
      </c>
      <c r="F1661" t="s">
        <v>1747</v>
      </c>
      <c r="G1661" t="s">
        <v>22</v>
      </c>
      <c r="H1661" t="s">
        <v>23</v>
      </c>
      <c r="I1661" t="s">
        <v>67</v>
      </c>
      <c r="J1661">
        <v>1</v>
      </c>
      <c r="K1661">
        <v>16600</v>
      </c>
      <c r="L1661">
        <v>0</v>
      </c>
      <c r="N1661">
        <v>17.899999999999999</v>
      </c>
      <c r="Q1661" t="s">
        <v>67</v>
      </c>
    </row>
    <row r="1662" spans="1:17" x14ac:dyDescent="0.3">
      <c r="A1662" t="s">
        <v>2354</v>
      </c>
      <c r="B1662" s="2">
        <v>45953</v>
      </c>
      <c r="C1662" t="s">
        <v>26</v>
      </c>
      <c r="D1662" t="s">
        <v>126</v>
      </c>
      <c r="E1662" t="s">
        <v>20</v>
      </c>
      <c r="F1662" t="s">
        <v>1940</v>
      </c>
      <c r="G1662" t="s">
        <v>30</v>
      </c>
      <c r="J1662">
        <v>0</v>
      </c>
      <c r="K1662">
        <v>0</v>
      </c>
      <c r="L1662">
        <v>0</v>
      </c>
      <c r="M1662">
        <v>1</v>
      </c>
      <c r="N1662">
        <v>4.5999999999999996</v>
      </c>
      <c r="O1662">
        <v>18.399999999999999</v>
      </c>
      <c r="P1662">
        <v>5</v>
      </c>
      <c r="Q1662" t="s">
        <v>39</v>
      </c>
    </row>
    <row r="1663" spans="1:17" x14ac:dyDescent="0.3">
      <c r="A1663" t="s">
        <v>2355</v>
      </c>
      <c r="B1663" s="2">
        <v>46153</v>
      </c>
      <c r="C1663" t="s">
        <v>18</v>
      </c>
      <c r="D1663" t="s">
        <v>47</v>
      </c>
      <c r="E1663" t="s">
        <v>20</v>
      </c>
      <c r="F1663" t="s">
        <v>827</v>
      </c>
      <c r="G1663" t="s">
        <v>22</v>
      </c>
      <c r="H1663" t="s">
        <v>23</v>
      </c>
      <c r="I1663" t="s">
        <v>89</v>
      </c>
      <c r="J1663">
        <v>1</v>
      </c>
      <c r="K1663">
        <v>7400</v>
      </c>
      <c r="L1663">
        <v>0</v>
      </c>
      <c r="N1663">
        <v>22.4</v>
      </c>
      <c r="Q1663" t="s">
        <v>89</v>
      </c>
    </row>
    <row r="1664" spans="1:17" x14ac:dyDescent="0.3">
      <c r="A1664" t="s">
        <v>2356</v>
      </c>
      <c r="B1664" s="2">
        <v>46240</v>
      </c>
      <c r="C1664" t="s">
        <v>26</v>
      </c>
      <c r="D1664" t="s">
        <v>114</v>
      </c>
      <c r="E1664" t="s">
        <v>20</v>
      </c>
      <c r="F1664" t="s">
        <v>966</v>
      </c>
      <c r="G1664" t="s">
        <v>30</v>
      </c>
      <c r="J1664">
        <v>0</v>
      </c>
      <c r="K1664">
        <v>0</v>
      </c>
      <c r="L1664">
        <v>0</v>
      </c>
      <c r="M1664">
        <v>1</v>
      </c>
      <c r="N1664">
        <v>4</v>
      </c>
      <c r="O1664">
        <v>5.6</v>
      </c>
      <c r="P1664">
        <v>4.0999999999999996</v>
      </c>
      <c r="Q1664" t="s">
        <v>39</v>
      </c>
    </row>
    <row r="1665" spans="1:17" x14ac:dyDescent="0.3">
      <c r="A1665" t="s">
        <v>2357</v>
      </c>
      <c r="B1665" s="2">
        <v>46256</v>
      </c>
      <c r="C1665" t="s">
        <v>18</v>
      </c>
      <c r="D1665" t="s">
        <v>117</v>
      </c>
      <c r="E1665" t="s">
        <v>28</v>
      </c>
      <c r="F1665" t="s">
        <v>626</v>
      </c>
      <c r="G1665" t="s">
        <v>22</v>
      </c>
      <c r="H1665" t="s">
        <v>66</v>
      </c>
      <c r="I1665" t="s">
        <v>45</v>
      </c>
      <c r="J1665">
        <v>1</v>
      </c>
      <c r="K1665">
        <v>22200</v>
      </c>
      <c r="L1665">
        <v>0</v>
      </c>
      <c r="N1665">
        <v>8.1999999999999993</v>
      </c>
      <c r="Q1665" t="s">
        <v>45</v>
      </c>
    </row>
    <row r="1666" spans="1:17" x14ac:dyDescent="0.3">
      <c r="A1666" t="s">
        <v>2358</v>
      </c>
      <c r="B1666" s="2">
        <v>46119</v>
      </c>
      <c r="C1666" t="s">
        <v>26</v>
      </c>
      <c r="D1666" t="s">
        <v>27</v>
      </c>
      <c r="E1666" t="s">
        <v>20</v>
      </c>
      <c r="F1666" t="s">
        <v>920</v>
      </c>
      <c r="G1666" t="s">
        <v>30</v>
      </c>
      <c r="J1666">
        <v>0</v>
      </c>
      <c r="K1666">
        <v>0</v>
      </c>
      <c r="L1666">
        <v>0</v>
      </c>
      <c r="M1666">
        <v>1</v>
      </c>
      <c r="N1666">
        <v>1.8</v>
      </c>
      <c r="O1666">
        <v>5.7</v>
      </c>
      <c r="P1666">
        <v>4.0999999999999996</v>
      </c>
      <c r="Q1666" t="s">
        <v>31</v>
      </c>
    </row>
    <row r="1667" spans="1:17" x14ac:dyDescent="0.3">
      <c r="A1667" t="s">
        <v>2359</v>
      </c>
      <c r="B1667" s="2">
        <v>46081</v>
      </c>
      <c r="C1667" t="s">
        <v>26</v>
      </c>
      <c r="D1667" t="s">
        <v>232</v>
      </c>
      <c r="E1667" t="s">
        <v>20</v>
      </c>
      <c r="F1667" t="s">
        <v>661</v>
      </c>
      <c r="G1667" t="s">
        <v>50</v>
      </c>
      <c r="J1667">
        <v>0</v>
      </c>
      <c r="K1667">
        <v>0</v>
      </c>
      <c r="L1667">
        <v>0</v>
      </c>
      <c r="M1667">
        <v>1</v>
      </c>
      <c r="N1667">
        <v>5.3</v>
      </c>
      <c r="O1667">
        <v>11.1</v>
      </c>
      <c r="P1667">
        <v>3.6</v>
      </c>
      <c r="Q1667" t="s">
        <v>39</v>
      </c>
    </row>
    <row r="1668" spans="1:17" x14ac:dyDescent="0.3">
      <c r="A1668" t="s">
        <v>2360</v>
      </c>
      <c r="B1668" s="2">
        <v>46188</v>
      </c>
      <c r="C1668" t="s">
        <v>18</v>
      </c>
      <c r="D1668" t="s">
        <v>52</v>
      </c>
      <c r="E1668" t="s">
        <v>20</v>
      </c>
      <c r="F1668" t="s">
        <v>2190</v>
      </c>
      <c r="G1668" t="s">
        <v>50</v>
      </c>
      <c r="H1668" t="s">
        <v>23</v>
      </c>
      <c r="I1668" t="s">
        <v>79</v>
      </c>
      <c r="J1668">
        <v>1</v>
      </c>
      <c r="K1668">
        <v>6700</v>
      </c>
      <c r="L1668">
        <v>0</v>
      </c>
      <c r="N1668">
        <v>1.7</v>
      </c>
      <c r="Q1668" t="s">
        <v>79</v>
      </c>
    </row>
    <row r="1669" spans="1:17" x14ac:dyDescent="0.3">
      <c r="A1669" t="s">
        <v>2361</v>
      </c>
      <c r="B1669" s="2">
        <v>46233</v>
      </c>
      <c r="C1669" t="s">
        <v>26</v>
      </c>
      <c r="D1669" t="s">
        <v>114</v>
      </c>
      <c r="E1669" t="s">
        <v>20</v>
      </c>
      <c r="F1669" t="s">
        <v>878</v>
      </c>
      <c r="G1669" t="s">
        <v>22</v>
      </c>
      <c r="J1669">
        <v>0</v>
      </c>
      <c r="K1669">
        <v>0</v>
      </c>
      <c r="L1669">
        <v>0</v>
      </c>
      <c r="M1669">
        <v>1</v>
      </c>
      <c r="N1669">
        <v>11.4</v>
      </c>
      <c r="O1669">
        <v>9.8000000000000007</v>
      </c>
      <c r="P1669">
        <v>4.3</v>
      </c>
      <c r="Q1669" t="s">
        <v>39</v>
      </c>
    </row>
    <row r="1670" spans="1:17" x14ac:dyDescent="0.3">
      <c r="A1670" t="s">
        <v>2362</v>
      </c>
      <c r="B1670" s="2">
        <v>45994</v>
      </c>
      <c r="C1670" t="s">
        <v>18</v>
      </c>
      <c r="D1670" t="s">
        <v>117</v>
      </c>
      <c r="E1670" t="s">
        <v>20</v>
      </c>
      <c r="F1670" t="s">
        <v>1926</v>
      </c>
      <c r="G1670" t="s">
        <v>22</v>
      </c>
      <c r="H1670" t="s">
        <v>86</v>
      </c>
      <c r="I1670" t="s">
        <v>45</v>
      </c>
      <c r="J1670">
        <v>1</v>
      </c>
      <c r="K1670">
        <v>7600</v>
      </c>
      <c r="L1670">
        <v>0</v>
      </c>
      <c r="N1670">
        <v>14.2</v>
      </c>
      <c r="Q1670" t="s">
        <v>45</v>
      </c>
    </row>
    <row r="1671" spans="1:17" x14ac:dyDescent="0.3">
      <c r="A1671" t="s">
        <v>2363</v>
      </c>
      <c r="B1671" s="2">
        <v>46054</v>
      </c>
      <c r="C1671" t="s">
        <v>26</v>
      </c>
      <c r="D1671" t="s">
        <v>72</v>
      </c>
      <c r="E1671" t="s">
        <v>42</v>
      </c>
      <c r="F1671" t="s">
        <v>93</v>
      </c>
      <c r="G1671" t="s">
        <v>50</v>
      </c>
      <c r="J1671">
        <v>0</v>
      </c>
      <c r="K1671">
        <v>0</v>
      </c>
      <c r="L1671">
        <v>0</v>
      </c>
      <c r="M1671">
        <v>1</v>
      </c>
      <c r="N1671">
        <v>3.6</v>
      </c>
      <c r="O1671">
        <v>5.4</v>
      </c>
      <c r="P1671">
        <v>4.5</v>
      </c>
      <c r="Q1671" t="s">
        <v>62</v>
      </c>
    </row>
    <row r="1672" spans="1:17" x14ac:dyDescent="0.3">
      <c r="A1672" t="s">
        <v>2364</v>
      </c>
      <c r="B1672" s="2">
        <v>46045</v>
      </c>
      <c r="C1672" t="s">
        <v>18</v>
      </c>
      <c r="D1672" t="s">
        <v>105</v>
      </c>
      <c r="E1672" t="s">
        <v>37</v>
      </c>
      <c r="F1672" t="s">
        <v>1254</v>
      </c>
      <c r="G1672" t="s">
        <v>30</v>
      </c>
      <c r="H1672" t="s">
        <v>86</v>
      </c>
      <c r="I1672" t="s">
        <v>67</v>
      </c>
      <c r="J1672">
        <v>1</v>
      </c>
      <c r="K1672">
        <v>19100</v>
      </c>
      <c r="L1672">
        <v>0</v>
      </c>
      <c r="N1672">
        <v>8.3000000000000007</v>
      </c>
      <c r="Q1672" t="s">
        <v>67</v>
      </c>
    </row>
    <row r="1673" spans="1:17" x14ac:dyDescent="0.3">
      <c r="A1673" t="s">
        <v>2365</v>
      </c>
      <c r="B1673" s="2">
        <v>46091</v>
      </c>
      <c r="C1673" t="s">
        <v>26</v>
      </c>
      <c r="D1673" t="s">
        <v>126</v>
      </c>
      <c r="E1673" t="s">
        <v>20</v>
      </c>
      <c r="F1673" t="s">
        <v>1902</v>
      </c>
      <c r="G1673" t="s">
        <v>30</v>
      </c>
      <c r="J1673">
        <v>0</v>
      </c>
      <c r="K1673">
        <v>0</v>
      </c>
      <c r="L1673">
        <v>0</v>
      </c>
      <c r="M1673">
        <v>1</v>
      </c>
      <c r="N1673">
        <v>6.3</v>
      </c>
      <c r="O1673">
        <v>4.4000000000000004</v>
      </c>
      <c r="P1673">
        <v>4.0999999999999996</v>
      </c>
      <c r="Q1673" t="s">
        <v>31</v>
      </c>
    </row>
    <row r="1674" spans="1:17" x14ac:dyDescent="0.3">
      <c r="A1674" t="s">
        <v>2366</v>
      </c>
      <c r="B1674" s="2">
        <v>46124</v>
      </c>
      <c r="C1674" t="s">
        <v>26</v>
      </c>
      <c r="D1674" t="s">
        <v>69</v>
      </c>
      <c r="E1674" t="s">
        <v>37</v>
      </c>
      <c r="F1674" t="s">
        <v>655</v>
      </c>
      <c r="G1674" t="s">
        <v>50</v>
      </c>
      <c r="J1674">
        <v>0</v>
      </c>
      <c r="K1674">
        <v>0</v>
      </c>
      <c r="L1674">
        <v>0</v>
      </c>
      <c r="M1674">
        <v>1</v>
      </c>
      <c r="N1674">
        <v>9</v>
      </c>
      <c r="O1674">
        <v>4.0999999999999996</v>
      </c>
      <c r="P1674">
        <v>4.7</v>
      </c>
      <c r="Q1674" t="s">
        <v>62</v>
      </c>
    </row>
    <row r="1675" spans="1:17" x14ac:dyDescent="0.3">
      <c r="A1675" t="s">
        <v>2367</v>
      </c>
      <c r="B1675" s="2">
        <v>45931</v>
      </c>
      <c r="C1675" t="s">
        <v>26</v>
      </c>
      <c r="D1675" t="s">
        <v>72</v>
      </c>
      <c r="E1675" t="s">
        <v>20</v>
      </c>
      <c r="F1675" t="s">
        <v>2368</v>
      </c>
      <c r="G1675" t="s">
        <v>22</v>
      </c>
      <c r="J1675">
        <v>0</v>
      </c>
      <c r="K1675">
        <v>0</v>
      </c>
      <c r="L1675">
        <v>0</v>
      </c>
      <c r="M1675">
        <v>1</v>
      </c>
      <c r="N1675">
        <v>6.3</v>
      </c>
      <c r="O1675">
        <v>6.8</v>
      </c>
      <c r="P1675">
        <v>3.7</v>
      </c>
      <c r="Q1675" t="s">
        <v>39</v>
      </c>
    </row>
    <row r="1676" spans="1:17" x14ac:dyDescent="0.3">
      <c r="A1676" t="s">
        <v>2369</v>
      </c>
      <c r="B1676" s="2">
        <v>46086</v>
      </c>
      <c r="C1676" t="s">
        <v>26</v>
      </c>
      <c r="D1676" t="s">
        <v>126</v>
      </c>
      <c r="E1676" t="s">
        <v>20</v>
      </c>
      <c r="F1676" t="s">
        <v>1055</v>
      </c>
      <c r="G1676" t="s">
        <v>30</v>
      </c>
      <c r="J1676">
        <v>0</v>
      </c>
      <c r="K1676">
        <v>0</v>
      </c>
      <c r="L1676">
        <v>0</v>
      </c>
      <c r="M1676">
        <v>1</v>
      </c>
      <c r="N1676">
        <v>2.9</v>
      </c>
      <c r="O1676">
        <v>15.1</v>
      </c>
      <c r="P1676">
        <v>4.4000000000000004</v>
      </c>
      <c r="Q1676" t="s">
        <v>39</v>
      </c>
    </row>
    <row r="1677" spans="1:17" x14ac:dyDescent="0.3">
      <c r="A1677" t="s">
        <v>2370</v>
      </c>
      <c r="B1677" s="2">
        <v>46130</v>
      </c>
      <c r="C1677" t="s">
        <v>18</v>
      </c>
      <c r="D1677" t="s">
        <v>47</v>
      </c>
      <c r="E1677" t="s">
        <v>48</v>
      </c>
      <c r="F1677" t="s">
        <v>1619</v>
      </c>
      <c r="G1677" t="s">
        <v>30</v>
      </c>
      <c r="H1677" t="s">
        <v>23</v>
      </c>
      <c r="I1677" t="s">
        <v>24</v>
      </c>
      <c r="J1677">
        <v>1</v>
      </c>
      <c r="K1677">
        <v>91500</v>
      </c>
      <c r="L1677">
        <v>91500</v>
      </c>
      <c r="N1677">
        <v>18</v>
      </c>
      <c r="Q1677" t="s">
        <v>24</v>
      </c>
    </row>
    <row r="1678" spans="1:17" x14ac:dyDescent="0.3">
      <c r="A1678" t="s">
        <v>2371</v>
      </c>
      <c r="B1678" s="2">
        <v>46031</v>
      </c>
      <c r="C1678" t="s">
        <v>18</v>
      </c>
      <c r="D1678" t="s">
        <v>19</v>
      </c>
      <c r="E1678" t="s">
        <v>20</v>
      </c>
      <c r="F1678" t="s">
        <v>1694</v>
      </c>
      <c r="G1678" t="s">
        <v>22</v>
      </c>
      <c r="H1678" t="s">
        <v>66</v>
      </c>
      <c r="I1678" t="s">
        <v>45</v>
      </c>
      <c r="J1678">
        <v>1</v>
      </c>
      <c r="K1678">
        <v>22900</v>
      </c>
      <c r="L1678">
        <v>0</v>
      </c>
      <c r="N1678">
        <v>21</v>
      </c>
      <c r="Q1678" t="s">
        <v>45</v>
      </c>
    </row>
    <row r="1679" spans="1:17" x14ac:dyDescent="0.3">
      <c r="A1679" t="s">
        <v>2372</v>
      </c>
      <c r="B1679" s="2">
        <v>46204</v>
      </c>
      <c r="C1679" t="s">
        <v>18</v>
      </c>
      <c r="D1679" t="s">
        <v>95</v>
      </c>
      <c r="E1679" t="s">
        <v>48</v>
      </c>
      <c r="F1679" t="s">
        <v>1000</v>
      </c>
      <c r="G1679" t="s">
        <v>30</v>
      </c>
      <c r="H1679" t="s">
        <v>86</v>
      </c>
      <c r="I1679" t="s">
        <v>45</v>
      </c>
      <c r="J1679">
        <v>1</v>
      </c>
      <c r="K1679">
        <v>61100</v>
      </c>
      <c r="L1679">
        <v>0</v>
      </c>
      <c r="N1679">
        <v>22.2</v>
      </c>
      <c r="Q1679" t="s">
        <v>45</v>
      </c>
    </row>
    <row r="1680" spans="1:17" x14ac:dyDescent="0.3">
      <c r="A1680" t="s">
        <v>2373</v>
      </c>
      <c r="B1680" s="2">
        <v>46087</v>
      </c>
      <c r="C1680" t="s">
        <v>18</v>
      </c>
      <c r="D1680" t="s">
        <v>19</v>
      </c>
      <c r="E1680" t="s">
        <v>20</v>
      </c>
      <c r="F1680" t="s">
        <v>560</v>
      </c>
      <c r="G1680" t="s">
        <v>50</v>
      </c>
      <c r="H1680" t="s">
        <v>78</v>
      </c>
      <c r="I1680" t="s">
        <v>55</v>
      </c>
      <c r="J1680">
        <v>1</v>
      </c>
      <c r="K1680">
        <v>7900</v>
      </c>
      <c r="L1680">
        <v>0</v>
      </c>
      <c r="N1680">
        <v>17.5</v>
      </c>
      <c r="Q1680" t="s">
        <v>55</v>
      </c>
    </row>
    <row r="1681" spans="1:17" x14ac:dyDescent="0.3">
      <c r="A1681" t="s">
        <v>2374</v>
      </c>
      <c r="B1681" s="2">
        <v>46216</v>
      </c>
      <c r="C1681" t="s">
        <v>26</v>
      </c>
      <c r="D1681" t="s">
        <v>232</v>
      </c>
      <c r="E1681" t="s">
        <v>42</v>
      </c>
      <c r="F1681" t="s">
        <v>818</v>
      </c>
      <c r="G1681" t="s">
        <v>22</v>
      </c>
      <c r="J1681">
        <v>0</v>
      </c>
      <c r="K1681">
        <v>0</v>
      </c>
      <c r="L1681">
        <v>0</v>
      </c>
      <c r="M1681">
        <v>1</v>
      </c>
      <c r="N1681">
        <v>4.4000000000000004</v>
      </c>
      <c r="O1681">
        <v>7.1</v>
      </c>
      <c r="P1681">
        <v>4</v>
      </c>
      <c r="Q1681" t="s">
        <v>225</v>
      </c>
    </row>
    <row r="1682" spans="1:17" x14ac:dyDescent="0.3">
      <c r="A1682" t="s">
        <v>2375</v>
      </c>
      <c r="B1682" s="2">
        <v>46255</v>
      </c>
      <c r="C1682" t="s">
        <v>18</v>
      </c>
      <c r="D1682" t="s">
        <v>95</v>
      </c>
      <c r="E1682" t="s">
        <v>42</v>
      </c>
      <c r="F1682" t="s">
        <v>451</v>
      </c>
      <c r="G1682" t="s">
        <v>22</v>
      </c>
      <c r="H1682" t="s">
        <v>23</v>
      </c>
      <c r="I1682" t="s">
        <v>67</v>
      </c>
      <c r="J1682">
        <v>1</v>
      </c>
      <c r="K1682">
        <v>20200</v>
      </c>
      <c r="L1682">
        <v>0</v>
      </c>
      <c r="N1682">
        <v>6.7</v>
      </c>
      <c r="Q1682" t="s">
        <v>67</v>
      </c>
    </row>
    <row r="1683" spans="1:17" x14ac:dyDescent="0.3">
      <c r="A1683" t="s">
        <v>2376</v>
      </c>
      <c r="B1683" s="2">
        <v>46194</v>
      </c>
      <c r="C1683" t="s">
        <v>26</v>
      </c>
      <c r="D1683" t="s">
        <v>232</v>
      </c>
      <c r="E1683" t="s">
        <v>20</v>
      </c>
      <c r="F1683" t="s">
        <v>81</v>
      </c>
      <c r="G1683" t="s">
        <v>30</v>
      </c>
      <c r="J1683">
        <v>0</v>
      </c>
      <c r="K1683">
        <v>0</v>
      </c>
      <c r="L1683">
        <v>0</v>
      </c>
      <c r="M1683">
        <v>1</v>
      </c>
      <c r="N1683">
        <v>1.6</v>
      </c>
      <c r="O1683">
        <v>7.1</v>
      </c>
      <c r="P1683">
        <v>4.2</v>
      </c>
      <c r="Q1683" t="s">
        <v>225</v>
      </c>
    </row>
    <row r="1684" spans="1:17" x14ac:dyDescent="0.3">
      <c r="A1684" t="s">
        <v>2377</v>
      </c>
      <c r="B1684" s="2">
        <v>46060</v>
      </c>
      <c r="C1684" t="s">
        <v>26</v>
      </c>
      <c r="D1684" t="s">
        <v>72</v>
      </c>
      <c r="E1684" t="s">
        <v>42</v>
      </c>
      <c r="F1684" t="s">
        <v>759</v>
      </c>
      <c r="G1684" t="s">
        <v>50</v>
      </c>
      <c r="J1684">
        <v>0</v>
      </c>
      <c r="K1684">
        <v>0</v>
      </c>
      <c r="L1684">
        <v>0</v>
      </c>
      <c r="M1684">
        <v>1</v>
      </c>
      <c r="N1684">
        <v>6.5</v>
      </c>
      <c r="O1684">
        <v>16.2</v>
      </c>
      <c r="P1684">
        <v>3.2</v>
      </c>
      <c r="Q1684" t="s">
        <v>39</v>
      </c>
    </row>
    <row r="1685" spans="1:17" x14ac:dyDescent="0.3">
      <c r="A1685" t="s">
        <v>2378</v>
      </c>
      <c r="B1685" s="2">
        <v>46183</v>
      </c>
      <c r="C1685" t="s">
        <v>26</v>
      </c>
      <c r="D1685" t="s">
        <v>69</v>
      </c>
      <c r="E1685" t="s">
        <v>20</v>
      </c>
      <c r="F1685" t="s">
        <v>299</v>
      </c>
      <c r="G1685" t="s">
        <v>50</v>
      </c>
      <c r="J1685">
        <v>0</v>
      </c>
      <c r="K1685">
        <v>0</v>
      </c>
      <c r="L1685">
        <v>0</v>
      </c>
      <c r="M1685">
        <v>1</v>
      </c>
      <c r="N1685">
        <v>7.8</v>
      </c>
      <c r="O1685">
        <v>7.7</v>
      </c>
      <c r="P1685">
        <v>3.3</v>
      </c>
      <c r="Q1685" t="s">
        <v>39</v>
      </c>
    </row>
    <row r="1686" spans="1:17" x14ac:dyDescent="0.3">
      <c r="A1686" t="s">
        <v>2379</v>
      </c>
      <c r="B1686" s="2">
        <v>45929</v>
      </c>
      <c r="C1686" t="s">
        <v>18</v>
      </c>
      <c r="D1686" t="s">
        <v>47</v>
      </c>
      <c r="E1686" t="s">
        <v>37</v>
      </c>
      <c r="F1686" t="s">
        <v>499</v>
      </c>
      <c r="G1686" t="s">
        <v>44</v>
      </c>
      <c r="H1686" t="s">
        <v>86</v>
      </c>
      <c r="I1686" t="s">
        <v>24</v>
      </c>
      <c r="J1686">
        <v>1</v>
      </c>
      <c r="K1686">
        <v>14100</v>
      </c>
      <c r="L1686">
        <v>14100</v>
      </c>
      <c r="N1686">
        <v>17</v>
      </c>
      <c r="Q1686" t="s">
        <v>24</v>
      </c>
    </row>
    <row r="1687" spans="1:17" x14ac:dyDescent="0.3">
      <c r="A1687" t="s">
        <v>2380</v>
      </c>
      <c r="B1687" s="2">
        <v>46134</v>
      </c>
      <c r="C1687" t="s">
        <v>26</v>
      </c>
      <c r="D1687" t="s">
        <v>33</v>
      </c>
      <c r="E1687" t="s">
        <v>20</v>
      </c>
      <c r="F1687" t="s">
        <v>184</v>
      </c>
      <c r="G1687" t="s">
        <v>50</v>
      </c>
      <c r="J1687">
        <v>0</v>
      </c>
      <c r="K1687">
        <v>0</v>
      </c>
      <c r="L1687">
        <v>0</v>
      </c>
      <c r="M1687">
        <v>1</v>
      </c>
      <c r="N1687">
        <v>9.9</v>
      </c>
      <c r="O1687">
        <v>3.8</v>
      </c>
      <c r="P1687">
        <v>3.1</v>
      </c>
      <c r="Q1687" t="s">
        <v>39</v>
      </c>
    </row>
    <row r="1688" spans="1:17" x14ac:dyDescent="0.3">
      <c r="A1688" t="s">
        <v>2381</v>
      </c>
      <c r="B1688" s="2">
        <v>46088</v>
      </c>
      <c r="C1688" t="s">
        <v>26</v>
      </c>
      <c r="D1688" t="s">
        <v>69</v>
      </c>
      <c r="E1688" t="s">
        <v>28</v>
      </c>
      <c r="F1688" t="s">
        <v>449</v>
      </c>
      <c r="G1688" t="s">
        <v>30</v>
      </c>
      <c r="J1688">
        <v>0</v>
      </c>
      <c r="K1688">
        <v>0</v>
      </c>
      <c r="L1688">
        <v>0</v>
      </c>
      <c r="M1688">
        <v>1</v>
      </c>
      <c r="N1688">
        <v>6.1</v>
      </c>
      <c r="O1688">
        <v>7.7</v>
      </c>
      <c r="P1688">
        <v>4.8</v>
      </c>
      <c r="Q1688" t="s">
        <v>39</v>
      </c>
    </row>
    <row r="1689" spans="1:17" x14ac:dyDescent="0.3">
      <c r="A1689" t="s">
        <v>2382</v>
      </c>
      <c r="B1689" s="2">
        <v>45990</v>
      </c>
      <c r="C1689" t="s">
        <v>18</v>
      </c>
      <c r="D1689" t="s">
        <v>64</v>
      </c>
      <c r="E1689" t="s">
        <v>20</v>
      </c>
      <c r="F1689" t="s">
        <v>451</v>
      </c>
      <c r="G1689" t="s">
        <v>50</v>
      </c>
      <c r="H1689" t="s">
        <v>23</v>
      </c>
      <c r="I1689" t="s">
        <v>45</v>
      </c>
      <c r="J1689">
        <v>1</v>
      </c>
      <c r="K1689">
        <v>28300</v>
      </c>
      <c r="L1689">
        <v>0</v>
      </c>
      <c r="N1689">
        <v>7.7</v>
      </c>
      <c r="Q1689" t="s">
        <v>45</v>
      </c>
    </row>
    <row r="1690" spans="1:17" x14ac:dyDescent="0.3">
      <c r="A1690" t="s">
        <v>2383</v>
      </c>
      <c r="B1690" s="2">
        <v>46230</v>
      </c>
      <c r="C1690" t="s">
        <v>26</v>
      </c>
      <c r="D1690" t="s">
        <v>69</v>
      </c>
      <c r="E1690" t="s">
        <v>42</v>
      </c>
      <c r="F1690" t="s">
        <v>461</v>
      </c>
      <c r="G1690" t="s">
        <v>30</v>
      </c>
      <c r="J1690">
        <v>0</v>
      </c>
      <c r="K1690">
        <v>0</v>
      </c>
      <c r="L1690">
        <v>0</v>
      </c>
      <c r="M1690">
        <v>1</v>
      </c>
      <c r="N1690">
        <v>2.4</v>
      </c>
      <c r="O1690">
        <v>4</v>
      </c>
      <c r="P1690">
        <v>3.6</v>
      </c>
      <c r="Q1690" t="s">
        <v>31</v>
      </c>
    </row>
    <row r="1691" spans="1:17" x14ac:dyDescent="0.3">
      <c r="A1691" t="s">
        <v>2384</v>
      </c>
      <c r="B1691" s="2">
        <v>46165</v>
      </c>
      <c r="C1691" t="s">
        <v>26</v>
      </c>
      <c r="D1691" t="s">
        <v>126</v>
      </c>
      <c r="E1691" t="s">
        <v>20</v>
      </c>
      <c r="F1691" t="s">
        <v>793</v>
      </c>
      <c r="G1691" t="s">
        <v>50</v>
      </c>
      <c r="J1691">
        <v>0</v>
      </c>
      <c r="K1691">
        <v>0</v>
      </c>
      <c r="L1691">
        <v>0</v>
      </c>
      <c r="M1691">
        <v>1</v>
      </c>
      <c r="N1691">
        <v>2</v>
      </c>
      <c r="O1691">
        <v>4.4000000000000004</v>
      </c>
      <c r="P1691">
        <v>4.0999999999999996</v>
      </c>
      <c r="Q1691" t="s">
        <v>39</v>
      </c>
    </row>
    <row r="1692" spans="1:17" x14ac:dyDescent="0.3">
      <c r="A1692" t="s">
        <v>2385</v>
      </c>
      <c r="B1692" s="2">
        <v>46161</v>
      </c>
      <c r="C1692" t="s">
        <v>18</v>
      </c>
      <c r="D1692" t="s">
        <v>52</v>
      </c>
      <c r="E1692" t="s">
        <v>20</v>
      </c>
      <c r="F1692" t="s">
        <v>638</v>
      </c>
      <c r="G1692" t="s">
        <v>30</v>
      </c>
      <c r="H1692" t="s">
        <v>23</v>
      </c>
      <c r="I1692" t="s">
        <v>67</v>
      </c>
      <c r="J1692">
        <v>1</v>
      </c>
      <c r="K1692">
        <v>31300</v>
      </c>
      <c r="L1692">
        <v>0</v>
      </c>
      <c r="N1692">
        <v>14.8</v>
      </c>
      <c r="Q1692" t="s">
        <v>67</v>
      </c>
    </row>
    <row r="1693" spans="1:17" x14ac:dyDescent="0.3">
      <c r="A1693" t="s">
        <v>2386</v>
      </c>
      <c r="B1693" s="2">
        <v>46043</v>
      </c>
      <c r="C1693" t="s">
        <v>18</v>
      </c>
      <c r="D1693" t="s">
        <v>41</v>
      </c>
      <c r="E1693" t="s">
        <v>20</v>
      </c>
      <c r="F1693" t="s">
        <v>1573</v>
      </c>
      <c r="G1693" t="s">
        <v>22</v>
      </c>
      <c r="H1693" t="s">
        <v>54</v>
      </c>
      <c r="I1693" t="s">
        <v>45</v>
      </c>
      <c r="J1693">
        <v>1</v>
      </c>
      <c r="K1693">
        <v>25200</v>
      </c>
      <c r="L1693">
        <v>0</v>
      </c>
      <c r="N1693">
        <v>7.6</v>
      </c>
      <c r="Q1693" t="s">
        <v>45</v>
      </c>
    </row>
    <row r="1694" spans="1:17" x14ac:dyDescent="0.3">
      <c r="A1694" t="s">
        <v>2387</v>
      </c>
      <c r="B1694" s="2">
        <v>45972</v>
      </c>
      <c r="C1694" t="s">
        <v>18</v>
      </c>
      <c r="D1694" t="s">
        <v>117</v>
      </c>
      <c r="E1694" t="s">
        <v>28</v>
      </c>
      <c r="F1694" t="s">
        <v>713</v>
      </c>
      <c r="G1694" t="s">
        <v>22</v>
      </c>
      <c r="H1694" t="s">
        <v>66</v>
      </c>
      <c r="I1694" t="s">
        <v>67</v>
      </c>
      <c r="J1694">
        <v>1</v>
      </c>
      <c r="K1694">
        <v>62900</v>
      </c>
      <c r="L1694">
        <v>0</v>
      </c>
      <c r="N1694">
        <v>11.1</v>
      </c>
      <c r="Q1694" t="s">
        <v>67</v>
      </c>
    </row>
    <row r="1695" spans="1:17" x14ac:dyDescent="0.3">
      <c r="A1695" t="s">
        <v>2388</v>
      </c>
      <c r="B1695" s="2">
        <v>45917</v>
      </c>
      <c r="C1695" t="s">
        <v>18</v>
      </c>
      <c r="D1695" t="s">
        <v>64</v>
      </c>
      <c r="E1695" t="s">
        <v>20</v>
      </c>
      <c r="F1695" t="s">
        <v>2389</v>
      </c>
      <c r="G1695" t="s">
        <v>30</v>
      </c>
      <c r="H1695" t="s">
        <v>66</v>
      </c>
      <c r="I1695" t="s">
        <v>89</v>
      </c>
      <c r="J1695">
        <v>1</v>
      </c>
      <c r="K1695">
        <v>30200</v>
      </c>
      <c r="L1695">
        <v>0</v>
      </c>
      <c r="N1695">
        <v>7.8</v>
      </c>
      <c r="Q1695" t="s">
        <v>89</v>
      </c>
    </row>
    <row r="1696" spans="1:17" x14ac:dyDescent="0.3">
      <c r="A1696" t="s">
        <v>2390</v>
      </c>
      <c r="B1696" s="2">
        <v>46164</v>
      </c>
      <c r="C1696" t="s">
        <v>18</v>
      </c>
      <c r="D1696" t="s">
        <v>52</v>
      </c>
      <c r="E1696" t="s">
        <v>20</v>
      </c>
      <c r="F1696" t="s">
        <v>1555</v>
      </c>
      <c r="G1696" t="s">
        <v>22</v>
      </c>
      <c r="H1696" t="s">
        <v>54</v>
      </c>
      <c r="I1696" t="s">
        <v>79</v>
      </c>
      <c r="J1696">
        <v>1</v>
      </c>
      <c r="K1696">
        <v>11900</v>
      </c>
      <c r="L1696">
        <v>0</v>
      </c>
      <c r="N1696">
        <v>15.3</v>
      </c>
      <c r="Q1696" t="s">
        <v>79</v>
      </c>
    </row>
    <row r="1697" spans="1:17" x14ac:dyDescent="0.3">
      <c r="A1697" t="s">
        <v>2391</v>
      </c>
      <c r="B1697" s="2">
        <v>46032</v>
      </c>
      <c r="C1697" t="s">
        <v>18</v>
      </c>
      <c r="D1697" t="s">
        <v>117</v>
      </c>
      <c r="E1697" t="s">
        <v>42</v>
      </c>
      <c r="F1697" t="s">
        <v>2392</v>
      </c>
      <c r="G1697" t="s">
        <v>22</v>
      </c>
      <c r="H1697" t="s">
        <v>78</v>
      </c>
      <c r="I1697" t="s">
        <v>45</v>
      </c>
      <c r="J1697">
        <v>1</v>
      </c>
      <c r="K1697">
        <v>47400</v>
      </c>
      <c r="L1697">
        <v>0</v>
      </c>
      <c r="N1697">
        <v>6.8</v>
      </c>
      <c r="Q1697" t="s">
        <v>45</v>
      </c>
    </row>
    <row r="1698" spans="1:17" x14ac:dyDescent="0.3">
      <c r="A1698" t="s">
        <v>2393</v>
      </c>
      <c r="B1698" s="2">
        <v>46228</v>
      </c>
      <c r="C1698" t="s">
        <v>18</v>
      </c>
      <c r="D1698" t="s">
        <v>105</v>
      </c>
      <c r="E1698" t="s">
        <v>42</v>
      </c>
      <c r="F1698" t="s">
        <v>310</v>
      </c>
      <c r="G1698" t="s">
        <v>50</v>
      </c>
      <c r="H1698" t="s">
        <v>23</v>
      </c>
      <c r="I1698" t="s">
        <v>89</v>
      </c>
      <c r="J1698">
        <v>1</v>
      </c>
      <c r="K1698">
        <v>26200</v>
      </c>
      <c r="L1698">
        <v>0</v>
      </c>
      <c r="N1698">
        <v>16.7</v>
      </c>
      <c r="Q1698" t="s">
        <v>89</v>
      </c>
    </row>
    <row r="1699" spans="1:17" x14ac:dyDescent="0.3">
      <c r="A1699" t="s">
        <v>2394</v>
      </c>
      <c r="B1699" s="2">
        <v>45941</v>
      </c>
      <c r="C1699" t="s">
        <v>18</v>
      </c>
      <c r="D1699" t="s">
        <v>19</v>
      </c>
      <c r="E1699" t="s">
        <v>42</v>
      </c>
      <c r="F1699" t="s">
        <v>706</v>
      </c>
      <c r="G1699" t="s">
        <v>30</v>
      </c>
      <c r="H1699" t="s">
        <v>78</v>
      </c>
      <c r="I1699" t="s">
        <v>45</v>
      </c>
      <c r="J1699">
        <v>1</v>
      </c>
      <c r="K1699">
        <v>11300</v>
      </c>
      <c r="L1699">
        <v>0</v>
      </c>
      <c r="N1699">
        <v>17.3</v>
      </c>
      <c r="Q1699" t="s">
        <v>45</v>
      </c>
    </row>
    <row r="1700" spans="1:17" x14ac:dyDescent="0.3">
      <c r="A1700" t="s">
        <v>2395</v>
      </c>
      <c r="B1700" s="2">
        <v>46243</v>
      </c>
      <c r="C1700" t="s">
        <v>26</v>
      </c>
      <c r="D1700" t="s">
        <v>126</v>
      </c>
      <c r="E1700" t="s">
        <v>37</v>
      </c>
      <c r="F1700" t="s">
        <v>1184</v>
      </c>
      <c r="G1700" t="s">
        <v>30</v>
      </c>
      <c r="J1700">
        <v>0</v>
      </c>
      <c r="K1700">
        <v>0</v>
      </c>
      <c r="L1700">
        <v>0</v>
      </c>
      <c r="M1700">
        <v>1</v>
      </c>
      <c r="N1700">
        <v>2.2000000000000002</v>
      </c>
      <c r="O1700">
        <v>2.1</v>
      </c>
      <c r="P1700">
        <v>4.4000000000000004</v>
      </c>
      <c r="Q1700" t="s">
        <v>31</v>
      </c>
    </row>
    <row r="1701" spans="1:17" x14ac:dyDescent="0.3">
      <c r="A1701" t="s">
        <v>2396</v>
      </c>
      <c r="B1701" s="2">
        <v>46118</v>
      </c>
      <c r="C1701" t="s">
        <v>18</v>
      </c>
      <c r="D1701" t="s">
        <v>64</v>
      </c>
      <c r="E1701" t="s">
        <v>42</v>
      </c>
      <c r="F1701" t="s">
        <v>1264</v>
      </c>
      <c r="G1701" t="s">
        <v>22</v>
      </c>
      <c r="H1701" t="s">
        <v>86</v>
      </c>
      <c r="I1701" t="s">
        <v>55</v>
      </c>
      <c r="J1701">
        <v>1</v>
      </c>
      <c r="K1701">
        <v>12000</v>
      </c>
      <c r="L1701">
        <v>0</v>
      </c>
      <c r="N1701">
        <v>17.399999999999999</v>
      </c>
      <c r="Q1701" t="s">
        <v>55</v>
      </c>
    </row>
    <row r="1702" spans="1:17" x14ac:dyDescent="0.3">
      <c r="A1702" t="s">
        <v>2397</v>
      </c>
      <c r="B1702" s="2">
        <v>46259</v>
      </c>
      <c r="C1702" t="s">
        <v>26</v>
      </c>
      <c r="D1702" t="s">
        <v>27</v>
      </c>
      <c r="E1702" t="s">
        <v>28</v>
      </c>
      <c r="F1702" t="s">
        <v>96</v>
      </c>
      <c r="G1702" t="s">
        <v>22</v>
      </c>
      <c r="J1702">
        <v>0</v>
      </c>
      <c r="K1702">
        <v>0</v>
      </c>
      <c r="L1702">
        <v>0</v>
      </c>
      <c r="M1702">
        <v>1</v>
      </c>
      <c r="N1702">
        <v>8.5</v>
      </c>
      <c r="O1702">
        <v>9.1</v>
      </c>
      <c r="P1702">
        <v>4.8</v>
      </c>
      <c r="Q1702" t="s">
        <v>31</v>
      </c>
    </row>
    <row r="1703" spans="1:17" x14ac:dyDescent="0.3">
      <c r="A1703" t="s">
        <v>2398</v>
      </c>
      <c r="B1703" s="2">
        <v>46174</v>
      </c>
      <c r="C1703" t="s">
        <v>18</v>
      </c>
      <c r="D1703" t="s">
        <v>41</v>
      </c>
      <c r="E1703" t="s">
        <v>48</v>
      </c>
      <c r="F1703" t="s">
        <v>750</v>
      </c>
      <c r="G1703" t="s">
        <v>30</v>
      </c>
      <c r="H1703" t="s">
        <v>23</v>
      </c>
      <c r="I1703" t="s">
        <v>45</v>
      </c>
      <c r="J1703">
        <v>1</v>
      </c>
      <c r="K1703">
        <v>72800</v>
      </c>
      <c r="L1703">
        <v>0</v>
      </c>
      <c r="N1703">
        <v>16.7</v>
      </c>
      <c r="Q1703" t="s">
        <v>45</v>
      </c>
    </row>
    <row r="1704" spans="1:17" x14ac:dyDescent="0.3">
      <c r="A1704" t="s">
        <v>2399</v>
      </c>
      <c r="B1704" s="2">
        <v>46091</v>
      </c>
      <c r="C1704" t="s">
        <v>18</v>
      </c>
      <c r="D1704" t="s">
        <v>19</v>
      </c>
      <c r="E1704" t="s">
        <v>48</v>
      </c>
      <c r="F1704" t="s">
        <v>471</v>
      </c>
      <c r="G1704" t="s">
        <v>44</v>
      </c>
      <c r="H1704" t="s">
        <v>78</v>
      </c>
      <c r="I1704" t="s">
        <v>45</v>
      </c>
      <c r="J1704">
        <v>1</v>
      </c>
      <c r="K1704">
        <v>10300</v>
      </c>
      <c r="L1704">
        <v>0</v>
      </c>
      <c r="N1704">
        <v>16.8</v>
      </c>
      <c r="Q1704" t="s">
        <v>45</v>
      </c>
    </row>
    <row r="1705" spans="1:17" x14ac:dyDescent="0.3">
      <c r="A1705" t="s">
        <v>2400</v>
      </c>
      <c r="B1705" s="2">
        <v>46245</v>
      </c>
      <c r="C1705" t="s">
        <v>18</v>
      </c>
      <c r="D1705" t="s">
        <v>64</v>
      </c>
      <c r="E1705" t="s">
        <v>20</v>
      </c>
      <c r="F1705" t="s">
        <v>2401</v>
      </c>
      <c r="G1705" t="s">
        <v>22</v>
      </c>
      <c r="H1705" t="s">
        <v>86</v>
      </c>
      <c r="I1705" t="s">
        <v>24</v>
      </c>
      <c r="J1705">
        <v>1</v>
      </c>
      <c r="K1705">
        <v>49600</v>
      </c>
      <c r="L1705">
        <v>49600</v>
      </c>
      <c r="N1705">
        <v>14.7</v>
      </c>
      <c r="Q1705" t="s">
        <v>24</v>
      </c>
    </row>
    <row r="1706" spans="1:17" x14ac:dyDescent="0.3">
      <c r="A1706" t="s">
        <v>2402</v>
      </c>
      <c r="B1706" s="2">
        <v>46214</v>
      </c>
      <c r="C1706" t="s">
        <v>18</v>
      </c>
      <c r="D1706" t="s">
        <v>47</v>
      </c>
      <c r="E1706" t="s">
        <v>28</v>
      </c>
      <c r="F1706" t="s">
        <v>499</v>
      </c>
      <c r="G1706" t="s">
        <v>44</v>
      </c>
      <c r="H1706" t="s">
        <v>54</v>
      </c>
      <c r="I1706" t="s">
        <v>45</v>
      </c>
      <c r="J1706">
        <v>1</v>
      </c>
      <c r="K1706">
        <v>57900</v>
      </c>
      <c r="L1706">
        <v>0</v>
      </c>
      <c r="N1706">
        <v>9.5</v>
      </c>
      <c r="Q1706" t="s">
        <v>45</v>
      </c>
    </row>
    <row r="1707" spans="1:17" x14ac:dyDescent="0.3">
      <c r="A1707" t="s">
        <v>2403</v>
      </c>
      <c r="B1707" s="2">
        <v>46212</v>
      </c>
      <c r="C1707" t="s">
        <v>18</v>
      </c>
      <c r="D1707" t="s">
        <v>117</v>
      </c>
      <c r="E1707" t="s">
        <v>48</v>
      </c>
      <c r="F1707" t="s">
        <v>1008</v>
      </c>
      <c r="G1707" t="s">
        <v>44</v>
      </c>
      <c r="H1707" t="s">
        <v>23</v>
      </c>
      <c r="I1707" t="s">
        <v>55</v>
      </c>
      <c r="J1707">
        <v>1</v>
      </c>
      <c r="K1707">
        <v>47400</v>
      </c>
      <c r="L1707">
        <v>0</v>
      </c>
      <c r="N1707">
        <v>13.5</v>
      </c>
      <c r="Q1707" t="s">
        <v>55</v>
      </c>
    </row>
    <row r="1708" spans="1:17" x14ac:dyDescent="0.3">
      <c r="A1708" t="s">
        <v>2404</v>
      </c>
      <c r="B1708" s="2">
        <v>46122</v>
      </c>
      <c r="C1708" t="s">
        <v>26</v>
      </c>
      <c r="D1708" t="s">
        <v>69</v>
      </c>
      <c r="E1708" t="s">
        <v>20</v>
      </c>
      <c r="F1708" t="s">
        <v>1074</v>
      </c>
      <c r="G1708" t="s">
        <v>44</v>
      </c>
      <c r="J1708">
        <v>0</v>
      </c>
      <c r="K1708">
        <v>0</v>
      </c>
      <c r="L1708">
        <v>0</v>
      </c>
      <c r="M1708">
        <v>1</v>
      </c>
      <c r="N1708">
        <v>5.6</v>
      </c>
      <c r="O1708">
        <v>10.199999999999999</v>
      </c>
      <c r="P1708">
        <v>4.0999999999999996</v>
      </c>
      <c r="Q1708" t="s">
        <v>31</v>
      </c>
    </row>
    <row r="1709" spans="1:17" x14ac:dyDescent="0.3">
      <c r="A1709" t="s">
        <v>2405</v>
      </c>
      <c r="B1709" s="2">
        <v>46231</v>
      </c>
      <c r="C1709" t="s">
        <v>18</v>
      </c>
      <c r="D1709" t="s">
        <v>19</v>
      </c>
      <c r="E1709" t="s">
        <v>20</v>
      </c>
      <c r="F1709" t="s">
        <v>96</v>
      </c>
      <c r="G1709" t="s">
        <v>22</v>
      </c>
      <c r="H1709" t="s">
        <v>78</v>
      </c>
      <c r="I1709" t="s">
        <v>24</v>
      </c>
      <c r="J1709">
        <v>1</v>
      </c>
      <c r="K1709">
        <v>9800</v>
      </c>
      <c r="L1709">
        <v>9800</v>
      </c>
      <c r="N1709">
        <v>20.399999999999999</v>
      </c>
      <c r="Q1709" t="s">
        <v>24</v>
      </c>
    </row>
    <row r="1710" spans="1:17" x14ac:dyDescent="0.3">
      <c r="A1710" t="s">
        <v>2406</v>
      </c>
      <c r="B1710" s="2">
        <v>46137</v>
      </c>
      <c r="C1710" t="s">
        <v>26</v>
      </c>
      <c r="D1710" t="s">
        <v>232</v>
      </c>
      <c r="E1710" t="s">
        <v>42</v>
      </c>
      <c r="F1710" t="s">
        <v>224</v>
      </c>
      <c r="G1710" t="s">
        <v>22</v>
      </c>
      <c r="J1710">
        <v>0</v>
      </c>
      <c r="K1710">
        <v>0</v>
      </c>
      <c r="L1710">
        <v>0</v>
      </c>
      <c r="M1710">
        <v>1</v>
      </c>
      <c r="N1710">
        <v>8</v>
      </c>
      <c r="O1710">
        <v>15.3</v>
      </c>
      <c r="P1710">
        <v>3.2</v>
      </c>
      <c r="Q1710" t="s">
        <v>225</v>
      </c>
    </row>
    <row r="1711" spans="1:17" x14ac:dyDescent="0.3">
      <c r="A1711" t="s">
        <v>2407</v>
      </c>
      <c r="B1711" s="2">
        <v>46025</v>
      </c>
      <c r="C1711" t="s">
        <v>26</v>
      </c>
      <c r="D1711" t="s">
        <v>114</v>
      </c>
      <c r="E1711" t="s">
        <v>20</v>
      </c>
      <c r="F1711" t="s">
        <v>451</v>
      </c>
      <c r="G1711" t="s">
        <v>30</v>
      </c>
      <c r="J1711">
        <v>0</v>
      </c>
      <c r="K1711">
        <v>0</v>
      </c>
      <c r="L1711">
        <v>0</v>
      </c>
      <c r="M1711">
        <v>1</v>
      </c>
      <c r="N1711">
        <v>7.1</v>
      </c>
      <c r="O1711">
        <v>5.5</v>
      </c>
      <c r="P1711">
        <v>3.5</v>
      </c>
      <c r="Q1711" t="s">
        <v>39</v>
      </c>
    </row>
    <row r="1712" spans="1:17" x14ac:dyDescent="0.3">
      <c r="A1712" t="s">
        <v>2408</v>
      </c>
      <c r="B1712" s="2">
        <v>46001</v>
      </c>
      <c r="C1712" t="s">
        <v>18</v>
      </c>
      <c r="D1712" t="s">
        <v>47</v>
      </c>
      <c r="E1712" t="s">
        <v>28</v>
      </c>
      <c r="F1712" t="s">
        <v>344</v>
      </c>
      <c r="G1712" t="s">
        <v>22</v>
      </c>
      <c r="H1712" t="s">
        <v>23</v>
      </c>
      <c r="I1712" t="s">
        <v>89</v>
      </c>
      <c r="J1712">
        <v>1</v>
      </c>
      <c r="K1712">
        <v>5000</v>
      </c>
      <c r="L1712">
        <v>0</v>
      </c>
      <c r="N1712">
        <v>17.600000000000001</v>
      </c>
      <c r="Q1712" t="s">
        <v>89</v>
      </c>
    </row>
    <row r="1713" spans="1:17" x14ac:dyDescent="0.3">
      <c r="A1713" t="s">
        <v>2409</v>
      </c>
      <c r="B1713" s="2">
        <v>45950</v>
      </c>
      <c r="C1713" t="s">
        <v>18</v>
      </c>
      <c r="D1713" t="s">
        <v>52</v>
      </c>
      <c r="E1713" t="s">
        <v>20</v>
      </c>
      <c r="F1713" t="s">
        <v>2033</v>
      </c>
      <c r="G1713" t="s">
        <v>50</v>
      </c>
      <c r="H1713" t="s">
        <v>66</v>
      </c>
      <c r="I1713" t="s">
        <v>24</v>
      </c>
      <c r="J1713">
        <v>1</v>
      </c>
      <c r="K1713">
        <v>23600</v>
      </c>
      <c r="L1713">
        <v>23600</v>
      </c>
      <c r="N1713">
        <v>21.8</v>
      </c>
      <c r="Q1713" t="s">
        <v>24</v>
      </c>
    </row>
    <row r="1714" spans="1:17" x14ac:dyDescent="0.3">
      <c r="A1714" t="s">
        <v>2410</v>
      </c>
      <c r="B1714" s="2">
        <v>46179</v>
      </c>
      <c r="C1714" t="s">
        <v>26</v>
      </c>
      <c r="D1714" t="s">
        <v>36</v>
      </c>
      <c r="E1714" t="s">
        <v>28</v>
      </c>
      <c r="F1714" t="s">
        <v>1920</v>
      </c>
      <c r="G1714" t="s">
        <v>50</v>
      </c>
      <c r="J1714">
        <v>0</v>
      </c>
      <c r="K1714">
        <v>0</v>
      </c>
      <c r="L1714">
        <v>0</v>
      </c>
      <c r="M1714">
        <v>1</v>
      </c>
      <c r="N1714">
        <v>2.2999999999999998</v>
      </c>
      <c r="O1714">
        <v>11.9</v>
      </c>
      <c r="P1714">
        <v>5</v>
      </c>
      <c r="Q1714" t="s">
        <v>31</v>
      </c>
    </row>
    <row r="1715" spans="1:17" x14ac:dyDescent="0.3">
      <c r="A1715" t="s">
        <v>2411</v>
      </c>
      <c r="B1715" s="2">
        <v>45968</v>
      </c>
      <c r="C1715" t="s">
        <v>18</v>
      </c>
      <c r="D1715" t="s">
        <v>47</v>
      </c>
      <c r="E1715" t="s">
        <v>20</v>
      </c>
      <c r="F1715" t="s">
        <v>1048</v>
      </c>
      <c r="G1715" t="s">
        <v>30</v>
      </c>
      <c r="H1715" t="s">
        <v>78</v>
      </c>
      <c r="I1715" t="s">
        <v>55</v>
      </c>
      <c r="J1715">
        <v>1</v>
      </c>
      <c r="K1715">
        <v>43500</v>
      </c>
      <c r="L1715">
        <v>0</v>
      </c>
      <c r="N1715">
        <v>18.100000000000001</v>
      </c>
      <c r="Q1715" t="s">
        <v>55</v>
      </c>
    </row>
    <row r="1716" spans="1:17" x14ac:dyDescent="0.3">
      <c r="A1716" t="s">
        <v>2412</v>
      </c>
      <c r="B1716" s="2">
        <v>45962</v>
      </c>
      <c r="C1716" t="s">
        <v>18</v>
      </c>
      <c r="D1716" t="s">
        <v>117</v>
      </c>
      <c r="E1716" t="s">
        <v>42</v>
      </c>
      <c r="F1716" t="s">
        <v>1636</v>
      </c>
      <c r="G1716" t="s">
        <v>30</v>
      </c>
      <c r="H1716" t="s">
        <v>23</v>
      </c>
      <c r="I1716" t="s">
        <v>55</v>
      </c>
      <c r="J1716">
        <v>1</v>
      </c>
      <c r="K1716">
        <v>41200</v>
      </c>
      <c r="L1716">
        <v>0</v>
      </c>
      <c r="N1716">
        <v>2.4</v>
      </c>
      <c r="Q1716" t="s">
        <v>55</v>
      </c>
    </row>
    <row r="1717" spans="1:17" x14ac:dyDescent="0.3">
      <c r="A1717" t="s">
        <v>2413</v>
      </c>
      <c r="B1717" s="2">
        <v>46178</v>
      </c>
      <c r="C1717" t="s">
        <v>26</v>
      </c>
      <c r="D1717" t="s">
        <v>114</v>
      </c>
      <c r="E1717" t="s">
        <v>48</v>
      </c>
      <c r="F1717" t="s">
        <v>2414</v>
      </c>
      <c r="G1717" t="s">
        <v>30</v>
      </c>
      <c r="J1717">
        <v>0</v>
      </c>
      <c r="K1717">
        <v>0</v>
      </c>
      <c r="L1717">
        <v>0</v>
      </c>
      <c r="M1717">
        <v>1</v>
      </c>
      <c r="N1717">
        <v>3.8</v>
      </c>
      <c r="O1717">
        <v>12.3</v>
      </c>
      <c r="P1717">
        <v>4</v>
      </c>
      <c r="Q1717" t="s">
        <v>39</v>
      </c>
    </row>
    <row r="1718" spans="1:17" x14ac:dyDescent="0.3">
      <c r="A1718" t="s">
        <v>2415</v>
      </c>
      <c r="B1718" s="2">
        <v>46155</v>
      </c>
      <c r="C1718" t="s">
        <v>18</v>
      </c>
      <c r="D1718" t="s">
        <v>41</v>
      </c>
      <c r="E1718" t="s">
        <v>28</v>
      </c>
      <c r="F1718" t="s">
        <v>740</v>
      </c>
      <c r="G1718" t="s">
        <v>30</v>
      </c>
      <c r="H1718" t="s">
        <v>23</v>
      </c>
      <c r="I1718" t="s">
        <v>24</v>
      </c>
      <c r="J1718">
        <v>1</v>
      </c>
      <c r="K1718">
        <v>19700</v>
      </c>
      <c r="L1718">
        <v>19700</v>
      </c>
      <c r="N1718">
        <v>21</v>
      </c>
      <c r="Q1718" t="s">
        <v>24</v>
      </c>
    </row>
    <row r="1719" spans="1:17" x14ac:dyDescent="0.3">
      <c r="A1719" t="s">
        <v>2416</v>
      </c>
      <c r="B1719" s="2">
        <v>45980</v>
      </c>
      <c r="C1719" t="s">
        <v>26</v>
      </c>
      <c r="D1719" t="s">
        <v>114</v>
      </c>
      <c r="E1719" t="s">
        <v>20</v>
      </c>
      <c r="F1719" t="s">
        <v>2417</v>
      </c>
      <c r="G1719" t="s">
        <v>30</v>
      </c>
      <c r="J1719">
        <v>0</v>
      </c>
      <c r="K1719">
        <v>0</v>
      </c>
      <c r="L1719">
        <v>0</v>
      </c>
      <c r="M1719">
        <v>1</v>
      </c>
      <c r="N1719">
        <v>9.1</v>
      </c>
      <c r="O1719">
        <v>2.6</v>
      </c>
      <c r="P1719">
        <v>4.5</v>
      </c>
      <c r="Q1719" t="s">
        <v>39</v>
      </c>
    </row>
    <row r="1720" spans="1:17" x14ac:dyDescent="0.3">
      <c r="A1720" t="s">
        <v>2418</v>
      </c>
      <c r="B1720" s="2">
        <v>45995</v>
      </c>
      <c r="C1720" t="s">
        <v>26</v>
      </c>
      <c r="D1720" t="s">
        <v>36</v>
      </c>
      <c r="E1720" t="s">
        <v>20</v>
      </c>
      <c r="F1720" t="s">
        <v>208</v>
      </c>
      <c r="G1720" t="s">
        <v>22</v>
      </c>
      <c r="J1720">
        <v>0</v>
      </c>
      <c r="K1720">
        <v>0</v>
      </c>
      <c r="L1720">
        <v>0</v>
      </c>
      <c r="M1720">
        <v>1</v>
      </c>
      <c r="N1720">
        <v>5.2</v>
      </c>
      <c r="O1720">
        <v>6.8</v>
      </c>
      <c r="P1720">
        <v>2.8</v>
      </c>
      <c r="Q1720" t="s">
        <v>39</v>
      </c>
    </row>
    <row r="1721" spans="1:17" x14ac:dyDescent="0.3">
      <c r="A1721" t="s">
        <v>2419</v>
      </c>
      <c r="B1721" s="2">
        <v>46084</v>
      </c>
      <c r="C1721" t="s">
        <v>18</v>
      </c>
      <c r="D1721" t="s">
        <v>64</v>
      </c>
      <c r="E1721" t="s">
        <v>28</v>
      </c>
      <c r="F1721" t="s">
        <v>857</v>
      </c>
      <c r="G1721" t="s">
        <v>22</v>
      </c>
      <c r="H1721" t="s">
        <v>54</v>
      </c>
      <c r="I1721" t="s">
        <v>55</v>
      </c>
      <c r="J1721">
        <v>1</v>
      </c>
      <c r="K1721">
        <v>10100</v>
      </c>
      <c r="L1721">
        <v>0</v>
      </c>
      <c r="N1721">
        <v>6.4</v>
      </c>
      <c r="Q1721" t="s">
        <v>55</v>
      </c>
    </row>
    <row r="1722" spans="1:17" x14ac:dyDescent="0.3">
      <c r="A1722" t="s">
        <v>2420</v>
      </c>
      <c r="B1722" s="2">
        <v>45931</v>
      </c>
      <c r="C1722" t="s">
        <v>18</v>
      </c>
      <c r="D1722" t="s">
        <v>117</v>
      </c>
      <c r="E1722" t="s">
        <v>28</v>
      </c>
      <c r="F1722" t="s">
        <v>1639</v>
      </c>
      <c r="G1722" t="s">
        <v>30</v>
      </c>
      <c r="H1722" t="s">
        <v>78</v>
      </c>
      <c r="I1722" t="s">
        <v>45</v>
      </c>
      <c r="J1722">
        <v>1</v>
      </c>
      <c r="K1722">
        <v>23800</v>
      </c>
      <c r="L1722">
        <v>0</v>
      </c>
      <c r="N1722">
        <v>19.2</v>
      </c>
      <c r="Q1722" t="s">
        <v>45</v>
      </c>
    </row>
    <row r="1723" spans="1:17" x14ac:dyDescent="0.3">
      <c r="A1723" t="s">
        <v>2421</v>
      </c>
      <c r="B1723" s="2">
        <v>46144</v>
      </c>
      <c r="C1723" t="s">
        <v>18</v>
      </c>
      <c r="D1723" t="s">
        <v>105</v>
      </c>
      <c r="E1723" t="s">
        <v>20</v>
      </c>
      <c r="F1723" t="s">
        <v>1573</v>
      </c>
      <c r="G1723" t="s">
        <v>22</v>
      </c>
      <c r="H1723" t="s">
        <v>86</v>
      </c>
      <c r="I1723" t="s">
        <v>89</v>
      </c>
      <c r="J1723">
        <v>1</v>
      </c>
      <c r="K1723">
        <v>34000</v>
      </c>
      <c r="L1723">
        <v>0</v>
      </c>
      <c r="N1723">
        <v>12.2</v>
      </c>
      <c r="Q1723" t="s">
        <v>89</v>
      </c>
    </row>
    <row r="1724" spans="1:17" x14ac:dyDescent="0.3">
      <c r="A1724" t="s">
        <v>2422</v>
      </c>
      <c r="B1724" s="2">
        <v>45938</v>
      </c>
      <c r="C1724" t="s">
        <v>18</v>
      </c>
      <c r="D1724" t="s">
        <v>117</v>
      </c>
      <c r="E1724" t="s">
        <v>20</v>
      </c>
      <c r="F1724" t="s">
        <v>1300</v>
      </c>
      <c r="G1724" t="s">
        <v>30</v>
      </c>
      <c r="H1724" t="s">
        <v>23</v>
      </c>
      <c r="I1724" t="s">
        <v>45</v>
      </c>
      <c r="J1724">
        <v>1</v>
      </c>
      <c r="K1724">
        <v>113800</v>
      </c>
      <c r="L1724">
        <v>0</v>
      </c>
      <c r="N1724">
        <v>23</v>
      </c>
      <c r="Q1724" t="s">
        <v>45</v>
      </c>
    </row>
    <row r="1725" spans="1:17" x14ac:dyDescent="0.3">
      <c r="A1725" t="s">
        <v>2423</v>
      </c>
      <c r="B1725" s="2">
        <v>45936</v>
      </c>
      <c r="C1725" t="s">
        <v>18</v>
      </c>
      <c r="D1725" t="s">
        <v>105</v>
      </c>
      <c r="E1725" t="s">
        <v>37</v>
      </c>
      <c r="F1725" t="s">
        <v>407</v>
      </c>
      <c r="G1725" t="s">
        <v>30</v>
      </c>
      <c r="H1725" t="s">
        <v>66</v>
      </c>
      <c r="I1725" t="s">
        <v>45</v>
      </c>
      <c r="J1725">
        <v>1</v>
      </c>
      <c r="K1725">
        <v>23500</v>
      </c>
      <c r="L1725">
        <v>0</v>
      </c>
      <c r="N1725">
        <v>2.2999999999999998</v>
      </c>
      <c r="Q1725" t="s">
        <v>45</v>
      </c>
    </row>
    <row r="1726" spans="1:17" x14ac:dyDescent="0.3">
      <c r="A1726" t="s">
        <v>2424</v>
      </c>
      <c r="B1726" s="2">
        <v>46000</v>
      </c>
      <c r="C1726" t="s">
        <v>26</v>
      </c>
      <c r="D1726" t="s">
        <v>114</v>
      </c>
      <c r="E1726" t="s">
        <v>37</v>
      </c>
      <c r="F1726" t="s">
        <v>180</v>
      </c>
      <c r="G1726" t="s">
        <v>30</v>
      </c>
      <c r="J1726">
        <v>0</v>
      </c>
      <c r="K1726">
        <v>0</v>
      </c>
      <c r="L1726">
        <v>0</v>
      </c>
      <c r="M1726">
        <v>1</v>
      </c>
      <c r="N1726">
        <v>3.6</v>
      </c>
      <c r="O1726">
        <v>11.1</v>
      </c>
      <c r="P1726">
        <v>4.8</v>
      </c>
      <c r="Q1726" t="s">
        <v>39</v>
      </c>
    </row>
    <row r="1727" spans="1:17" x14ac:dyDescent="0.3">
      <c r="A1727" t="s">
        <v>2425</v>
      </c>
      <c r="B1727" s="2">
        <v>45924</v>
      </c>
      <c r="C1727" t="s">
        <v>18</v>
      </c>
      <c r="D1727" t="s">
        <v>19</v>
      </c>
      <c r="E1727" t="s">
        <v>48</v>
      </c>
      <c r="F1727" t="s">
        <v>1977</v>
      </c>
      <c r="G1727" t="s">
        <v>44</v>
      </c>
      <c r="H1727" t="s">
        <v>86</v>
      </c>
      <c r="I1727" t="s">
        <v>45</v>
      </c>
      <c r="J1727">
        <v>1</v>
      </c>
      <c r="K1727">
        <v>7400</v>
      </c>
      <c r="L1727">
        <v>0</v>
      </c>
      <c r="N1727">
        <v>4.2</v>
      </c>
      <c r="Q1727" t="s">
        <v>45</v>
      </c>
    </row>
    <row r="1728" spans="1:17" x14ac:dyDescent="0.3">
      <c r="A1728" t="s">
        <v>2426</v>
      </c>
      <c r="B1728" s="2">
        <v>45989</v>
      </c>
      <c r="C1728" t="s">
        <v>18</v>
      </c>
      <c r="D1728" t="s">
        <v>117</v>
      </c>
      <c r="E1728" t="s">
        <v>20</v>
      </c>
      <c r="F1728" t="s">
        <v>1713</v>
      </c>
      <c r="G1728" t="s">
        <v>30</v>
      </c>
      <c r="H1728" t="s">
        <v>23</v>
      </c>
      <c r="I1728" t="s">
        <v>89</v>
      </c>
      <c r="J1728">
        <v>1</v>
      </c>
      <c r="K1728">
        <v>13800</v>
      </c>
      <c r="L1728">
        <v>0</v>
      </c>
      <c r="N1728">
        <v>8.6</v>
      </c>
      <c r="Q1728" t="s">
        <v>89</v>
      </c>
    </row>
    <row r="1729" spans="1:17" x14ac:dyDescent="0.3">
      <c r="A1729" t="s">
        <v>2427</v>
      </c>
      <c r="B1729" s="2">
        <v>45975</v>
      </c>
      <c r="C1729" t="s">
        <v>26</v>
      </c>
      <c r="D1729" t="s">
        <v>72</v>
      </c>
      <c r="E1729" t="s">
        <v>28</v>
      </c>
      <c r="F1729" t="s">
        <v>607</v>
      </c>
      <c r="G1729" t="s">
        <v>22</v>
      </c>
      <c r="J1729">
        <v>0</v>
      </c>
      <c r="K1729">
        <v>0</v>
      </c>
      <c r="L1729">
        <v>0</v>
      </c>
      <c r="M1729">
        <v>1</v>
      </c>
      <c r="N1729">
        <v>9.4</v>
      </c>
      <c r="O1729">
        <v>12.4</v>
      </c>
      <c r="P1729">
        <v>5</v>
      </c>
      <c r="Q1729" t="s">
        <v>39</v>
      </c>
    </row>
    <row r="1730" spans="1:17" x14ac:dyDescent="0.3">
      <c r="A1730" t="s">
        <v>2428</v>
      </c>
      <c r="B1730" s="2">
        <v>46223</v>
      </c>
      <c r="C1730" t="s">
        <v>26</v>
      </c>
      <c r="D1730" t="s">
        <v>69</v>
      </c>
      <c r="E1730" t="s">
        <v>20</v>
      </c>
      <c r="F1730" t="s">
        <v>2429</v>
      </c>
      <c r="G1730" t="s">
        <v>30</v>
      </c>
      <c r="J1730">
        <v>0</v>
      </c>
      <c r="K1730">
        <v>0</v>
      </c>
      <c r="L1730">
        <v>0</v>
      </c>
      <c r="M1730">
        <v>1</v>
      </c>
      <c r="N1730">
        <v>4.5999999999999996</v>
      </c>
      <c r="O1730">
        <v>5.6</v>
      </c>
      <c r="P1730">
        <v>4.8</v>
      </c>
      <c r="Q1730" t="s">
        <v>31</v>
      </c>
    </row>
    <row r="1731" spans="1:17" x14ac:dyDescent="0.3">
      <c r="A1731" t="s">
        <v>2430</v>
      </c>
      <c r="B1731" s="2">
        <v>46100</v>
      </c>
      <c r="C1731" t="s">
        <v>26</v>
      </c>
      <c r="D1731" t="s">
        <v>72</v>
      </c>
      <c r="E1731" t="s">
        <v>20</v>
      </c>
      <c r="F1731" t="s">
        <v>862</v>
      </c>
      <c r="G1731" t="s">
        <v>44</v>
      </c>
      <c r="J1731">
        <v>0</v>
      </c>
      <c r="K1731">
        <v>0</v>
      </c>
      <c r="L1731">
        <v>0</v>
      </c>
      <c r="M1731">
        <v>1</v>
      </c>
      <c r="N1731">
        <v>4.9000000000000004</v>
      </c>
      <c r="O1731">
        <v>6.7</v>
      </c>
      <c r="P1731">
        <v>4.2</v>
      </c>
      <c r="Q1731" t="s">
        <v>39</v>
      </c>
    </row>
    <row r="1732" spans="1:17" x14ac:dyDescent="0.3">
      <c r="A1732" t="s">
        <v>2431</v>
      </c>
      <c r="B1732" s="2">
        <v>46143</v>
      </c>
      <c r="C1732" t="s">
        <v>18</v>
      </c>
      <c r="D1732" t="s">
        <v>41</v>
      </c>
      <c r="E1732" t="s">
        <v>20</v>
      </c>
      <c r="F1732" t="s">
        <v>148</v>
      </c>
      <c r="G1732" t="s">
        <v>30</v>
      </c>
      <c r="H1732" t="s">
        <v>78</v>
      </c>
      <c r="I1732" t="s">
        <v>67</v>
      </c>
      <c r="J1732">
        <v>1</v>
      </c>
      <c r="K1732">
        <v>55700</v>
      </c>
      <c r="L1732">
        <v>0</v>
      </c>
      <c r="N1732">
        <v>1.4</v>
      </c>
      <c r="Q1732" t="s">
        <v>67</v>
      </c>
    </row>
    <row r="1733" spans="1:17" x14ac:dyDescent="0.3">
      <c r="A1733" t="s">
        <v>2432</v>
      </c>
      <c r="B1733" s="2">
        <v>46249</v>
      </c>
      <c r="C1733" t="s">
        <v>26</v>
      </c>
      <c r="D1733" t="s">
        <v>33</v>
      </c>
      <c r="E1733" t="s">
        <v>20</v>
      </c>
      <c r="F1733" t="s">
        <v>1003</v>
      </c>
      <c r="G1733" t="s">
        <v>44</v>
      </c>
      <c r="J1733">
        <v>0</v>
      </c>
      <c r="K1733">
        <v>0</v>
      </c>
      <c r="L1733">
        <v>0</v>
      </c>
      <c r="M1733">
        <v>1</v>
      </c>
      <c r="N1733">
        <v>1.9</v>
      </c>
      <c r="O1733">
        <v>2.8</v>
      </c>
      <c r="P1733">
        <v>3.7</v>
      </c>
      <c r="Q1733" t="s">
        <v>39</v>
      </c>
    </row>
    <row r="1734" spans="1:17" x14ac:dyDescent="0.3">
      <c r="A1734" t="s">
        <v>2433</v>
      </c>
      <c r="B1734" s="2">
        <v>46228</v>
      </c>
      <c r="C1734" t="s">
        <v>18</v>
      </c>
      <c r="D1734" t="s">
        <v>41</v>
      </c>
      <c r="E1734" t="s">
        <v>20</v>
      </c>
      <c r="F1734" t="s">
        <v>1940</v>
      </c>
      <c r="G1734" t="s">
        <v>30</v>
      </c>
      <c r="H1734" t="s">
        <v>23</v>
      </c>
      <c r="I1734" t="s">
        <v>45</v>
      </c>
      <c r="J1734">
        <v>1</v>
      </c>
      <c r="K1734">
        <v>22400</v>
      </c>
      <c r="L1734">
        <v>0</v>
      </c>
      <c r="N1734">
        <v>3.4</v>
      </c>
      <c r="Q1734" t="s">
        <v>45</v>
      </c>
    </row>
    <row r="1735" spans="1:17" x14ac:dyDescent="0.3">
      <c r="A1735" t="s">
        <v>2434</v>
      </c>
      <c r="B1735" s="2">
        <v>46170</v>
      </c>
      <c r="C1735" t="s">
        <v>18</v>
      </c>
      <c r="D1735" t="s">
        <v>52</v>
      </c>
      <c r="E1735" t="s">
        <v>48</v>
      </c>
      <c r="F1735" t="s">
        <v>1048</v>
      </c>
      <c r="G1735" t="s">
        <v>44</v>
      </c>
      <c r="H1735" t="s">
        <v>78</v>
      </c>
      <c r="I1735" t="s">
        <v>45</v>
      </c>
      <c r="J1735">
        <v>1</v>
      </c>
      <c r="K1735">
        <v>39900</v>
      </c>
      <c r="L1735">
        <v>0</v>
      </c>
      <c r="N1735">
        <v>14</v>
      </c>
      <c r="Q1735" t="s">
        <v>45</v>
      </c>
    </row>
    <row r="1736" spans="1:17" x14ac:dyDescent="0.3">
      <c r="A1736" t="s">
        <v>2435</v>
      </c>
      <c r="B1736" s="2">
        <v>46067</v>
      </c>
      <c r="C1736" t="s">
        <v>18</v>
      </c>
      <c r="D1736" t="s">
        <v>47</v>
      </c>
      <c r="E1736" t="s">
        <v>48</v>
      </c>
      <c r="F1736" t="s">
        <v>1085</v>
      </c>
      <c r="G1736" t="s">
        <v>30</v>
      </c>
      <c r="H1736" t="s">
        <v>23</v>
      </c>
      <c r="I1736" t="s">
        <v>45</v>
      </c>
      <c r="J1736">
        <v>1</v>
      </c>
      <c r="K1736">
        <v>23500</v>
      </c>
      <c r="L1736">
        <v>0</v>
      </c>
      <c r="N1736">
        <v>15.1</v>
      </c>
      <c r="Q1736" t="s">
        <v>45</v>
      </c>
    </row>
    <row r="1737" spans="1:17" x14ac:dyDescent="0.3">
      <c r="A1737" t="s">
        <v>2436</v>
      </c>
      <c r="B1737" s="2">
        <v>46098</v>
      </c>
      <c r="C1737" t="s">
        <v>26</v>
      </c>
      <c r="D1737" t="s">
        <v>232</v>
      </c>
      <c r="E1737" t="s">
        <v>42</v>
      </c>
      <c r="F1737" t="s">
        <v>252</v>
      </c>
      <c r="G1737" t="s">
        <v>22</v>
      </c>
      <c r="J1737">
        <v>0</v>
      </c>
      <c r="K1737">
        <v>0</v>
      </c>
      <c r="L1737">
        <v>0</v>
      </c>
      <c r="M1737">
        <v>1</v>
      </c>
      <c r="N1737">
        <v>0.5</v>
      </c>
      <c r="O1737">
        <v>4.0999999999999996</v>
      </c>
      <c r="P1737">
        <v>3.2</v>
      </c>
      <c r="Q1737" t="s">
        <v>39</v>
      </c>
    </row>
    <row r="1738" spans="1:17" x14ac:dyDescent="0.3">
      <c r="A1738" t="s">
        <v>2437</v>
      </c>
      <c r="B1738" s="2">
        <v>45959</v>
      </c>
      <c r="C1738" t="s">
        <v>18</v>
      </c>
      <c r="D1738" t="s">
        <v>47</v>
      </c>
      <c r="E1738" t="s">
        <v>37</v>
      </c>
      <c r="F1738" t="s">
        <v>959</v>
      </c>
      <c r="G1738" t="s">
        <v>22</v>
      </c>
      <c r="H1738" t="s">
        <v>54</v>
      </c>
      <c r="I1738" t="s">
        <v>79</v>
      </c>
      <c r="J1738">
        <v>1</v>
      </c>
      <c r="K1738">
        <v>37300</v>
      </c>
      <c r="L1738">
        <v>0</v>
      </c>
      <c r="N1738">
        <v>7.9</v>
      </c>
      <c r="Q1738" t="s">
        <v>79</v>
      </c>
    </row>
    <row r="1739" spans="1:17" x14ac:dyDescent="0.3">
      <c r="A1739" t="s">
        <v>2438</v>
      </c>
      <c r="B1739" s="2">
        <v>46146</v>
      </c>
      <c r="C1739" t="s">
        <v>18</v>
      </c>
      <c r="D1739" t="s">
        <v>52</v>
      </c>
      <c r="E1739" t="s">
        <v>28</v>
      </c>
      <c r="F1739" t="s">
        <v>903</v>
      </c>
      <c r="G1739" t="s">
        <v>50</v>
      </c>
      <c r="H1739" t="s">
        <v>23</v>
      </c>
      <c r="I1739" t="s">
        <v>45</v>
      </c>
      <c r="J1739">
        <v>1</v>
      </c>
      <c r="K1739">
        <v>60100</v>
      </c>
      <c r="L1739">
        <v>0</v>
      </c>
      <c r="N1739">
        <v>9.6999999999999993</v>
      </c>
      <c r="Q1739" t="s">
        <v>45</v>
      </c>
    </row>
    <row r="1740" spans="1:17" x14ac:dyDescent="0.3">
      <c r="A1740" t="s">
        <v>2439</v>
      </c>
      <c r="B1740" s="2">
        <v>46242</v>
      </c>
      <c r="C1740" t="s">
        <v>18</v>
      </c>
      <c r="D1740" t="s">
        <v>41</v>
      </c>
      <c r="E1740" t="s">
        <v>20</v>
      </c>
      <c r="F1740" t="s">
        <v>2296</v>
      </c>
      <c r="G1740" t="s">
        <v>50</v>
      </c>
      <c r="H1740" t="s">
        <v>78</v>
      </c>
      <c r="I1740" t="s">
        <v>45</v>
      </c>
      <c r="J1740">
        <v>1</v>
      </c>
      <c r="K1740">
        <v>53900</v>
      </c>
      <c r="L1740">
        <v>0</v>
      </c>
      <c r="N1740">
        <v>12.9</v>
      </c>
      <c r="Q1740" t="s">
        <v>45</v>
      </c>
    </row>
    <row r="1741" spans="1:17" x14ac:dyDescent="0.3">
      <c r="A1741" t="s">
        <v>2440</v>
      </c>
      <c r="B1741" s="2">
        <v>46206</v>
      </c>
      <c r="C1741" t="s">
        <v>18</v>
      </c>
      <c r="D1741" t="s">
        <v>105</v>
      </c>
      <c r="E1741" t="s">
        <v>20</v>
      </c>
      <c r="F1741" t="s">
        <v>942</v>
      </c>
      <c r="G1741" t="s">
        <v>22</v>
      </c>
      <c r="H1741" t="s">
        <v>78</v>
      </c>
      <c r="I1741" t="s">
        <v>79</v>
      </c>
      <c r="J1741">
        <v>1</v>
      </c>
      <c r="K1741">
        <v>23600</v>
      </c>
      <c r="L1741">
        <v>0</v>
      </c>
      <c r="N1741">
        <v>22.7</v>
      </c>
      <c r="Q1741" t="s">
        <v>79</v>
      </c>
    </row>
    <row r="1742" spans="1:17" x14ac:dyDescent="0.3">
      <c r="A1742" t="s">
        <v>2441</v>
      </c>
      <c r="B1742" s="2">
        <v>45951</v>
      </c>
      <c r="C1742" t="s">
        <v>26</v>
      </c>
      <c r="D1742" t="s">
        <v>114</v>
      </c>
      <c r="E1742" t="s">
        <v>20</v>
      </c>
      <c r="F1742" t="s">
        <v>2442</v>
      </c>
      <c r="G1742" t="s">
        <v>22</v>
      </c>
      <c r="J1742">
        <v>0</v>
      </c>
      <c r="K1742">
        <v>0</v>
      </c>
      <c r="L1742">
        <v>0</v>
      </c>
      <c r="M1742">
        <v>1</v>
      </c>
      <c r="N1742">
        <v>6.2</v>
      </c>
      <c r="O1742">
        <v>6.2</v>
      </c>
      <c r="P1742">
        <v>4.3</v>
      </c>
      <c r="Q1742" t="s">
        <v>39</v>
      </c>
    </row>
    <row r="1743" spans="1:17" x14ac:dyDescent="0.3">
      <c r="A1743" t="s">
        <v>2443</v>
      </c>
      <c r="B1743" s="2">
        <v>46006</v>
      </c>
      <c r="C1743" t="s">
        <v>26</v>
      </c>
      <c r="D1743" t="s">
        <v>114</v>
      </c>
      <c r="E1743" t="s">
        <v>48</v>
      </c>
      <c r="F1743" t="s">
        <v>850</v>
      </c>
      <c r="G1743" t="s">
        <v>50</v>
      </c>
      <c r="J1743">
        <v>0</v>
      </c>
      <c r="K1743">
        <v>0</v>
      </c>
      <c r="L1743">
        <v>0</v>
      </c>
      <c r="M1743">
        <v>1</v>
      </c>
      <c r="N1743">
        <v>6.3</v>
      </c>
      <c r="O1743">
        <v>3.4</v>
      </c>
      <c r="P1743">
        <v>3.3</v>
      </c>
      <c r="Q1743" t="s">
        <v>39</v>
      </c>
    </row>
    <row r="1744" spans="1:17" x14ac:dyDescent="0.3">
      <c r="A1744" t="s">
        <v>2444</v>
      </c>
      <c r="B1744" s="2">
        <v>46202</v>
      </c>
      <c r="C1744" t="s">
        <v>26</v>
      </c>
      <c r="D1744" t="s">
        <v>72</v>
      </c>
      <c r="E1744" t="s">
        <v>20</v>
      </c>
      <c r="F1744" t="s">
        <v>91</v>
      </c>
      <c r="G1744" t="s">
        <v>22</v>
      </c>
      <c r="J1744">
        <v>0</v>
      </c>
      <c r="K1744">
        <v>0</v>
      </c>
      <c r="L1744">
        <v>0</v>
      </c>
      <c r="M1744">
        <v>1</v>
      </c>
      <c r="N1744">
        <v>3.7</v>
      </c>
      <c r="O1744">
        <v>10.3</v>
      </c>
      <c r="P1744">
        <v>3.5</v>
      </c>
      <c r="Q1744" t="s">
        <v>62</v>
      </c>
    </row>
    <row r="1745" spans="1:17" x14ac:dyDescent="0.3">
      <c r="A1745" t="s">
        <v>2445</v>
      </c>
      <c r="B1745" s="2">
        <v>46140</v>
      </c>
      <c r="C1745" t="s">
        <v>18</v>
      </c>
      <c r="D1745" t="s">
        <v>105</v>
      </c>
      <c r="E1745" t="s">
        <v>37</v>
      </c>
      <c r="F1745" t="s">
        <v>1050</v>
      </c>
      <c r="G1745" t="s">
        <v>44</v>
      </c>
      <c r="H1745" t="s">
        <v>54</v>
      </c>
      <c r="I1745" t="s">
        <v>45</v>
      </c>
      <c r="J1745">
        <v>1</v>
      </c>
      <c r="K1745">
        <v>18400</v>
      </c>
      <c r="L1745">
        <v>0</v>
      </c>
      <c r="N1745">
        <v>6.9</v>
      </c>
      <c r="Q1745" t="s">
        <v>45</v>
      </c>
    </row>
    <row r="1746" spans="1:17" x14ac:dyDescent="0.3">
      <c r="A1746" t="s">
        <v>2446</v>
      </c>
      <c r="B1746" s="2">
        <v>46098</v>
      </c>
      <c r="C1746" t="s">
        <v>18</v>
      </c>
      <c r="D1746" t="s">
        <v>95</v>
      </c>
      <c r="E1746" t="s">
        <v>48</v>
      </c>
      <c r="F1746" t="s">
        <v>1407</v>
      </c>
      <c r="G1746" t="s">
        <v>44</v>
      </c>
      <c r="H1746" t="s">
        <v>86</v>
      </c>
      <c r="I1746" t="s">
        <v>45</v>
      </c>
      <c r="J1746">
        <v>1</v>
      </c>
      <c r="K1746">
        <v>26600</v>
      </c>
      <c r="L1746">
        <v>0</v>
      </c>
      <c r="N1746">
        <v>15.8</v>
      </c>
      <c r="Q1746" t="s">
        <v>45</v>
      </c>
    </row>
    <row r="1747" spans="1:17" x14ac:dyDescent="0.3">
      <c r="A1747" t="s">
        <v>2447</v>
      </c>
      <c r="B1747" s="2">
        <v>46084</v>
      </c>
      <c r="C1747" t="s">
        <v>18</v>
      </c>
      <c r="D1747" t="s">
        <v>41</v>
      </c>
      <c r="E1747" t="s">
        <v>20</v>
      </c>
      <c r="F1747" t="s">
        <v>750</v>
      </c>
      <c r="G1747" t="s">
        <v>22</v>
      </c>
      <c r="H1747" t="s">
        <v>23</v>
      </c>
      <c r="I1747" t="s">
        <v>55</v>
      </c>
      <c r="J1747">
        <v>1</v>
      </c>
      <c r="K1747">
        <v>13600</v>
      </c>
      <c r="L1747">
        <v>0</v>
      </c>
      <c r="N1747">
        <v>10.3</v>
      </c>
      <c r="Q1747" t="s">
        <v>55</v>
      </c>
    </row>
    <row r="1748" spans="1:17" x14ac:dyDescent="0.3">
      <c r="A1748" t="s">
        <v>2448</v>
      </c>
      <c r="B1748" s="2">
        <v>46215</v>
      </c>
      <c r="C1748" t="s">
        <v>18</v>
      </c>
      <c r="D1748" t="s">
        <v>117</v>
      </c>
      <c r="E1748" t="s">
        <v>37</v>
      </c>
      <c r="F1748" t="s">
        <v>1750</v>
      </c>
      <c r="G1748" t="s">
        <v>30</v>
      </c>
      <c r="H1748" t="s">
        <v>23</v>
      </c>
      <c r="I1748" t="s">
        <v>79</v>
      </c>
      <c r="J1748">
        <v>1</v>
      </c>
      <c r="K1748">
        <v>12900</v>
      </c>
      <c r="L1748">
        <v>0</v>
      </c>
      <c r="N1748">
        <v>11.5</v>
      </c>
      <c r="Q1748" t="s">
        <v>79</v>
      </c>
    </row>
    <row r="1749" spans="1:17" x14ac:dyDescent="0.3">
      <c r="A1749" t="s">
        <v>2449</v>
      </c>
      <c r="B1749" s="2">
        <v>46200</v>
      </c>
      <c r="C1749" t="s">
        <v>18</v>
      </c>
      <c r="D1749" t="s">
        <v>52</v>
      </c>
      <c r="E1749" t="s">
        <v>20</v>
      </c>
      <c r="F1749" t="s">
        <v>2306</v>
      </c>
      <c r="G1749" t="s">
        <v>22</v>
      </c>
      <c r="H1749" t="s">
        <v>78</v>
      </c>
      <c r="I1749" t="s">
        <v>45</v>
      </c>
      <c r="J1749">
        <v>1</v>
      </c>
      <c r="K1749">
        <v>57100</v>
      </c>
      <c r="L1749">
        <v>0</v>
      </c>
      <c r="N1749">
        <v>10.4</v>
      </c>
      <c r="Q1749" t="s">
        <v>45</v>
      </c>
    </row>
    <row r="1750" spans="1:17" x14ac:dyDescent="0.3">
      <c r="A1750" t="s">
        <v>2450</v>
      </c>
      <c r="B1750" s="2">
        <v>46232</v>
      </c>
      <c r="C1750" t="s">
        <v>26</v>
      </c>
      <c r="D1750" t="s">
        <v>126</v>
      </c>
      <c r="E1750" t="s">
        <v>20</v>
      </c>
      <c r="F1750" t="s">
        <v>1371</v>
      </c>
      <c r="G1750" t="s">
        <v>22</v>
      </c>
      <c r="J1750">
        <v>0</v>
      </c>
      <c r="K1750">
        <v>0</v>
      </c>
      <c r="L1750">
        <v>0</v>
      </c>
      <c r="M1750">
        <v>1</v>
      </c>
      <c r="N1750">
        <v>7.8</v>
      </c>
      <c r="O1750">
        <v>5.6</v>
      </c>
      <c r="P1750">
        <v>4.3</v>
      </c>
      <c r="Q1750" t="s">
        <v>39</v>
      </c>
    </row>
    <row r="1751" spans="1:17" x14ac:dyDescent="0.3">
      <c r="A1751" t="s">
        <v>2451</v>
      </c>
      <c r="B1751" s="2">
        <v>46222</v>
      </c>
      <c r="C1751" t="s">
        <v>18</v>
      </c>
      <c r="D1751" t="s">
        <v>52</v>
      </c>
      <c r="E1751" t="s">
        <v>48</v>
      </c>
      <c r="F1751" t="s">
        <v>485</v>
      </c>
      <c r="G1751" t="s">
        <v>30</v>
      </c>
      <c r="H1751" t="s">
        <v>23</v>
      </c>
      <c r="I1751" t="s">
        <v>67</v>
      </c>
      <c r="J1751">
        <v>1</v>
      </c>
      <c r="K1751">
        <v>38300</v>
      </c>
      <c r="L1751">
        <v>0</v>
      </c>
      <c r="N1751">
        <v>19.899999999999999</v>
      </c>
      <c r="Q1751" t="s">
        <v>67</v>
      </c>
    </row>
    <row r="1752" spans="1:17" x14ac:dyDescent="0.3">
      <c r="A1752" t="s">
        <v>2452</v>
      </c>
      <c r="B1752" s="2">
        <v>45904</v>
      </c>
      <c r="C1752" t="s">
        <v>18</v>
      </c>
      <c r="D1752" t="s">
        <v>41</v>
      </c>
      <c r="E1752" t="s">
        <v>20</v>
      </c>
      <c r="F1752" t="s">
        <v>1332</v>
      </c>
      <c r="G1752" t="s">
        <v>22</v>
      </c>
      <c r="H1752" t="s">
        <v>66</v>
      </c>
      <c r="I1752" t="s">
        <v>45</v>
      </c>
      <c r="J1752">
        <v>1</v>
      </c>
      <c r="K1752">
        <v>61000</v>
      </c>
      <c r="L1752">
        <v>0</v>
      </c>
      <c r="N1752">
        <v>20.7</v>
      </c>
      <c r="Q1752" t="s">
        <v>45</v>
      </c>
    </row>
    <row r="1753" spans="1:17" x14ac:dyDescent="0.3">
      <c r="A1753" t="s">
        <v>2453</v>
      </c>
      <c r="B1753" s="2">
        <v>46080</v>
      </c>
      <c r="C1753" t="s">
        <v>18</v>
      </c>
      <c r="D1753" t="s">
        <v>117</v>
      </c>
      <c r="E1753" t="s">
        <v>20</v>
      </c>
      <c r="F1753" t="s">
        <v>2454</v>
      </c>
      <c r="G1753" t="s">
        <v>22</v>
      </c>
      <c r="H1753" t="s">
        <v>78</v>
      </c>
      <c r="I1753" t="s">
        <v>55</v>
      </c>
      <c r="J1753">
        <v>1</v>
      </c>
      <c r="K1753">
        <v>78500</v>
      </c>
      <c r="L1753">
        <v>0</v>
      </c>
      <c r="N1753">
        <v>9.8000000000000007</v>
      </c>
      <c r="Q1753" t="s">
        <v>55</v>
      </c>
    </row>
    <row r="1754" spans="1:17" x14ac:dyDescent="0.3">
      <c r="A1754" t="s">
        <v>2455</v>
      </c>
      <c r="B1754" s="2">
        <v>46119</v>
      </c>
      <c r="C1754" t="s">
        <v>18</v>
      </c>
      <c r="D1754" t="s">
        <v>52</v>
      </c>
      <c r="E1754" t="s">
        <v>48</v>
      </c>
      <c r="F1754" t="s">
        <v>1286</v>
      </c>
      <c r="G1754" t="s">
        <v>44</v>
      </c>
      <c r="H1754" t="s">
        <v>23</v>
      </c>
      <c r="I1754" t="s">
        <v>45</v>
      </c>
      <c r="J1754">
        <v>1</v>
      </c>
      <c r="K1754">
        <v>15200</v>
      </c>
      <c r="L1754">
        <v>0</v>
      </c>
      <c r="N1754">
        <v>18.5</v>
      </c>
      <c r="Q1754" t="s">
        <v>45</v>
      </c>
    </row>
    <row r="1755" spans="1:17" x14ac:dyDescent="0.3">
      <c r="A1755" t="s">
        <v>2456</v>
      </c>
      <c r="B1755" s="2">
        <v>46238</v>
      </c>
      <c r="C1755" t="s">
        <v>18</v>
      </c>
      <c r="D1755" t="s">
        <v>64</v>
      </c>
      <c r="E1755" t="s">
        <v>28</v>
      </c>
      <c r="F1755" t="s">
        <v>1422</v>
      </c>
      <c r="G1755" t="s">
        <v>30</v>
      </c>
      <c r="H1755" t="s">
        <v>78</v>
      </c>
      <c r="I1755" t="s">
        <v>45</v>
      </c>
      <c r="J1755">
        <v>1</v>
      </c>
      <c r="K1755">
        <v>22300</v>
      </c>
      <c r="L1755">
        <v>0</v>
      </c>
      <c r="N1755">
        <v>19.100000000000001</v>
      </c>
      <c r="Q1755" t="s">
        <v>45</v>
      </c>
    </row>
    <row r="1756" spans="1:17" x14ac:dyDescent="0.3">
      <c r="A1756" t="s">
        <v>2457</v>
      </c>
      <c r="B1756" s="2">
        <v>46043</v>
      </c>
      <c r="C1756" t="s">
        <v>26</v>
      </c>
      <c r="D1756" t="s">
        <v>69</v>
      </c>
      <c r="E1756" t="s">
        <v>20</v>
      </c>
      <c r="F1756" t="s">
        <v>1429</v>
      </c>
      <c r="G1756" t="s">
        <v>22</v>
      </c>
      <c r="J1756">
        <v>0</v>
      </c>
      <c r="K1756">
        <v>0</v>
      </c>
      <c r="L1756">
        <v>0</v>
      </c>
      <c r="M1756">
        <v>1</v>
      </c>
      <c r="N1756">
        <v>12</v>
      </c>
      <c r="O1756">
        <v>18.5</v>
      </c>
      <c r="P1756">
        <v>4.5999999999999996</v>
      </c>
      <c r="Q1756" t="s">
        <v>39</v>
      </c>
    </row>
    <row r="1757" spans="1:17" x14ac:dyDescent="0.3">
      <c r="A1757" t="s">
        <v>2458</v>
      </c>
      <c r="B1757" s="2">
        <v>46002</v>
      </c>
      <c r="C1757" t="s">
        <v>26</v>
      </c>
      <c r="D1757" t="s">
        <v>232</v>
      </c>
      <c r="E1757" t="s">
        <v>42</v>
      </c>
      <c r="F1757" t="s">
        <v>1034</v>
      </c>
      <c r="G1757" t="s">
        <v>22</v>
      </c>
      <c r="J1757">
        <v>0</v>
      </c>
      <c r="K1757">
        <v>0</v>
      </c>
      <c r="L1757">
        <v>0</v>
      </c>
      <c r="M1757">
        <v>1</v>
      </c>
      <c r="N1757">
        <v>10</v>
      </c>
      <c r="O1757">
        <v>7.6</v>
      </c>
      <c r="P1757">
        <v>4.3</v>
      </c>
      <c r="Q1757" t="s">
        <v>225</v>
      </c>
    </row>
    <row r="1758" spans="1:17" x14ac:dyDescent="0.3">
      <c r="A1758" t="s">
        <v>2459</v>
      </c>
      <c r="B1758" s="2">
        <v>46025</v>
      </c>
      <c r="C1758" t="s">
        <v>26</v>
      </c>
      <c r="D1758" t="s">
        <v>27</v>
      </c>
      <c r="E1758" t="s">
        <v>20</v>
      </c>
      <c r="F1758" t="s">
        <v>1407</v>
      </c>
      <c r="G1758" t="s">
        <v>44</v>
      </c>
      <c r="J1758">
        <v>0</v>
      </c>
      <c r="K1758">
        <v>0</v>
      </c>
      <c r="L1758">
        <v>0</v>
      </c>
      <c r="M1758">
        <v>1</v>
      </c>
      <c r="N1758">
        <v>4.5</v>
      </c>
      <c r="O1758">
        <v>24.6</v>
      </c>
      <c r="P1758">
        <v>4.8</v>
      </c>
      <c r="Q1758" t="s">
        <v>39</v>
      </c>
    </row>
    <row r="1759" spans="1:17" x14ac:dyDescent="0.3">
      <c r="A1759" t="s">
        <v>2460</v>
      </c>
      <c r="B1759" s="2">
        <v>46184</v>
      </c>
      <c r="C1759" t="s">
        <v>18</v>
      </c>
      <c r="D1759" t="s">
        <v>64</v>
      </c>
      <c r="E1759" t="s">
        <v>20</v>
      </c>
      <c r="F1759" t="s">
        <v>2461</v>
      </c>
      <c r="G1759" t="s">
        <v>44</v>
      </c>
      <c r="H1759" t="s">
        <v>54</v>
      </c>
      <c r="I1759" t="s">
        <v>45</v>
      </c>
      <c r="J1759">
        <v>1</v>
      </c>
      <c r="K1759">
        <v>14200</v>
      </c>
      <c r="L1759">
        <v>0</v>
      </c>
      <c r="N1759">
        <v>20.5</v>
      </c>
      <c r="Q1759" t="s">
        <v>45</v>
      </c>
    </row>
    <row r="1760" spans="1:17" x14ac:dyDescent="0.3">
      <c r="A1760" t="s">
        <v>2462</v>
      </c>
      <c r="B1760" s="2">
        <v>46000</v>
      </c>
      <c r="C1760" t="s">
        <v>18</v>
      </c>
      <c r="D1760" t="s">
        <v>41</v>
      </c>
      <c r="E1760" t="s">
        <v>20</v>
      </c>
      <c r="F1760" t="s">
        <v>1392</v>
      </c>
      <c r="G1760" t="s">
        <v>22</v>
      </c>
      <c r="H1760" t="s">
        <v>86</v>
      </c>
      <c r="I1760" t="s">
        <v>79</v>
      </c>
      <c r="J1760">
        <v>1</v>
      </c>
      <c r="K1760">
        <v>26300</v>
      </c>
      <c r="L1760">
        <v>0</v>
      </c>
      <c r="N1760">
        <v>23.4</v>
      </c>
      <c r="Q1760" t="s">
        <v>79</v>
      </c>
    </row>
    <row r="1761" spans="1:17" x14ac:dyDescent="0.3">
      <c r="A1761" t="s">
        <v>2463</v>
      </c>
      <c r="B1761" s="2">
        <v>46126</v>
      </c>
      <c r="C1761" t="s">
        <v>18</v>
      </c>
      <c r="D1761" t="s">
        <v>117</v>
      </c>
      <c r="E1761" t="s">
        <v>48</v>
      </c>
      <c r="F1761" t="s">
        <v>1371</v>
      </c>
      <c r="G1761" t="s">
        <v>44</v>
      </c>
      <c r="H1761" t="s">
        <v>86</v>
      </c>
      <c r="I1761" t="s">
        <v>24</v>
      </c>
      <c r="J1761">
        <v>1</v>
      </c>
      <c r="K1761">
        <v>32600</v>
      </c>
      <c r="L1761">
        <v>32600</v>
      </c>
      <c r="N1761">
        <v>11.2</v>
      </c>
      <c r="Q1761" t="s">
        <v>24</v>
      </c>
    </row>
    <row r="1762" spans="1:17" x14ac:dyDescent="0.3">
      <c r="A1762" t="s">
        <v>2464</v>
      </c>
      <c r="B1762" s="2">
        <v>46096</v>
      </c>
      <c r="C1762" t="s">
        <v>18</v>
      </c>
      <c r="D1762" t="s">
        <v>47</v>
      </c>
      <c r="E1762" t="s">
        <v>20</v>
      </c>
      <c r="F1762" t="s">
        <v>1269</v>
      </c>
      <c r="G1762" t="s">
        <v>22</v>
      </c>
      <c r="H1762" t="s">
        <v>78</v>
      </c>
      <c r="I1762" t="s">
        <v>45</v>
      </c>
      <c r="J1762">
        <v>1</v>
      </c>
      <c r="K1762">
        <v>18700</v>
      </c>
      <c r="L1762">
        <v>0</v>
      </c>
      <c r="N1762">
        <v>15.1</v>
      </c>
      <c r="Q1762" t="s">
        <v>45</v>
      </c>
    </row>
    <row r="1763" spans="1:17" x14ac:dyDescent="0.3">
      <c r="A1763" t="s">
        <v>2465</v>
      </c>
      <c r="B1763" s="2">
        <v>46088</v>
      </c>
      <c r="C1763" t="s">
        <v>26</v>
      </c>
      <c r="D1763" t="s">
        <v>126</v>
      </c>
      <c r="E1763" t="s">
        <v>37</v>
      </c>
      <c r="F1763" t="s">
        <v>1869</v>
      </c>
      <c r="G1763" t="s">
        <v>22</v>
      </c>
      <c r="J1763">
        <v>0</v>
      </c>
      <c r="K1763">
        <v>0</v>
      </c>
      <c r="L1763">
        <v>0</v>
      </c>
      <c r="M1763">
        <v>1</v>
      </c>
      <c r="N1763">
        <v>0.7</v>
      </c>
      <c r="O1763">
        <v>19.100000000000001</v>
      </c>
      <c r="P1763">
        <v>4.2</v>
      </c>
      <c r="Q1763" t="s">
        <v>62</v>
      </c>
    </row>
    <row r="1764" spans="1:17" x14ac:dyDescent="0.3">
      <c r="A1764" t="s">
        <v>2466</v>
      </c>
      <c r="B1764" s="2">
        <v>46185</v>
      </c>
      <c r="C1764" t="s">
        <v>18</v>
      </c>
      <c r="D1764" t="s">
        <v>64</v>
      </c>
      <c r="E1764" t="s">
        <v>42</v>
      </c>
      <c r="F1764" t="s">
        <v>162</v>
      </c>
      <c r="G1764" t="s">
        <v>22</v>
      </c>
      <c r="H1764" t="s">
        <v>78</v>
      </c>
      <c r="I1764" t="s">
        <v>89</v>
      </c>
      <c r="J1764">
        <v>1</v>
      </c>
      <c r="K1764">
        <v>13400</v>
      </c>
      <c r="L1764">
        <v>0</v>
      </c>
      <c r="N1764">
        <v>19.100000000000001</v>
      </c>
      <c r="Q1764" t="s">
        <v>89</v>
      </c>
    </row>
    <row r="1765" spans="1:17" x14ac:dyDescent="0.3">
      <c r="A1765" t="s">
        <v>2467</v>
      </c>
      <c r="B1765" s="2">
        <v>46206</v>
      </c>
      <c r="C1765" t="s">
        <v>18</v>
      </c>
      <c r="D1765" t="s">
        <v>117</v>
      </c>
      <c r="E1765" t="s">
        <v>48</v>
      </c>
      <c r="F1765" t="s">
        <v>29</v>
      </c>
      <c r="G1765" t="s">
        <v>50</v>
      </c>
      <c r="H1765" t="s">
        <v>86</v>
      </c>
      <c r="I1765" t="s">
        <v>89</v>
      </c>
      <c r="J1765">
        <v>1</v>
      </c>
      <c r="K1765">
        <v>34900</v>
      </c>
      <c r="L1765">
        <v>0</v>
      </c>
      <c r="N1765">
        <v>12.8</v>
      </c>
      <c r="Q1765" t="s">
        <v>89</v>
      </c>
    </row>
    <row r="1766" spans="1:17" x14ac:dyDescent="0.3">
      <c r="A1766" t="s">
        <v>2468</v>
      </c>
      <c r="B1766" s="2">
        <v>46140</v>
      </c>
      <c r="C1766" t="s">
        <v>18</v>
      </c>
      <c r="D1766" t="s">
        <v>41</v>
      </c>
      <c r="E1766" t="s">
        <v>20</v>
      </c>
      <c r="F1766" t="s">
        <v>1617</v>
      </c>
      <c r="G1766" t="s">
        <v>44</v>
      </c>
      <c r="H1766" t="s">
        <v>86</v>
      </c>
      <c r="I1766" t="s">
        <v>89</v>
      </c>
      <c r="J1766">
        <v>1</v>
      </c>
      <c r="K1766">
        <v>61500</v>
      </c>
      <c r="L1766">
        <v>0</v>
      </c>
      <c r="N1766">
        <v>12</v>
      </c>
      <c r="Q1766" t="s">
        <v>89</v>
      </c>
    </row>
    <row r="1767" spans="1:17" x14ac:dyDescent="0.3">
      <c r="A1767" t="s">
        <v>2469</v>
      </c>
      <c r="B1767" s="2">
        <v>46179</v>
      </c>
      <c r="C1767" t="s">
        <v>18</v>
      </c>
      <c r="D1767" t="s">
        <v>47</v>
      </c>
      <c r="E1767" t="s">
        <v>20</v>
      </c>
      <c r="F1767" t="s">
        <v>840</v>
      </c>
      <c r="G1767" t="s">
        <v>44</v>
      </c>
      <c r="H1767" t="s">
        <v>23</v>
      </c>
      <c r="I1767" t="s">
        <v>45</v>
      </c>
      <c r="J1767">
        <v>1</v>
      </c>
      <c r="K1767">
        <v>12900</v>
      </c>
      <c r="L1767">
        <v>0</v>
      </c>
      <c r="N1767">
        <v>18.100000000000001</v>
      </c>
      <c r="Q1767" t="s">
        <v>45</v>
      </c>
    </row>
    <row r="1768" spans="1:17" x14ac:dyDescent="0.3">
      <c r="A1768" t="s">
        <v>2470</v>
      </c>
      <c r="B1768" s="2">
        <v>46138</v>
      </c>
      <c r="C1768" t="s">
        <v>26</v>
      </c>
      <c r="D1768" t="s">
        <v>72</v>
      </c>
      <c r="E1768" t="s">
        <v>20</v>
      </c>
      <c r="F1768" t="s">
        <v>2389</v>
      </c>
      <c r="G1768" t="s">
        <v>44</v>
      </c>
      <c r="J1768">
        <v>0</v>
      </c>
      <c r="K1768">
        <v>0</v>
      </c>
      <c r="L1768">
        <v>0</v>
      </c>
      <c r="M1768">
        <v>1</v>
      </c>
      <c r="N1768">
        <v>3.9</v>
      </c>
      <c r="O1768">
        <v>14.7</v>
      </c>
      <c r="P1768">
        <v>4.5999999999999996</v>
      </c>
      <c r="Q1768" t="s">
        <v>62</v>
      </c>
    </row>
    <row r="1769" spans="1:17" x14ac:dyDescent="0.3">
      <c r="A1769" t="s">
        <v>2471</v>
      </c>
      <c r="B1769" s="2">
        <v>45919</v>
      </c>
      <c r="C1769" t="s">
        <v>18</v>
      </c>
      <c r="D1769" t="s">
        <v>64</v>
      </c>
      <c r="E1769" t="s">
        <v>28</v>
      </c>
      <c r="F1769" t="s">
        <v>754</v>
      </c>
      <c r="G1769" t="s">
        <v>44</v>
      </c>
      <c r="H1769" t="s">
        <v>54</v>
      </c>
      <c r="I1769" t="s">
        <v>67</v>
      </c>
      <c r="J1769">
        <v>1</v>
      </c>
      <c r="K1769">
        <v>71000</v>
      </c>
      <c r="L1769">
        <v>0</v>
      </c>
      <c r="N1769">
        <v>21.8</v>
      </c>
      <c r="Q1769" t="s">
        <v>67</v>
      </c>
    </row>
    <row r="1770" spans="1:17" x14ac:dyDescent="0.3">
      <c r="A1770" t="s">
        <v>2472</v>
      </c>
      <c r="B1770" s="2">
        <v>46080</v>
      </c>
      <c r="C1770" t="s">
        <v>18</v>
      </c>
      <c r="D1770" t="s">
        <v>64</v>
      </c>
      <c r="E1770" t="s">
        <v>42</v>
      </c>
      <c r="F1770" t="s">
        <v>2146</v>
      </c>
      <c r="G1770" t="s">
        <v>44</v>
      </c>
      <c r="H1770" t="s">
        <v>78</v>
      </c>
      <c r="I1770" t="s">
        <v>89</v>
      </c>
      <c r="J1770">
        <v>1</v>
      </c>
      <c r="K1770">
        <v>8800</v>
      </c>
      <c r="L1770">
        <v>0</v>
      </c>
      <c r="N1770">
        <v>9</v>
      </c>
      <c r="Q1770" t="s">
        <v>89</v>
      </c>
    </row>
    <row r="1771" spans="1:17" x14ac:dyDescent="0.3">
      <c r="A1771" t="s">
        <v>2473</v>
      </c>
      <c r="B1771" s="2">
        <v>46202</v>
      </c>
      <c r="C1771" t="s">
        <v>18</v>
      </c>
      <c r="D1771" t="s">
        <v>41</v>
      </c>
      <c r="E1771" t="s">
        <v>48</v>
      </c>
      <c r="F1771" t="s">
        <v>124</v>
      </c>
      <c r="G1771" t="s">
        <v>50</v>
      </c>
      <c r="H1771" t="s">
        <v>78</v>
      </c>
      <c r="I1771" t="s">
        <v>67</v>
      </c>
      <c r="J1771">
        <v>1</v>
      </c>
      <c r="K1771">
        <v>15000</v>
      </c>
      <c r="L1771">
        <v>0</v>
      </c>
      <c r="N1771">
        <v>11.1</v>
      </c>
      <c r="Q1771" t="s">
        <v>67</v>
      </c>
    </row>
    <row r="1772" spans="1:17" x14ac:dyDescent="0.3">
      <c r="A1772" t="s">
        <v>2474</v>
      </c>
      <c r="B1772" s="2">
        <v>46214</v>
      </c>
      <c r="C1772" t="s">
        <v>18</v>
      </c>
      <c r="D1772" t="s">
        <v>105</v>
      </c>
      <c r="E1772" t="s">
        <v>20</v>
      </c>
      <c r="F1772" t="s">
        <v>1757</v>
      </c>
      <c r="G1772" t="s">
        <v>22</v>
      </c>
      <c r="H1772" t="s">
        <v>23</v>
      </c>
      <c r="I1772" t="s">
        <v>55</v>
      </c>
      <c r="J1772">
        <v>1</v>
      </c>
      <c r="K1772">
        <v>26000</v>
      </c>
      <c r="L1772">
        <v>0</v>
      </c>
      <c r="N1772">
        <v>21.7</v>
      </c>
      <c r="Q1772" t="s">
        <v>55</v>
      </c>
    </row>
    <row r="1773" spans="1:17" x14ac:dyDescent="0.3">
      <c r="A1773" t="s">
        <v>2475</v>
      </c>
      <c r="B1773" s="2">
        <v>46109</v>
      </c>
      <c r="C1773" t="s">
        <v>26</v>
      </c>
      <c r="D1773" t="s">
        <v>126</v>
      </c>
      <c r="E1773" t="s">
        <v>37</v>
      </c>
      <c r="F1773" t="s">
        <v>1311</v>
      </c>
      <c r="G1773" t="s">
        <v>50</v>
      </c>
      <c r="J1773">
        <v>0</v>
      </c>
      <c r="K1773">
        <v>0</v>
      </c>
      <c r="L1773">
        <v>0</v>
      </c>
      <c r="M1773">
        <v>1</v>
      </c>
      <c r="N1773">
        <v>11.6</v>
      </c>
      <c r="O1773">
        <v>7</v>
      </c>
      <c r="P1773">
        <v>4.5999999999999996</v>
      </c>
      <c r="Q1773" t="s">
        <v>225</v>
      </c>
    </row>
    <row r="1774" spans="1:17" x14ac:dyDescent="0.3">
      <c r="A1774" t="s">
        <v>2476</v>
      </c>
      <c r="B1774" s="2">
        <v>46098</v>
      </c>
      <c r="C1774" t="s">
        <v>26</v>
      </c>
      <c r="D1774" t="s">
        <v>232</v>
      </c>
      <c r="E1774" t="s">
        <v>37</v>
      </c>
      <c r="F1774" t="s">
        <v>43</v>
      </c>
      <c r="G1774" t="s">
        <v>50</v>
      </c>
      <c r="J1774">
        <v>0</v>
      </c>
      <c r="K1774">
        <v>0</v>
      </c>
      <c r="L1774">
        <v>0</v>
      </c>
      <c r="M1774">
        <v>1</v>
      </c>
      <c r="N1774">
        <v>4.5</v>
      </c>
      <c r="O1774">
        <v>7.6</v>
      </c>
      <c r="P1774">
        <v>4</v>
      </c>
      <c r="Q1774" t="s">
        <v>39</v>
      </c>
    </row>
    <row r="1775" spans="1:17" x14ac:dyDescent="0.3">
      <c r="A1775" t="s">
        <v>2477</v>
      </c>
      <c r="B1775" s="2">
        <v>46012</v>
      </c>
      <c r="C1775" t="s">
        <v>26</v>
      </c>
      <c r="D1775" t="s">
        <v>126</v>
      </c>
      <c r="E1775" t="s">
        <v>48</v>
      </c>
      <c r="F1775" t="s">
        <v>467</v>
      </c>
      <c r="G1775" t="s">
        <v>30</v>
      </c>
      <c r="J1775">
        <v>0</v>
      </c>
      <c r="K1775">
        <v>0</v>
      </c>
      <c r="L1775">
        <v>0</v>
      </c>
      <c r="M1775">
        <v>1</v>
      </c>
      <c r="N1775">
        <v>1.3</v>
      </c>
      <c r="O1775">
        <v>14.5</v>
      </c>
      <c r="P1775">
        <v>4.5999999999999996</v>
      </c>
      <c r="Q1775" t="s">
        <v>31</v>
      </c>
    </row>
    <row r="1776" spans="1:17" x14ac:dyDescent="0.3">
      <c r="A1776" t="s">
        <v>2478</v>
      </c>
      <c r="B1776" s="2">
        <v>46204</v>
      </c>
      <c r="C1776" t="s">
        <v>26</v>
      </c>
      <c r="D1776" t="s">
        <v>27</v>
      </c>
      <c r="E1776" t="s">
        <v>48</v>
      </c>
      <c r="F1776" t="s">
        <v>140</v>
      </c>
      <c r="G1776" t="s">
        <v>22</v>
      </c>
      <c r="J1776">
        <v>0</v>
      </c>
      <c r="K1776">
        <v>0</v>
      </c>
      <c r="L1776">
        <v>0</v>
      </c>
      <c r="M1776">
        <v>1</v>
      </c>
      <c r="N1776">
        <v>10.9</v>
      </c>
      <c r="O1776">
        <v>6.1</v>
      </c>
      <c r="P1776">
        <v>4.5</v>
      </c>
      <c r="Q1776" t="s">
        <v>31</v>
      </c>
    </row>
    <row r="1777" spans="1:17" x14ac:dyDescent="0.3">
      <c r="A1777" t="s">
        <v>2479</v>
      </c>
      <c r="B1777" s="2">
        <v>46032</v>
      </c>
      <c r="C1777" t="s">
        <v>18</v>
      </c>
      <c r="D1777" t="s">
        <v>105</v>
      </c>
      <c r="E1777" t="s">
        <v>20</v>
      </c>
      <c r="F1777" t="s">
        <v>248</v>
      </c>
      <c r="G1777" t="s">
        <v>22</v>
      </c>
      <c r="H1777" t="s">
        <v>23</v>
      </c>
      <c r="I1777" t="s">
        <v>89</v>
      </c>
      <c r="J1777">
        <v>1</v>
      </c>
      <c r="K1777">
        <v>13000</v>
      </c>
      <c r="L1777">
        <v>0</v>
      </c>
      <c r="N1777">
        <v>18.600000000000001</v>
      </c>
      <c r="Q1777" t="s">
        <v>89</v>
      </c>
    </row>
    <row r="1778" spans="1:17" x14ac:dyDescent="0.3">
      <c r="A1778" t="s">
        <v>2480</v>
      </c>
      <c r="B1778" s="2">
        <v>46109</v>
      </c>
      <c r="C1778" t="s">
        <v>26</v>
      </c>
      <c r="D1778" t="s">
        <v>232</v>
      </c>
      <c r="E1778" t="s">
        <v>20</v>
      </c>
      <c r="F1778" t="s">
        <v>1205</v>
      </c>
      <c r="G1778" t="s">
        <v>44</v>
      </c>
      <c r="J1778">
        <v>0</v>
      </c>
      <c r="K1778">
        <v>0</v>
      </c>
      <c r="L1778">
        <v>0</v>
      </c>
      <c r="M1778">
        <v>1</v>
      </c>
      <c r="N1778">
        <v>11.5</v>
      </c>
      <c r="O1778">
        <v>5.2</v>
      </c>
      <c r="P1778">
        <v>3.9</v>
      </c>
      <c r="Q1778" t="s">
        <v>39</v>
      </c>
    </row>
    <row r="1779" spans="1:17" x14ac:dyDescent="0.3">
      <c r="A1779" t="s">
        <v>2481</v>
      </c>
      <c r="B1779" s="2">
        <v>46258</v>
      </c>
      <c r="C1779" t="s">
        <v>18</v>
      </c>
      <c r="D1779" t="s">
        <v>52</v>
      </c>
      <c r="E1779" t="s">
        <v>28</v>
      </c>
      <c r="F1779" t="s">
        <v>587</v>
      </c>
      <c r="G1779" t="s">
        <v>50</v>
      </c>
      <c r="H1779" t="s">
        <v>78</v>
      </c>
      <c r="I1779" t="s">
        <v>67</v>
      </c>
      <c r="J1779">
        <v>1</v>
      </c>
      <c r="K1779">
        <v>40900</v>
      </c>
      <c r="L1779">
        <v>0</v>
      </c>
      <c r="N1779">
        <v>17.3</v>
      </c>
      <c r="Q1779" t="s">
        <v>67</v>
      </c>
    </row>
    <row r="1780" spans="1:17" x14ac:dyDescent="0.3">
      <c r="A1780" t="s">
        <v>2482</v>
      </c>
      <c r="B1780" s="2">
        <v>45955</v>
      </c>
      <c r="C1780" t="s">
        <v>18</v>
      </c>
      <c r="D1780" t="s">
        <v>105</v>
      </c>
      <c r="E1780" t="s">
        <v>20</v>
      </c>
      <c r="F1780" t="s">
        <v>1599</v>
      </c>
      <c r="G1780" t="s">
        <v>50</v>
      </c>
      <c r="H1780" t="s">
        <v>54</v>
      </c>
      <c r="I1780" t="s">
        <v>55</v>
      </c>
      <c r="J1780">
        <v>1</v>
      </c>
      <c r="K1780">
        <v>23200</v>
      </c>
      <c r="L1780">
        <v>0</v>
      </c>
      <c r="N1780">
        <v>15.1</v>
      </c>
      <c r="Q1780" t="s">
        <v>55</v>
      </c>
    </row>
    <row r="1781" spans="1:17" x14ac:dyDescent="0.3">
      <c r="A1781" t="s">
        <v>2483</v>
      </c>
      <c r="B1781" s="2">
        <v>46028</v>
      </c>
      <c r="C1781" t="s">
        <v>26</v>
      </c>
      <c r="D1781" t="s">
        <v>33</v>
      </c>
      <c r="E1781" t="s">
        <v>20</v>
      </c>
      <c r="F1781" t="s">
        <v>1864</v>
      </c>
      <c r="G1781" t="s">
        <v>44</v>
      </c>
      <c r="J1781">
        <v>0</v>
      </c>
      <c r="K1781">
        <v>0</v>
      </c>
      <c r="L1781">
        <v>0</v>
      </c>
      <c r="M1781">
        <v>1</v>
      </c>
      <c r="N1781">
        <v>11.3</v>
      </c>
      <c r="O1781">
        <v>19.899999999999999</v>
      </c>
      <c r="P1781">
        <v>5</v>
      </c>
      <c r="Q1781" t="s">
        <v>39</v>
      </c>
    </row>
    <row r="1782" spans="1:17" x14ac:dyDescent="0.3">
      <c r="A1782" t="s">
        <v>2484</v>
      </c>
      <c r="B1782" s="2">
        <v>46216</v>
      </c>
      <c r="C1782" t="s">
        <v>18</v>
      </c>
      <c r="D1782" t="s">
        <v>52</v>
      </c>
      <c r="E1782" t="s">
        <v>42</v>
      </c>
      <c r="F1782" t="s">
        <v>643</v>
      </c>
      <c r="G1782" t="s">
        <v>22</v>
      </c>
      <c r="H1782" t="s">
        <v>66</v>
      </c>
      <c r="I1782" t="s">
        <v>24</v>
      </c>
      <c r="J1782">
        <v>1</v>
      </c>
      <c r="K1782">
        <v>30600</v>
      </c>
      <c r="L1782">
        <v>30600</v>
      </c>
      <c r="N1782">
        <v>20.5</v>
      </c>
      <c r="Q1782" t="s">
        <v>24</v>
      </c>
    </row>
    <row r="1783" spans="1:17" x14ac:dyDescent="0.3">
      <c r="A1783" t="s">
        <v>2485</v>
      </c>
      <c r="B1783" s="2">
        <v>45931</v>
      </c>
      <c r="C1783" t="s">
        <v>26</v>
      </c>
      <c r="D1783" t="s">
        <v>27</v>
      </c>
      <c r="E1783" t="s">
        <v>28</v>
      </c>
      <c r="F1783" t="s">
        <v>1733</v>
      </c>
      <c r="G1783" t="s">
        <v>44</v>
      </c>
      <c r="J1783">
        <v>0</v>
      </c>
      <c r="K1783">
        <v>0</v>
      </c>
      <c r="L1783">
        <v>0</v>
      </c>
      <c r="M1783">
        <v>1</v>
      </c>
      <c r="N1783">
        <v>0.9</v>
      </c>
      <c r="O1783">
        <v>6.6</v>
      </c>
      <c r="P1783">
        <v>4.5</v>
      </c>
      <c r="Q1783" t="s">
        <v>31</v>
      </c>
    </row>
    <row r="1784" spans="1:17" x14ac:dyDescent="0.3">
      <c r="A1784" t="s">
        <v>2486</v>
      </c>
      <c r="B1784" s="2">
        <v>46100</v>
      </c>
      <c r="C1784" t="s">
        <v>18</v>
      </c>
      <c r="D1784" t="s">
        <v>52</v>
      </c>
      <c r="E1784" t="s">
        <v>48</v>
      </c>
      <c r="F1784" t="s">
        <v>1146</v>
      </c>
      <c r="G1784" t="s">
        <v>22</v>
      </c>
      <c r="H1784" t="s">
        <v>66</v>
      </c>
      <c r="I1784" t="s">
        <v>45</v>
      </c>
      <c r="J1784">
        <v>1</v>
      </c>
      <c r="K1784">
        <v>27200</v>
      </c>
      <c r="L1784">
        <v>0</v>
      </c>
      <c r="N1784">
        <v>1.2</v>
      </c>
      <c r="Q1784" t="s">
        <v>45</v>
      </c>
    </row>
    <row r="1785" spans="1:17" x14ac:dyDescent="0.3">
      <c r="A1785" t="s">
        <v>2487</v>
      </c>
      <c r="B1785" s="2">
        <v>46060</v>
      </c>
      <c r="C1785" t="s">
        <v>26</v>
      </c>
      <c r="D1785" t="s">
        <v>33</v>
      </c>
      <c r="E1785" t="s">
        <v>42</v>
      </c>
      <c r="F1785" t="s">
        <v>570</v>
      </c>
      <c r="G1785" t="s">
        <v>22</v>
      </c>
      <c r="J1785">
        <v>0</v>
      </c>
      <c r="K1785">
        <v>0</v>
      </c>
      <c r="L1785">
        <v>0</v>
      </c>
      <c r="M1785">
        <v>1</v>
      </c>
      <c r="N1785">
        <v>5.9</v>
      </c>
      <c r="O1785">
        <v>2.1</v>
      </c>
      <c r="P1785">
        <v>5</v>
      </c>
      <c r="Q1785" t="s">
        <v>31</v>
      </c>
    </row>
    <row r="1786" spans="1:17" x14ac:dyDescent="0.3">
      <c r="A1786" t="s">
        <v>2488</v>
      </c>
      <c r="B1786" s="2">
        <v>46146</v>
      </c>
      <c r="C1786" t="s">
        <v>26</v>
      </c>
      <c r="D1786" t="s">
        <v>72</v>
      </c>
      <c r="E1786" t="s">
        <v>48</v>
      </c>
      <c r="F1786" t="s">
        <v>1278</v>
      </c>
      <c r="G1786" t="s">
        <v>44</v>
      </c>
      <c r="J1786">
        <v>0</v>
      </c>
      <c r="K1786">
        <v>0</v>
      </c>
      <c r="L1786">
        <v>0</v>
      </c>
      <c r="M1786">
        <v>1</v>
      </c>
      <c r="N1786">
        <v>8.8000000000000007</v>
      </c>
      <c r="O1786">
        <v>12.1</v>
      </c>
      <c r="P1786">
        <v>3.7</v>
      </c>
      <c r="Q1786" t="s">
        <v>39</v>
      </c>
    </row>
    <row r="1787" spans="1:17" x14ac:dyDescent="0.3">
      <c r="A1787" t="s">
        <v>2489</v>
      </c>
      <c r="B1787" s="2">
        <v>45903</v>
      </c>
      <c r="C1787" t="s">
        <v>26</v>
      </c>
      <c r="D1787" t="s">
        <v>69</v>
      </c>
      <c r="E1787" t="s">
        <v>20</v>
      </c>
      <c r="F1787" t="s">
        <v>1416</v>
      </c>
      <c r="G1787" t="s">
        <v>22</v>
      </c>
      <c r="J1787">
        <v>0</v>
      </c>
      <c r="K1787">
        <v>0</v>
      </c>
      <c r="L1787">
        <v>0</v>
      </c>
      <c r="M1787">
        <v>1</v>
      </c>
      <c r="N1787">
        <v>2.1</v>
      </c>
      <c r="O1787">
        <v>14</v>
      </c>
      <c r="P1787">
        <v>4</v>
      </c>
      <c r="Q1787" t="s">
        <v>39</v>
      </c>
    </row>
    <row r="1788" spans="1:17" x14ac:dyDescent="0.3">
      <c r="A1788" t="s">
        <v>2490</v>
      </c>
      <c r="B1788" s="2">
        <v>46116</v>
      </c>
      <c r="C1788" t="s">
        <v>26</v>
      </c>
      <c r="D1788" t="s">
        <v>232</v>
      </c>
      <c r="E1788" t="s">
        <v>20</v>
      </c>
      <c r="F1788" t="s">
        <v>312</v>
      </c>
      <c r="G1788" t="s">
        <v>22</v>
      </c>
      <c r="J1788">
        <v>0</v>
      </c>
      <c r="K1788">
        <v>0</v>
      </c>
      <c r="L1788">
        <v>0</v>
      </c>
      <c r="M1788">
        <v>1</v>
      </c>
      <c r="N1788">
        <v>10.5</v>
      </c>
      <c r="O1788">
        <v>23.2</v>
      </c>
      <c r="P1788">
        <v>3.4</v>
      </c>
      <c r="Q1788" t="s">
        <v>39</v>
      </c>
    </row>
    <row r="1789" spans="1:17" x14ac:dyDescent="0.3">
      <c r="A1789" t="s">
        <v>2491</v>
      </c>
      <c r="B1789" s="2">
        <v>45998</v>
      </c>
      <c r="C1789" t="s">
        <v>26</v>
      </c>
      <c r="D1789" t="s">
        <v>114</v>
      </c>
      <c r="E1789" t="s">
        <v>42</v>
      </c>
      <c r="F1789" t="s">
        <v>358</v>
      </c>
      <c r="G1789" t="s">
        <v>44</v>
      </c>
      <c r="J1789">
        <v>0</v>
      </c>
      <c r="K1789">
        <v>0</v>
      </c>
      <c r="L1789">
        <v>0</v>
      </c>
      <c r="M1789">
        <v>1</v>
      </c>
      <c r="N1789">
        <v>7.4</v>
      </c>
      <c r="O1789">
        <v>9.5</v>
      </c>
      <c r="P1789">
        <v>4.2</v>
      </c>
      <c r="Q1789" t="s">
        <v>31</v>
      </c>
    </row>
    <row r="1790" spans="1:17" x14ac:dyDescent="0.3">
      <c r="A1790" t="s">
        <v>2492</v>
      </c>
      <c r="B1790" s="2">
        <v>46083</v>
      </c>
      <c r="C1790" t="s">
        <v>18</v>
      </c>
      <c r="D1790" t="s">
        <v>95</v>
      </c>
      <c r="E1790" t="s">
        <v>42</v>
      </c>
      <c r="F1790" t="s">
        <v>1273</v>
      </c>
      <c r="G1790" t="s">
        <v>50</v>
      </c>
      <c r="H1790" t="s">
        <v>54</v>
      </c>
      <c r="I1790" t="s">
        <v>79</v>
      </c>
      <c r="J1790">
        <v>1</v>
      </c>
      <c r="K1790">
        <v>54400</v>
      </c>
      <c r="L1790">
        <v>0</v>
      </c>
      <c r="N1790">
        <v>11.6</v>
      </c>
      <c r="Q1790" t="s">
        <v>79</v>
      </c>
    </row>
    <row r="1791" spans="1:17" x14ac:dyDescent="0.3">
      <c r="A1791" t="s">
        <v>2493</v>
      </c>
      <c r="B1791" s="2">
        <v>46136</v>
      </c>
      <c r="C1791" t="s">
        <v>18</v>
      </c>
      <c r="D1791" t="s">
        <v>64</v>
      </c>
      <c r="E1791" t="s">
        <v>48</v>
      </c>
      <c r="F1791" t="s">
        <v>685</v>
      </c>
      <c r="G1791" t="s">
        <v>44</v>
      </c>
      <c r="H1791" t="s">
        <v>78</v>
      </c>
      <c r="I1791" t="s">
        <v>67</v>
      </c>
      <c r="J1791">
        <v>1</v>
      </c>
      <c r="K1791">
        <v>7200</v>
      </c>
      <c r="L1791">
        <v>0</v>
      </c>
      <c r="N1791">
        <v>7.8</v>
      </c>
      <c r="Q1791" t="s">
        <v>67</v>
      </c>
    </row>
    <row r="1792" spans="1:17" x14ac:dyDescent="0.3">
      <c r="A1792" t="s">
        <v>2494</v>
      </c>
      <c r="B1792" s="2">
        <v>45960</v>
      </c>
      <c r="C1792" t="s">
        <v>18</v>
      </c>
      <c r="D1792" t="s">
        <v>95</v>
      </c>
      <c r="E1792" t="s">
        <v>48</v>
      </c>
      <c r="F1792" t="s">
        <v>197</v>
      </c>
      <c r="G1792" t="s">
        <v>30</v>
      </c>
      <c r="H1792" t="s">
        <v>86</v>
      </c>
      <c r="I1792" t="s">
        <v>89</v>
      </c>
      <c r="J1792">
        <v>1</v>
      </c>
      <c r="K1792">
        <v>17900</v>
      </c>
      <c r="L1792">
        <v>0</v>
      </c>
      <c r="N1792">
        <v>19.3</v>
      </c>
      <c r="Q1792" t="s">
        <v>89</v>
      </c>
    </row>
    <row r="1793" spans="1:17" x14ac:dyDescent="0.3">
      <c r="A1793" t="s">
        <v>2495</v>
      </c>
      <c r="B1793" s="2">
        <v>46060</v>
      </c>
      <c r="C1793" t="s">
        <v>26</v>
      </c>
      <c r="D1793" t="s">
        <v>27</v>
      </c>
      <c r="E1793" t="s">
        <v>48</v>
      </c>
      <c r="F1793" t="s">
        <v>131</v>
      </c>
      <c r="G1793" t="s">
        <v>30</v>
      </c>
      <c r="J1793">
        <v>0</v>
      </c>
      <c r="K1793">
        <v>0</v>
      </c>
      <c r="L1793">
        <v>0</v>
      </c>
      <c r="M1793">
        <v>1</v>
      </c>
      <c r="N1793">
        <v>3</v>
      </c>
      <c r="O1793">
        <v>11</v>
      </c>
      <c r="P1793">
        <v>5</v>
      </c>
      <c r="Q1793" t="s">
        <v>39</v>
      </c>
    </row>
    <row r="1794" spans="1:17" x14ac:dyDescent="0.3">
      <c r="A1794" t="s">
        <v>2496</v>
      </c>
      <c r="B1794" s="2">
        <v>46086</v>
      </c>
      <c r="C1794" t="s">
        <v>18</v>
      </c>
      <c r="D1794" t="s">
        <v>19</v>
      </c>
      <c r="E1794" t="s">
        <v>20</v>
      </c>
      <c r="F1794" t="s">
        <v>616</v>
      </c>
      <c r="G1794" t="s">
        <v>22</v>
      </c>
      <c r="H1794" t="s">
        <v>86</v>
      </c>
      <c r="I1794" t="s">
        <v>89</v>
      </c>
      <c r="J1794">
        <v>1</v>
      </c>
      <c r="K1794">
        <v>32500</v>
      </c>
      <c r="L1794">
        <v>0</v>
      </c>
      <c r="N1794">
        <v>6.3</v>
      </c>
      <c r="Q1794" t="s">
        <v>89</v>
      </c>
    </row>
    <row r="1795" spans="1:17" x14ac:dyDescent="0.3">
      <c r="A1795" t="s">
        <v>2497</v>
      </c>
      <c r="B1795" s="2">
        <v>46191</v>
      </c>
      <c r="C1795" t="s">
        <v>26</v>
      </c>
      <c r="D1795" t="s">
        <v>36</v>
      </c>
      <c r="E1795" t="s">
        <v>20</v>
      </c>
      <c r="F1795" t="s">
        <v>170</v>
      </c>
      <c r="G1795" t="s">
        <v>22</v>
      </c>
      <c r="J1795">
        <v>0</v>
      </c>
      <c r="K1795">
        <v>0</v>
      </c>
      <c r="L1795">
        <v>0</v>
      </c>
      <c r="M1795">
        <v>1</v>
      </c>
      <c r="N1795">
        <v>10.199999999999999</v>
      </c>
      <c r="O1795">
        <v>9.4</v>
      </c>
      <c r="P1795">
        <v>3.2</v>
      </c>
      <c r="Q1795" t="s">
        <v>39</v>
      </c>
    </row>
    <row r="1796" spans="1:17" x14ac:dyDescent="0.3">
      <c r="A1796" t="s">
        <v>2498</v>
      </c>
      <c r="B1796" s="2">
        <v>46142</v>
      </c>
      <c r="C1796" t="s">
        <v>18</v>
      </c>
      <c r="D1796" t="s">
        <v>52</v>
      </c>
      <c r="E1796" t="s">
        <v>20</v>
      </c>
      <c r="F1796" t="s">
        <v>1309</v>
      </c>
      <c r="G1796" t="s">
        <v>22</v>
      </c>
      <c r="H1796" t="s">
        <v>54</v>
      </c>
      <c r="I1796" t="s">
        <v>55</v>
      </c>
      <c r="J1796">
        <v>1</v>
      </c>
      <c r="K1796">
        <v>24100</v>
      </c>
      <c r="L1796">
        <v>0</v>
      </c>
      <c r="N1796">
        <v>1.3</v>
      </c>
      <c r="Q1796" t="s">
        <v>55</v>
      </c>
    </row>
    <row r="1797" spans="1:17" x14ac:dyDescent="0.3">
      <c r="A1797" t="s">
        <v>2499</v>
      </c>
      <c r="B1797" s="2">
        <v>45931</v>
      </c>
      <c r="C1797" t="s">
        <v>18</v>
      </c>
      <c r="D1797" t="s">
        <v>52</v>
      </c>
      <c r="E1797" t="s">
        <v>48</v>
      </c>
      <c r="F1797" t="s">
        <v>716</v>
      </c>
      <c r="G1797" t="s">
        <v>50</v>
      </c>
      <c r="H1797" t="s">
        <v>86</v>
      </c>
      <c r="I1797" t="s">
        <v>24</v>
      </c>
      <c r="J1797">
        <v>1</v>
      </c>
      <c r="K1797">
        <v>11100</v>
      </c>
      <c r="L1797">
        <v>11100</v>
      </c>
      <c r="N1797">
        <v>7.3</v>
      </c>
      <c r="Q1797" t="s">
        <v>24</v>
      </c>
    </row>
    <row r="1798" spans="1:17" x14ac:dyDescent="0.3">
      <c r="A1798" t="s">
        <v>2500</v>
      </c>
      <c r="B1798" s="2">
        <v>45974</v>
      </c>
      <c r="C1798" t="s">
        <v>26</v>
      </c>
      <c r="D1798" t="s">
        <v>27</v>
      </c>
      <c r="E1798" t="s">
        <v>37</v>
      </c>
      <c r="F1798" t="s">
        <v>297</v>
      </c>
      <c r="G1798" t="s">
        <v>44</v>
      </c>
      <c r="J1798">
        <v>0</v>
      </c>
      <c r="K1798">
        <v>0</v>
      </c>
      <c r="L1798">
        <v>0</v>
      </c>
      <c r="M1798">
        <v>1</v>
      </c>
      <c r="N1798">
        <v>10.5</v>
      </c>
      <c r="O1798">
        <v>20.7</v>
      </c>
      <c r="P1798">
        <v>4.3</v>
      </c>
      <c r="Q1798" t="s">
        <v>31</v>
      </c>
    </row>
    <row r="1799" spans="1:17" x14ac:dyDescent="0.3">
      <c r="A1799" t="s">
        <v>2501</v>
      </c>
      <c r="B1799" s="2">
        <v>46252</v>
      </c>
      <c r="C1799" t="s">
        <v>18</v>
      </c>
      <c r="D1799" t="s">
        <v>41</v>
      </c>
      <c r="E1799" t="s">
        <v>20</v>
      </c>
      <c r="F1799" t="s">
        <v>1624</v>
      </c>
      <c r="G1799" t="s">
        <v>50</v>
      </c>
      <c r="H1799" t="s">
        <v>78</v>
      </c>
      <c r="I1799" t="s">
        <v>24</v>
      </c>
      <c r="J1799">
        <v>1</v>
      </c>
      <c r="K1799">
        <v>9400</v>
      </c>
      <c r="L1799">
        <v>9400</v>
      </c>
      <c r="N1799">
        <v>16</v>
      </c>
      <c r="Q1799" t="s">
        <v>24</v>
      </c>
    </row>
    <row r="1800" spans="1:17" x14ac:dyDescent="0.3">
      <c r="A1800" t="s">
        <v>2502</v>
      </c>
      <c r="B1800" s="2">
        <v>45940</v>
      </c>
      <c r="C1800" t="s">
        <v>18</v>
      </c>
      <c r="D1800" t="s">
        <v>19</v>
      </c>
      <c r="E1800" t="s">
        <v>48</v>
      </c>
      <c r="F1800" t="s">
        <v>2503</v>
      </c>
      <c r="G1800" t="s">
        <v>44</v>
      </c>
      <c r="H1800" t="s">
        <v>78</v>
      </c>
      <c r="I1800" t="s">
        <v>45</v>
      </c>
      <c r="J1800">
        <v>1</v>
      </c>
      <c r="K1800">
        <v>27400</v>
      </c>
      <c r="L1800">
        <v>0</v>
      </c>
      <c r="N1800">
        <v>12.8</v>
      </c>
      <c r="Q1800" t="s">
        <v>45</v>
      </c>
    </row>
    <row r="1801" spans="1:17" x14ac:dyDescent="0.3">
      <c r="A1801" t="s">
        <v>2504</v>
      </c>
      <c r="B1801" s="2">
        <v>46087</v>
      </c>
      <c r="C1801" t="s">
        <v>18</v>
      </c>
      <c r="D1801" t="s">
        <v>64</v>
      </c>
      <c r="E1801" t="s">
        <v>28</v>
      </c>
      <c r="F1801" t="s">
        <v>1619</v>
      </c>
      <c r="G1801" t="s">
        <v>22</v>
      </c>
      <c r="H1801" t="s">
        <v>23</v>
      </c>
      <c r="I1801" t="s">
        <v>89</v>
      </c>
      <c r="J1801">
        <v>1</v>
      </c>
      <c r="K1801">
        <v>156800</v>
      </c>
      <c r="L1801">
        <v>0</v>
      </c>
      <c r="N1801">
        <v>7.2</v>
      </c>
      <c r="Q1801" t="s">
        <v>89</v>
      </c>
    </row>
    <row r="1802" spans="1:17" x14ac:dyDescent="0.3">
      <c r="A1802" t="s">
        <v>2505</v>
      </c>
      <c r="B1802" s="2">
        <v>46197</v>
      </c>
      <c r="C1802" t="s">
        <v>26</v>
      </c>
      <c r="D1802" t="s">
        <v>126</v>
      </c>
      <c r="E1802" t="s">
        <v>20</v>
      </c>
      <c r="F1802" t="s">
        <v>499</v>
      </c>
      <c r="G1802" t="s">
        <v>30</v>
      </c>
      <c r="J1802">
        <v>0</v>
      </c>
      <c r="K1802">
        <v>0</v>
      </c>
      <c r="L1802">
        <v>0</v>
      </c>
      <c r="M1802">
        <v>1</v>
      </c>
      <c r="N1802">
        <v>5.9</v>
      </c>
      <c r="O1802">
        <v>2.2999999999999998</v>
      </c>
      <c r="P1802">
        <v>5</v>
      </c>
      <c r="Q1802" t="s">
        <v>39</v>
      </c>
    </row>
    <row r="1803" spans="1:17" x14ac:dyDescent="0.3">
      <c r="A1803" t="s">
        <v>2506</v>
      </c>
      <c r="B1803" s="2">
        <v>46134</v>
      </c>
      <c r="C1803" t="s">
        <v>26</v>
      </c>
      <c r="D1803" t="s">
        <v>36</v>
      </c>
      <c r="E1803" t="s">
        <v>37</v>
      </c>
      <c r="F1803" t="s">
        <v>796</v>
      </c>
      <c r="G1803" t="s">
        <v>22</v>
      </c>
      <c r="J1803">
        <v>0</v>
      </c>
      <c r="K1803">
        <v>0</v>
      </c>
      <c r="L1803">
        <v>0</v>
      </c>
      <c r="M1803">
        <v>1</v>
      </c>
      <c r="N1803">
        <v>8.1</v>
      </c>
      <c r="O1803">
        <v>17.399999999999999</v>
      </c>
      <c r="P1803">
        <v>4.3</v>
      </c>
      <c r="Q1803" t="s">
        <v>62</v>
      </c>
    </row>
    <row r="1804" spans="1:17" x14ac:dyDescent="0.3">
      <c r="A1804" t="s">
        <v>2507</v>
      </c>
      <c r="B1804" s="2">
        <v>46089</v>
      </c>
      <c r="C1804" t="s">
        <v>18</v>
      </c>
      <c r="D1804" t="s">
        <v>95</v>
      </c>
      <c r="E1804" t="s">
        <v>20</v>
      </c>
      <c r="F1804" t="s">
        <v>412</v>
      </c>
      <c r="G1804" t="s">
        <v>22</v>
      </c>
      <c r="H1804" t="s">
        <v>23</v>
      </c>
      <c r="I1804" t="s">
        <v>55</v>
      </c>
      <c r="J1804">
        <v>1</v>
      </c>
      <c r="K1804">
        <v>29300</v>
      </c>
      <c r="L1804">
        <v>0</v>
      </c>
      <c r="N1804">
        <v>17.600000000000001</v>
      </c>
      <c r="Q1804" t="s">
        <v>55</v>
      </c>
    </row>
    <row r="1805" spans="1:17" x14ac:dyDescent="0.3">
      <c r="A1805" t="s">
        <v>2508</v>
      </c>
      <c r="B1805" s="2">
        <v>46232</v>
      </c>
      <c r="C1805" t="s">
        <v>18</v>
      </c>
      <c r="D1805" t="s">
        <v>95</v>
      </c>
      <c r="E1805" t="s">
        <v>20</v>
      </c>
      <c r="F1805" t="s">
        <v>467</v>
      </c>
      <c r="G1805" t="s">
        <v>30</v>
      </c>
      <c r="H1805" t="s">
        <v>78</v>
      </c>
      <c r="I1805" t="s">
        <v>55</v>
      </c>
      <c r="J1805">
        <v>1</v>
      </c>
      <c r="K1805">
        <v>29000</v>
      </c>
      <c r="L1805">
        <v>0</v>
      </c>
      <c r="N1805">
        <v>22.7</v>
      </c>
      <c r="Q1805" t="s">
        <v>55</v>
      </c>
    </row>
    <row r="1806" spans="1:17" x14ac:dyDescent="0.3">
      <c r="A1806" t="s">
        <v>2509</v>
      </c>
      <c r="B1806" s="2">
        <v>46204</v>
      </c>
      <c r="C1806" t="s">
        <v>18</v>
      </c>
      <c r="D1806" t="s">
        <v>41</v>
      </c>
      <c r="E1806" t="s">
        <v>48</v>
      </c>
      <c r="F1806" t="s">
        <v>1150</v>
      </c>
      <c r="G1806" t="s">
        <v>30</v>
      </c>
      <c r="H1806" t="s">
        <v>23</v>
      </c>
      <c r="I1806" t="s">
        <v>24</v>
      </c>
      <c r="J1806">
        <v>1</v>
      </c>
      <c r="K1806">
        <v>6200</v>
      </c>
      <c r="L1806">
        <v>6200</v>
      </c>
      <c r="N1806">
        <v>13</v>
      </c>
      <c r="Q1806" t="s">
        <v>24</v>
      </c>
    </row>
    <row r="1807" spans="1:17" x14ac:dyDescent="0.3">
      <c r="A1807" t="s">
        <v>2510</v>
      </c>
      <c r="B1807" s="2">
        <v>45987</v>
      </c>
      <c r="C1807" t="s">
        <v>26</v>
      </c>
      <c r="D1807" t="s">
        <v>36</v>
      </c>
      <c r="E1807" t="s">
        <v>20</v>
      </c>
      <c r="F1807" t="s">
        <v>1059</v>
      </c>
      <c r="G1807" t="s">
        <v>30</v>
      </c>
      <c r="J1807">
        <v>0</v>
      </c>
      <c r="K1807">
        <v>0</v>
      </c>
      <c r="L1807">
        <v>0</v>
      </c>
      <c r="M1807">
        <v>1</v>
      </c>
      <c r="N1807">
        <v>7.6</v>
      </c>
      <c r="O1807">
        <v>5.6</v>
      </c>
      <c r="P1807">
        <v>3.6</v>
      </c>
      <c r="Q1807" t="s">
        <v>39</v>
      </c>
    </row>
    <row r="1808" spans="1:17" x14ac:dyDescent="0.3">
      <c r="A1808" t="s">
        <v>2511</v>
      </c>
      <c r="B1808" s="2">
        <v>45960</v>
      </c>
      <c r="C1808" t="s">
        <v>26</v>
      </c>
      <c r="D1808" t="s">
        <v>69</v>
      </c>
      <c r="E1808" t="s">
        <v>20</v>
      </c>
      <c r="F1808" t="s">
        <v>942</v>
      </c>
      <c r="G1808" t="s">
        <v>22</v>
      </c>
      <c r="J1808">
        <v>0</v>
      </c>
      <c r="K1808">
        <v>0</v>
      </c>
      <c r="L1808">
        <v>0</v>
      </c>
      <c r="M1808">
        <v>1</v>
      </c>
      <c r="N1808">
        <v>1.2</v>
      </c>
      <c r="O1808">
        <v>1.7</v>
      </c>
      <c r="P1808">
        <v>3.6</v>
      </c>
      <c r="Q1808" t="s">
        <v>62</v>
      </c>
    </row>
    <row r="1809" spans="1:17" x14ac:dyDescent="0.3">
      <c r="A1809" t="s">
        <v>2512</v>
      </c>
      <c r="B1809" s="2">
        <v>46047</v>
      </c>
      <c r="C1809" t="s">
        <v>18</v>
      </c>
      <c r="D1809" t="s">
        <v>19</v>
      </c>
      <c r="E1809" t="s">
        <v>20</v>
      </c>
      <c r="F1809" t="s">
        <v>766</v>
      </c>
      <c r="G1809" t="s">
        <v>30</v>
      </c>
      <c r="H1809" t="s">
        <v>23</v>
      </c>
      <c r="I1809" t="s">
        <v>89</v>
      </c>
      <c r="J1809">
        <v>1</v>
      </c>
      <c r="K1809">
        <v>20500</v>
      </c>
      <c r="L1809">
        <v>0</v>
      </c>
      <c r="N1809">
        <v>5.7</v>
      </c>
      <c r="Q1809" t="s">
        <v>89</v>
      </c>
    </row>
    <row r="1810" spans="1:17" x14ac:dyDescent="0.3">
      <c r="A1810" t="s">
        <v>2513</v>
      </c>
      <c r="B1810" s="2">
        <v>46153</v>
      </c>
      <c r="C1810" t="s">
        <v>18</v>
      </c>
      <c r="D1810" t="s">
        <v>95</v>
      </c>
      <c r="E1810" t="s">
        <v>20</v>
      </c>
      <c r="F1810" t="s">
        <v>655</v>
      </c>
      <c r="G1810" t="s">
        <v>30</v>
      </c>
      <c r="H1810" t="s">
        <v>78</v>
      </c>
      <c r="I1810" t="s">
        <v>55</v>
      </c>
      <c r="J1810">
        <v>1</v>
      </c>
      <c r="K1810">
        <v>11400</v>
      </c>
      <c r="L1810">
        <v>0</v>
      </c>
      <c r="N1810">
        <v>19.5</v>
      </c>
      <c r="Q1810" t="s">
        <v>55</v>
      </c>
    </row>
    <row r="1811" spans="1:17" x14ac:dyDescent="0.3">
      <c r="A1811" t="s">
        <v>2514</v>
      </c>
      <c r="B1811" s="2">
        <v>46091</v>
      </c>
      <c r="C1811" t="s">
        <v>18</v>
      </c>
      <c r="D1811" t="s">
        <v>19</v>
      </c>
      <c r="E1811" t="s">
        <v>20</v>
      </c>
      <c r="F1811" t="s">
        <v>499</v>
      </c>
      <c r="G1811" t="s">
        <v>22</v>
      </c>
      <c r="H1811" t="s">
        <v>78</v>
      </c>
      <c r="I1811" t="s">
        <v>79</v>
      </c>
      <c r="J1811">
        <v>1</v>
      </c>
      <c r="K1811">
        <v>6100</v>
      </c>
      <c r="L1811">
        <v>0</v>
      </c>
      <c r="N1811">
        <v>16.899999999999999</v>
      </c>
      <c r="Q1811" t="s">
        <v>79</v>
      </c>
    </row>
    <row r="1812" spans="1:17" x14ac:dyDescent="0.3">
      <c r="A1812" t="s">
        <v>2515</v>
      </c>
      <c r="B1812" s="2">
        <v>46050</v>
      </c>
      <c r="C1812" t="s">
        <v>26</v>
      </c>
      <c r="D1812" t="s">
        <v>36</v>
      </c>
      <c r="E1812" t="s">
        <v>37</v>
      </c>
      <c r="F1812" t="s">
        <v>323</v>
      </c>
      <c r="G1812" t="s">
        <v>44</v>
      </c>
      <c r="J1812">
        <v>0</v>
      </c>
      <c r="K1812">
        <v>0</v>
      </c>
      <c r="L1812">
        <v>0</v>
      </c>
      <c r="M1812">
        <v>1</v>
      </c>
      <c r="N1812">
        <v>10.9</v>
      </c>
      <c r="O1812">
        <v>3.9</v>
      </c>
      <c r="P1812">
        <v>4</v>
      </c>
      <c r="Q1812" t="s">
        <v>31</v>
      </c>
    </row>
    <row r="1813" spans="1:17" x14ac:dyDescent="0.3">
      <c r="A1813" t="s">
        <v>2516</v>
      </c>
      <c r="B1813" s="2">
        <v>46145</v>
      </c>
      <c r="C1813" t="s">
        <v>26</v>
      </c>
      <c r="D1813" t="s">
        <v>126</v>
      </c>
      <c r="E1813" t="s">
        <v>20</v>
      </c>
      <c r="F1813" t="s">
        <v>2517</v>
      </c>
      <c r="G1813" t="s">
        <v>22</v>
      </c>
      <c r="J1813">
        <v>0</v>
      </c>
      <c r="K1813">
        <v>0</v>
      </c>
      <c r="L1813">
        <v>0</v>
      </c>
      <c r="M1813">
        <v>1</v>
      </c>
      <c r="N1813">
        <v>6.1</v>
      </c>
      <c r="O1813">
        <v>7.4</v>
      </c>
      <c r="P1813">
        <v>4.2</v>
      </c>
      <c r="Q1813" t="s">
        <v>62</v>
      </c>
    </row>
    <row r="1814" spans="1:17" x14ac:dyDescent="0.3">
      <c r="A1814" t="s">
        <v>2518</v>
      </c>
      <c r="B1814" s="2">
        <v>46067</v>
      </c>
      <c r="C1814" t="s">
        <v>18</v>
      </c>
      <c r="D1814" t="s">
        <v>19</v>
      </c>
      <c r="E1814" t="s">
        <v>20</v>
      </c>
      <c r="F1814" t="s">
        <v>1354</v>
      </c>
      <c r="G1814" t="s">
        <v>44</v>
      </c>
      <c r="H1814" t="s">
        <v>23</v>
      </c>
      <c r="I1814" t="s">
        <v>89</v>
      </c>
      <c r="J1814">
        <v>1</v>
      </c>
      <c r="K1814">
        <v>20100</v>
      </c>
      <c r="L1814">
        <v>0</v>
      </c>
      <c r="N1814">
        <v>1.4</v>
      </c>
      <c r="Q1814" t="s">
        <v>89</v>
      </c>
    </row>
    <row r="1815" spans="1:17" x14ac:dyDescent="0.3">
      <c r="A1815" t="s">
        <v>2519</v>
      </c>
      <c r="B1815" s="2">
        <v>46110</v>
      </c>
      <c r="C1815" t="s">
        <v>18</v>
      </c>
      <c r="D1815" t="s">
        <v>47</v>
      </c>
      <c r="E1815" t="s">
        <v>42</v>
      </c>
      <c r="F1815" t="s">
        <v>1893</v>
      </c>
      <c r="G1815" t="s">
        <v>44</v>
      </c>
      <c r="H1815" t="s">
        <v>66</v>
      </c>
      <c r="I1815" t="s">
        <v>79</v>
      </c>
      <c r="J1815">
        <v>1</v>
      </c>
      <c r="K1815">
        <v>12800</v>
      </c>
      <c r="L1815">
        <v>0</v>
      </c>
      <c r="N1815">
        <v>20.100000000000001</v>
      </c>
      <c r="Q1815" t="s">
        <v>79</v>
      </c>
    </row>
    <row r="1816" spans="1:17" x14ac:dyDescent="0.3">
      <c r="A1816" t="s">
        <v>2520</v>
      </c>
      <c r="B1816" s="2">
        <v>46227</v>
      </c>
      <c r="C1816" t="s">
        <v>18</v>
      </c>
      <c r="D1816" t="s">
        <v>41</v>
      </c>
      <c r="E1816" t="s">
        <v>48</v>
      </c>
      <c r="F1816" t="s">
        <v>246</v>
      </c>
      <c r="G1816" t="s">
        <v>30</v>
      </c>
      <c r="H1816" t="s">
        <v>66</v>
      </c>
      <c r="I1816" t="s">
        <v>45</v>
      </c>
      <c r="J1816">
        <v>1</v>
      </c>
      <c r="K1816">
        <v>48400</v>
      </c>
      <c r="L1816">
        <v>0</v>
      </c>
      <c r="N1816">
        <v>15.2</v>
      </c>
      <c r="Q1816" t="s">
        <v>45</v>
      </c>
    </row>
    <row r="1817" spans="1:17" x14ac:dyDescent="0.3">
      <c r="A1817" t="s">
        <v>2521</v>
      </c>
      <c r="B1817" s="2">
        <v>46047</v>
      </c>
      <c r="C1817" t="s">
        <v>26</v>
      </c>
      <c r="D1817" t="s">
        <v>126</v>
      </c>
      <c r="E1817" t="s">
        <v>28</v>
      </c>
      <c r="F1817" t="s">
        <v>1063</v>
      </c>
      <c r="G1817" t="s">
        <v>50</v>
      </c>
      <c r="J1817">
        <v>0</v>
      </c>
      <c r="K1817">
        <v>0</v>
      </c>
      <c r="L1817">
        <v>0</v>
      </c>
      <c r="M1817">
        <v>1</v>
      </c>
      <c r="N1817">
        <v>7.7</v>
      </c>
      <c r="O1817">
        <v>2.2000000000000002</v>
      </c>
      <c r="P1817">
        <v>4.5</v>
      </c>
      <c r="Q1817" t="s">
        <v>39</v>
      </c>
    </row>
    <row r="1818" spans="1:17" x14ac:dyDescent="0.3">
      <c r="A1818" t="s">
        <v>2522</v>
      </c>
      <c r="B1818" s="2">
        <v>46063</v>
      </c>
      <c r="C1818" t="s">
        <v>18</v>
      </c>
      <c r="D1818" t="s">
        <v>19</v>
      </c>
      <c r="E1818" t="s">
        <v>20</v>
      </c>
      <c r="F1818" t="s">
        <v>1516</v>
      </c>
      <c r="G1818" t="s">
        <v>22</v>
      </c>
      <c r="H1818" t="s">
        <v>23</v>
      </c>
      <c r="I1818" t="s">
        <v>45</v>
      </c>
      <c r="J1818">
        <v>1</v>
      </c>
      <c r="K1818">
        <v>16700</v>
      </c>
      <c r="L1818">
        <v>0</v>
      </c>
      <c r="N1818">
        <v>2.1</v>
      </c>
      <c r="Q1818" t="s">
        <v>45</v>
      </c>
    </row>
    <row r="1819" spans="1:17" x14ac:dyDescent="0.3">
      <c r="A1819" t="s">
        <v>2523</v>
      </c>
      <c r="B1819" s="2">
        <v>46141</v>
      </c>
      <c r="C1819" t="s">
        <v>26</v>
      </c>
      <c r="D1819" t="s">
        <v>232</v>
      </c>
      <c r="E1819" t="s">
        <v>20</v>
      </c>
      <c r="F1819" t="s">
        <v>658</v>
      </c>
      <c r="G1819" t="s">
        <v>22</v>
      </c>
      <c r="J1819">
        <v>0</v>
      </c>
      <c r="K1819">
        <v>0</v>
      </c>
      <c r="L1819">
        <v>0</v>
      </c>
      <c r="M1819">
        <v>1</v>
      </c>
      <c r="N1819">
        <v>4.9000000000000004</v>
      </c>
      <c r="O1819">
        <v>5.5</v>
      </c>
      <c r="P1819">
        <v>3.7</v>
      </c>
      <c r="Q1819" t="s">
        <v>62</v>
      </c>
    </row>
    <row r="1820" spans="1:17" x14ac:dyDescent="0.3">
      <c r="A1820" t="s">
        <v>2524</v>
      </c>
      <c r="B1820" s="2">
        <v>45986</v>
      </c>
      <c r="C1820" t="s">
        <v>26</v>
      </c>
      <c r="D1820" t="s">
        <v>36</v>
      </c>
      <c r="E1820" t="s">
        <v>48</v>
      </c>
      <c r="F1820" t="s">
        <v>442</v>
      </c>
      <c r="G1820" t="s">
        <v>30</v>
      </c>
      <c r="J1820">
        <v>0</v>
      </c>
      <c r="K1820">
        <v>0</v>
      </c>
      <c r="L1820">
        <v>0</v>
      </c>
      <c r="M1820">
        <v>1</v>
      </c>
      <c r="N1820">
        <v>8.9</v>
      </c>
      <c r="O1820">
        <v>11.5</v>
      </c>
      <c r="P1820">
        <v>4.5</v>
      </c>
      <c r="Q1820" t="s">
        <v>39</v>
      </c>
    </row>
    <row r="1821" spans="1:17" x14ac:dyDescent="0.3">
      <c r="A1821" t="s">
        <v>2525</v>
      </c>
      <c r="B1821" s="2">
        <v>46104</v>
      </c>
      <c r="C1821" t="s">
        <v>18</v>
      </c>
      <c r="D1821" t="s">
        <v>105</v>
      </c>
      <c r="E1821" t="s">
        <v>20</v>
      </c>
      <c r="F1821" t="s">
        <v>990</v>
      </c>
      <c r="G1821" t="s">
        <v>22</v>
      </c>
      <c r="H1821" t="s">
        <v>78</v>
      </c>
      <c r="I1821" t="s">
        <v>79</v>
      </c>
      <c r="J1821">
        <v>1</v>
      </c>
      <c r="K1821">
        <v>6800</v>
      </c>
      <c r="L1821">
        <v>0</v>
      </c>
      <c r="N1821">
        <v>1.2</v>
      </c>
      <c r="Q1821" t="s">
        <v>79</v>
      </c>
    </row>
    <row r="1822" spans="1:17" x14ac:dyDescent="0.3">
      <c r="A1822" t="s">
        <v>2526</v>
      </c>
      <c r="B1822" s="2">
        <v>45981</v>
      </c>
      <c r="C1822" t="s">
        <v>18</v>
      </c>
      <c r="D1822" t="s">
        <v>52</v>
      </c>
      <c r="E1822" t="s">
        <v>20</v>
      </c>
      <c r="F1822" t="s">
        <v>558</v>
      </c>
      <c r="G1822" t="s">
        <v>30</v>
      </c>
      <c r="H1822" t="s">
        <v>23</v>
      </c>
      <c r="I1822" t="s">
        <v>55</v>
      </c>
      <c r="J1822">
        <v>1</v>
      </c>
      <c r="K1822">
        <v>55500</v>
      </c>
      <c r="L1822">
        <v>0</v>
      </c>
      <c r="N1822">
        <v>22.8</v>
      </c>
      <c r="Q1822" t="s">
        <v>55</v>
      </c>
    </row>
    <row r="1823" spans="1:17" x14ac:dyDescent="0.3">
      <c r="A1823" t="s">
        <v>2527</v>
      </c>
      <c r="B1823" s="2">
        <v>45979</v>
      </c>
      <c r="C1823" t="s">
        <v>18</v>
      </c>
      <c r="D1823" t="s">
        <v>47</v>
      </c>
      <c r="E1823" t="s">
        <v>42</v>
      </c>
      <c r="F1823" t="s">
        <v>2528</v>
      </c>
      <c r="G1823" t="s">
        <v>50</v>
      </c>
      <c r="H1823" t="s">
        <v>86</v>
      </c>
      <c r="I1823" t="s">
        <v>24</v>
      </c>
      <c r="J1823">
        <v>1</v>
      </c>
      <c r="K1823">
        <v>30400</v>
      </c>
      <c r="L1823">
        <v>30400</v>
      </c>
      <c r="N1823">
        <v>12.9</v>
      </c>
      <c r="Q1823" t="s">
        <v>24</v>
      </c>
    </row>
    <row r="1824" spans="1:17" x14ac:dyDescent="0.3">
      <c r="A1824" t="s">
        <v>2529</v>
      </c>
      <c r="B1824" s="2">
        <v>46250</v>
      </c>
      <c r="C1824" t="s">
        <v>26</v>
      </c>
      <c r="D1824" t="s">
        <v>126</v>
      </c>
      <c r="E1824" t="s">
        <v>48</v>
      </c>
      <c r="F1824" t="s">
        <v>832</v>
      </c>
      <c r="G1824" t="s">
        <v>22</v>
      </c>
      <c r="J1824">
        <v>0</v>
      </c>
      <c r="K1824">
        <v>0</v>
      </c>
      <c r="L1824">
        <v>0</v>
      </c>
      <c r="M1824">
        <v>1</v>
      </c>
      <c r="N1824">
        <v>6.1</v>
      </c>
      <c r="O1824">
        <v>11</v>
      </c>
      <c r="P1824">
        <v>5</v>
      </c>
      <c r="Q1824" t="s">
        <v>31</v>
      </c>
    </row>
    <row r="1825" spans="1:17" x14ac:dyDescent="0.3">
      <c r="A1825" t="s">
        <v>2530</v>
      </c>
      <c r="B1825" s="2">
        <v>46155</v>
      </c>
      <c r="C1825" t="s">
        <v>26</v>
      </c>
      <c r="D1825" t="s">
        <v>126</v>
      </c>
      <c r="E1825" t="s">
        <v>20</v>
      </c>
      <c r="F1825" t="s">
        <v>635</v>
      </c>
      <c r="G1825" t="s">
        <v>22</v>
      </c>
      <c r="J1825">
        <v>0</v>
      </c>
      <c r="K1825">
        <v>0</v>
      </c>
      <c r="L1825">
        <v>0</v>
      </c>
      <c r="M1825">
        <v>1</v>
      </c>
      <c r="N1825">
        <v>6.1</v>
      </c>
      <c r="O1825">
        <v>4.3</v>
      </c>
      <c r="P1825">
        <v>4.5</v>
      </c>
      <c r="Q1825" t="s">
        <v>39</v>
      </c>
    </row>
    <row r="1826" spans="1:17" x14ac:dyDescent="0.3">
      <c r="A1826" t="s">
        <v>2531</v>
      </c>
      <c r="B1826" s="2">
        <v>45996</v>
      </c>
      <c r="C1826" t="s">
        <v>26</v>
      </c>
      <c r="D1826" t="s">
        <v>114</v>
      </c>
      <c r="E1826" t="s">
        <v>20</v>
      </c>
      <c r="F1826" t="s">
        <v>696</v>
      </c>
      <c r="G1826" t="s">
        <v>44</v>
      </c>
      <c r="J1826">
        <v>0</v>
      </c>
      <c r="K1826">
        <v>0</v>
      </c>
      <c r="L1826">
        <v>0</v>
      </c>
      <c r="M1826">
        <v>1</v>
      </c>
      <c r="N1826">
        <v>6</v>
      </c>
      <c r="O1826">
        <v>17.2</v>
      </c>
      <c r="P1826">
        <v>4.5999999999999996</v>
      </c>
      <c r="Q1826" t="s">
        <v>31</v>
      </c>
    </row>
    <row r="1827" spans="1:17" x14ac:dyDescent="0.3">
      <c r="A1827" t="s">
        <v>2532</v>
      </c>
      <c r="B1827" s="2">
        <v>45903</v>
      </c>
      <c r="C1827" t="s">
        <v>18</v>
      </c>
      <c r="D1827" t="s">
        <v>19</v>
      </c>
      <c r="E1827" t="s">
        <v>20</v>
      </c>
      <c r="F1827" t="s">
        <v>549</v>
      </c>
      <c r="G1827" t="s">
        <v>30</v>
      </c>
      <c r="H1827" t="s">
        <v>78</v>
      </c>
      <c r="I1827" t="s">
        <v>67</v>
      </c>
      <c r="J1827">
        <v>1</v>
      </c>
      <c r="K1827">
        <v>57000</v>
      </c>
      <c r="L1827">
        <v>0</v>
      </c>
      <c r="N1827">
        <v>20.6</v>
      </c>
      <c r="Q1827" t="s">
        <v>67</v>
      </c>
    </row>
    <row r="1828" spans="1:17" x14ac:dyDescent="0.3">
      <c r="A1828" t="s">
        <v>2533</v>
      </c>
      <c r="B1828" s="2">
        <v>46198</v>
      </c>
      <c r="C1828" t="s">
        <v>18</v>
      </c>
      <c r="D1828" t="s">
        <v>47</v>
      </c>
      <c r="E1828" t="s">
        <v>20</v>
      </c>
      <c r="F1828" t="s">
        <v>1730</v>
      </c>
      <c r="G1828" t="s">
        <v>44</v>
      </c>
      <c r="H1828" t="s">
        <v>78</v>
      </c>
      <c r="I1828" t="s">
        <v>55</v>
      </c>
      <c r="J1828">
        <v>1</v>
      </c>
      <c r="K1828">
        <v>14500</v>
      </c>
      <c r="L1828">
        <v>0</v>
      </c>
      <c r="N1828">
        <v>9</v>
      </c>
      <c r="Q1828" t="s">
        <v>55</v>
      </c>
    </row>
    <row r="1829" spans="1:17" x14ac:dyDescent="0.3">
      <c r="A1829" t="s">
        <v>2534</v>
      </c>
      <c r="B1829" s="2">
        <v>45976</v>
      </c>
      <c r="C1829" t="s">
        <v>26</v>
      </c>
      <c r="D1829" t="s">
        <v>126</v>
      </c>
      <c r="E1829" t="s">
        <v>20</v>
      </c>
      <c r="F1829" t="s">
        <v>1709</v>
      </c>
      <c r="G1829" t="s">
        <v>30</v>
      </c>
      <c r="J1829">
        <v>0</v>
      </c>
      <c r="K1829">
        <v>0</v>
      </c>
      <c r="L1829">
        <v>0</v>
      </c>
      <c r="M1829">
        <v>1</v>
      </c>
      <c r="N1829">
        <v>5.6</v>
      </c>
      <c r="O1829">
        <v>6.6</v>
      </c>
      <c r="P1829">
        <v>3.1</v>
      </c>
      <c r="Q1829" t="s">
        <v>31</v>
      </c>
    </row>
    <row r="1830" spans="1:17" x14ac:dyDescent="0.3">
      <c r="A1830" t="s">
        <v>2535</v>
      </c>
      <c r="B1830" s="2">
        <v>46228</v>
      </c>
      <c r="C1830" t="s">
        <v>26</v>
      </c>
      <c r="D1830" t="s">
        <v>232</v>
      </c>
      <c r="E1830" t="s">
        <v>20</v>
      </c>
      <c r="F1830" t="s">
        <v>818</v>
      </c>
      <c r="G1830" t="s">
        <v>22</v>
      </c>
      <c r="J1830">
        <v>0</v>
      </c>
      <c r="K1830">
        <v>0</v>
      </c>
      <c r="L1830">
        <v>0</v>
      </c>
      <c r="M1830">
        <v>1</v>
      </c>
      <c r="N1830">
        <v>10.6</v>
      </c>
      <c r="O1830">
        <v>28.1</v>
      </c>
      <c r="P1830">
        <v>2</v>
      </c>
      <c r="Q1830" t="s">
        <v>31</v>
      </c>
    </row>
    <row r="1831" spans="1:17" x14ac:dyDescent="0.3">
      <c r="A1831" t="s">
        <v>2536</v>
      </c>
      <c r="B1831" s="2">
        <v>46252</v>
      </c>
      <c r="C1831" t="s">
        <v>18</v>
      </c>
      <c r="D1831" t="s">
        <v>41</v>
      </c>
      <c r="E1831" t="s">
        <v>28</v>
      </c>
      <c r="F1831" t="s">
        <v>874</v>
      </c>
      <c r="G1831" t="s">
        <v>30</v>
      </c>
      <c r="H1831" t="s">
        <v>78</v>
      </c>
      <c r="I1831" t="s">
        <v>55</v>
      </c>
      <c r="J1831">
        <v>1</v>
      </c>
      <c r="K1831">
        <v>52100</v>
      </c>
      <c r="L1831">
        <v>0</v>
      </c>
      <c r="N1831">
        <v>2.6</v>
      </c>
      <c r="Q1831" t="s">
        <v>55</v>
      </c>
    </row>
    <row r="1832" spans="1:17" x14ac:dyDescent="0.3">
      <c r="A1832" t="s">
        <v>2537</v>
      </c>
      <c r="B1832" s="2">
        <v>46198</v>
      </c>
      <c r="C1832" t="s">
        <v>26</v>
      </c>
      <c r="D1832" t="s">
        <v>69</v>
      </c>
      <c r="E1832" t="s">
        <v>20</v>
      </c>
      <c r="F1832" t="s">
        <v>1407</v>
      </c>
      <c r="G1832" t="s">
        <v>44</v>
      </c>
      <c r="J1832">
        <v>0</v>
      </c>
      <c r="K1832">
        <v>0</v>
      </c>
      <c r="L1832">
        <v>0</v>
      </c>
      <c r="M1832">
        <v>1</v>
      </c>
      <c r="N1832">
        <v>4.3</v>
      </c>
      <c r="O1832">
        <v>13.2</v>
      </c>
      <c r="P1832">
        <v>3.9</v>
      </c>
      <c r="Q1832" t="s">
        <v>225</v>
      </c>
    </row>
    <row r="1833" spans="1:17" x14ac:dyDescent="0.3">
      <c r="A1833" t="s">
        <v>2538</v>
      </c>
      <c r="B1833" s="2">
        <v>45944</v>
      </c>
      <c r="C1833" t="s">
        <v>26</v>
      </c>
      <c r="D1833" t="s">
        <v>27</v>
      </c>
      <c r="E1833" t="s">
        <v>37</v>
      </c>
      <c r="F1833" t="s">
        <v>1478</v>
      </c>
      <c r="G1833" t="s">
        <v>30</v>
      </c>
      <c r="J1833">
        <v>0</v>
      </c>
      <c r="K1833">
        <v>0</v>
      </c>
      <c r="L1833">
        <v>0</v>
      </c>
      <c r="M1833">
        <v>1</v>
      </c>
      <c r="N1833">
        <v>6.6</v>
      </c>
      <c r="O1833">
        <v>8.8000000000000007</v>
      </c>
      <c r="P1833">
        <v>3.3</v>
      </c>
      <c r="Q1833" t="s">
        <v>225</v>
      </c>
    </row>
    <row r="1834" spans="1:17" x14ac:dyDescent="0.3">
      <c r="A1834" t="s">
        <v>2539</v>
      </c>
      <c r="B1834" s="2">
        <v>45993</v>
      </c>
      <c r="C1834" t="s">
        <v>26</v>
      </c>
      <c r="D1834" t="s">
        <v>69</v>
      </c>
      <c r="E1834" t="s">
        <v>20</v>
      </c>
      <c r="F1834" t="s">
        <v>131</v>
      </c>
      <c r="G1834" t="s">
        <v>30</v>
      </c>
      <c r="J1834">
        <v>0</v>
      </c>
      <c r="K1834">
        <v>0</v>
      </c>
      <c r="L1834">
        <v>0</v>
      </c>
      <c r="M1834">
        <v>1</v>
      </c>
      <c r="N1834">
        <v>0.5</v>
      </c>
      <c r="O1834">
        <v>7.5</v>
      </c>
      <c r="P1834">
        <v>5</v>
      </c>
      <c r="Q1834" t="s">
        <v>62</v>
      </c>
    </row>
    <row r="1835" spans="1:17" x14ac:dyDescent="0.3">
      <c r="A1835" t="s">
        <v>2540</v>
      </c>
      <c r="B1835" s="2">
        <v>45956</v>
      </c>
      <c r="C1835" t="s">
        <v>26</v>
      </c>
      <c r="D1835" t="s">
        <v>33</v>
      </c>
      <c r="E1835" t="s">
        <v>48</v>
      </c>
      <c r="F1835" t="s">
        <v>734</v>
      </c>
      <c r="G1835" t="s">
        <v>44</v>
      </c>
      <c r="J1835">
        <v>0</v>
      </c>
      <c r="K1835">
        <v>0</v>
      </c>
      <c r="L1835">
        <v>0</v>
      </c>
      <c r="M1835">
        <v>1</v>
      </c>
      <c r="N1835">
        <v>7.4</v>
      </c>
      <c r="O1835">
        <v>15</v>
      </c>
      <c r="P1835">
        <v>4.8</v>
      </c>
      <c r="Q1835" t="s">
        <v>31</v>
      </c>
    </row>
    <row r="1836" spans="1:17" x14ac:dyDescent="0.3">
      <c r="A1836" t="s">
        <v>2541</v>
      </c>
      <c r="B1836" s="2">
        <v>46141</v>
      </c>
      <c r="C1836" t="s">
        <v>26</v>
      </c>
      <c r="D1836" t="s">
        <v>114</v>
      </c>
      <c r="E1836" t="s">
        <v>37</v>
      </c>
      <c r="F1836" t="s">
        <v>442</v>
      </c>
      <c r="G1836" t="s">
        <v>30</v>
      </c>
      <c r="J1836">
        <v>0</v>
      </c>
      <c r="K1836">
        <v>0</v>
      </c>
      <c r="L1836">
        <v>0</v>
      </c>
      <c r="M1836">
        <v>1</v>
      </c>
      <c r="N1836">
        <v>8.4</v>
      </c>
      <c r="O1836">
        <v>9</v>
      </c>
      <c r="P1836">
        <v>3.5</v>
      </c>
      <c r="Q1836" t="s">
        <v>31</v>
      </c>
    </row>
    <row r="1837" spans="1:17" x14ac:dyDescent="0.3">
      <c r="A1837" t="s">
        <v>2542</v>
      </c>
      <c r="B1837" s="2">
        <v>46128</v>
      </c>
      <c r="C1837" t="s">
        <v>26</v>
      </c>
      <c r="D1837" t="s">
        <v>33</v>
      </c>
      <c r="E1837" t="s">
        <v>48</v>
      </c>
      <c r="F1837" t="s">
        <v>1304</v>
      </c>
      <c r="G1837" t="s">
        <v>30</v>
      </c>
      <c r="J1837">
        <v>0</v>
      </c>
      <c r="K1837">
        <v>0</v>
      </c>
      <c r="L1837">
        <v>0</v>
      </c>
      <c r="M1837">
        <v>1</v>
      </c>
      <c r="N1837">
        <v>5.7</v>
      </c>
      <c r="O1837">
        <v>8</v>
      </c>
      <c r="P1837">
        <v>4.2</v>
      </c>
      <c r="Q1837" t="s">
        <v>62</v>
      </c>
    </row>
    <row r="1838" spans="1:17" x14ac:dyDescent="0.3">
      <c r="A1838" t="s">
        <v>2543</v>
      </c>
      <c r="B1838" s="2">
        <v>45911</v>
      </c>
      <c r="C1838" t="s">
        <v>18</v>
      </c>
      <c r="D1838" t="s">
        <v>52</v>
      </c>
      <c r="E1838" t="s">
        <v>37</v>
      </c>
      <c r="F1838" t="s">
        <v>1456</v>
      </c>
      <c r="G1838" t="s">
        <v>50</v>
      </c>
      <c r="H1838" t="s">
        <v>23</v>
      </c>
      <c r="I1838" t="s">
        <v>89</v>
      </c>
      <c r="J1838">
        <v>1</v>
      </c>
      <c r="K1838">
        <v>9100</v>
      </c>
      <c r="L1838">
        <v>0</v>
      </c>
      <c r="N1838">
        <v>5.3</v>
      </c>
      <c r="Q1838" t="s">
        <v>89</v>
      </c>
    </row>
    <row r="1839" spans="1:17" x14ac:dyDescent="0.3">
      <c r="A1839" t="s">
        <v>2544</v>
      </c>
      <c r="B1839" s="2">
        <v>46157</v>
      </c>
      <c r="C1839" t="s">
        <v>18</v>
      </c>
      <c r="D1839" t="s">
        <v>105</v>
      </c>
      <c r="E1839" t="s">
        <v>28</v>
      </c>
      <c r="F1839" t="s">
        <v>1135</v>
      </c>
      <c r="G1839" t="s">
        <v>30</v>
      </c>
      <c r="H1839" t="s">
        <v>86</v>
      </c>
      <c r="I1839" t="s">
        <v>45</v>
      </c>
      <c r="J1839">
        <v>1</v>
      </c>
      <c r="K1839">
        <v>35300</v>
      </c>
      <c r="L1839">
        <v>0</v>
      </c>
      <c r="N1839">
        <v>3.3</v>
      </c>
      <c r="Q1839" t="s">
        <v>45</v>
      </c>
    </row>
    <row r="1840" spans="1:17" x14ac:dyDescent="0.3">
      <c r="A1840" t="s">
        <v>2545</v>
      </c>
      <c r="B1840" s="2">
        <v>46089</v>
      </c>
      <c r="C1840" t="s">
        <v>26</v>
      </c>
      <c r="D1840" t="s">
        <v>27</v>
      </c>
      <c r="E1840" t="s">
        <v>42</v>
      </c>
      <c r="F1840" t="s">
        <v>650</v>
      </c>
      <c r="G1840" t="s">
        <v>44</v>
      </c>
      <c r="J1840">
        <v>0</v>
      </c>
      <c r="K1840">
        <v>0</v>
      </c>
      <c r="L1840">
        <v>0</v>
      </c>
      <c r="M1840">
        <v>1</v>
      </c>
      <c r="N1840">
        <v>9.1</v>
      </c>
      <c r="O1840">
        <v>2.7</v>
      </c>
      <c r="P1840">
        <v>4.0999999999999996</v>
      </c>
      <c r="Q1840" t="s">
        <v>39</v>
      </c>
    </row>
    <row r="1841" spans="1:17" x14ac:dyDescent="0.3">
      <c r="A1841" t="s">
        <v>2546</v>
      </c>
      <c r="B1841" s="2">
        <v>46063</v>
      </c>
      <c r="C1841" t="s">
        <v>18</v>
      </c>
      <c r="D1841" t="s">
        <v>105</v>
      </c>
      <c r="E1841" t="s">
        <v>48</v>
      </c>
      <c r="F1841" t="s">
        <v>785</v>
      </c>
      <c r="G1841" t="s">
        <v>22</v>
      </c>
      <c r="H1841" t="s">
        <v>86</v>
      </c>
      <c r="I1841" t="s">
        <v>24</v>
      </c>
      <c r="J1841">
        <v>1</v>
      </c>
      <c r="K1841">
        <v>15800</v>
      </c>
      <c r="L1841">
        <v>15800</v>
      </c>
      <c r="N1841">
        <v>23.6</v>
      </c>
      <c r="Q1841" t="s">
        <v>24</v>
      </c>
    </row>
    <row r="1842" spans="1:17" x14ac:dyDescent="0.3">
      <c r="A1842" t="s">
        <v>2547</v>
      </c>
      <c r="B1842" s="2">
        <v>46030</v>
      </c>
      <c r="C1842" t="s">
        <v>18</v>
      </c>
      <c r="D1842" t="s">
        <v>47</v>
      </c>
      <c r="E1842" t="s">
        <v>20</v>
      </c>
      <c r="F1842" t="s">
        <v>1394</v>
      </c>
      <c r="G1842" t="s">
        <v>30</v>
      </c>
      <c r="H1842" t="s">
        <v>23</v>
      </c>
      <c r="I1842" t="s">
        <v>79</v>
      </c>
      <c r="J1842">
        <v>1</v>
      </c>
      <c r="K1842">
        <v>61400</v>
      </c>
      <c r="L1842">
        <v>0</v>
      </c>
      <c r="N1842">
        <v>11.1</v>
      </c>
      <c r="Q1842" t="s">
        <v>79</v>
      </c>
    </row>
    <row r="1843" spans="1:17" x14ac:dyDescent="0.3">
      <c r="A1843" t="s">
        <v>2548</v>
      </c>
      <c r="B1843" s="2">
        <v>46254</v>
      </c>
      <c r="C1843" t="s">
        <v>18</v>
      </c>
      <c r="D1843" t="s">
        <v>52</v>
      </c>
      <c r="E1843" t="s">
        <v>28</v>
      </c>
      <c r="F1843" t="s">
        <v>773</v>
      </c>
      <c r="G1843" t="s">
        <v>22</v>
      </c>
      <c r="H1843" t="s">
        <v>54</v>
      </c>
      <c r="I1843" t="s">
        <v>45</v>
      </c>
      <c r="J1843">
        <v>1</v>
      </c>
      <c r="K1843">
        <v>20900</v>
      </c>
      <c r="L1843">
        <v>0</v>
      </c>
      <c r="N1843">
        <v>6.2</v>
      </c>
      <c r="Q1843" t="s">
        <v>45</v>
      </c>
    </row>
    <row r="1844" spans="1:17" x14ac:dyDescent="0.3">
      <c r="A1844" t="s">
        <v>2549</v>
      </c>
      <c r="B1844" s="2">
        <v>45942</v>
      </c>
      <c r="C1844" t="s">
        <v>18</v>
      </c>
      <c r="D1844" t="s">
        <v>41</v>
      </c>
      <c r="E1844" t="s">
        <v>20</v>
      </c>
      <c r="F1844" t="s">
        <v>944</v>
      </c>
      <c r="G1844" t="s">
        <v>30</v>
      </c>
      <c r="H1844" t="s">
        <v>23</v>
      </c>
      <c r="I1844" t="s">
        <v>45</v>
      </c>
      <c r="J1844">
        <v>1</v>
      </c>
      <c r="K1844">
        <v>10500</v>
      </c>
      <c r="L1844">
        <v>0</v>
      </c>
      <c r="N1844">
        <v>23.7</v>
      </c>
      <c r="Q1844" t="s">
        <v>45</v>
      </c>
    </row>
    <row r="1845" spans="1:17" x14ac:dyDescent="0.3">
      <c r="A1845" t="s">
        <v>2550</v>
      </c>
      <c r="B1845" s="2">
        <v>46060</v>
      </c>
      <c r="C1845" t="s">
        <v>26</v>
      </c>
      <c r="D1845" t="s">
        <v>232</v>
      </c>
      <c r="E1845" t="s">
        <v>48</v>
      </c>
      <c r="F1845" t="s">
        <v>1012</v>
      </c>
      <c r="G1845" t="s">
        <v>22</v>
      </c>
      <c r="J1845">
        <v>0</v>
      </c>
      <c r="K1845">
        <v>0</v>
      </c>
      <c r="L1845">
        <v>0</v>
      </c>
      <c r="M1845">
        <v>1</v>
      </c>
      <c r="N1845">
        <v>10.5</v>
      </c>
      <c r="O1845">
        <v>15.5</v>
      </c>
      <c r="P1845">
        <v>3.4</v>
      </c>
      <c r="Q1845" t="s">
        <v>62</v>
      </c>
    </row>
    <row r="1846" spans="1:17" x14ac:dyDescent="0.3">
      <c r="A1846" t="s">
        <v>2551</v>
      </c>
      <c r="B1846" s="2">
        <v>45909</v>
      </c>
      <c r="C1846" t="s">
        <v>26</v>
      </c>
      <c r="D1846" t="s">
        <v>69</v>
      </c>
      <c r="E1846" t="s">
        <v>37</v>
      </c>
      <c r="F1846" t="s">
        <v>428</v>
      </c>
      <c r="G1846" t="s">
        <v>50</v>
      </c>
      <c r="J1846">
        <v>0</v>
      </c>
      <c r="K1846">
        <v>0</v>
      </c>
      <c r="L1846">
        <v>0</v>
      </c>
      <c r="M1846">
        <v>1</v>
      </c>
      <c r="N1846">
        <v>12</v>
      </c>
      <c r="O1846">
        <v>7.8</v>
      </c>
      <c r="P1846">
        <v>3.8</v>
      </c>
      <c r="Q1846" t="s">
        <v>39</v>
      </c>
    </row>
    <row r="1847" spans="1:17" x14ac:dyDescent="0.3">
      <c r="A1847" t="s">
        <v>2552</v>
      </c>
      <c r="B1847" s="2">
        <v>45996</v>
      </c>
      <c r="C1847" t="s">
        <v>18</v>
      </c>
      <c r="D1847" t="s">
        <v>64</v>
      </c>
      <c r="E1847" t="s">
        <v>48</v>
      </c>
      <c r="F1847" t="s">
        <v>796</v>
      </c>
      <c r="G1847" t="s">
        <v>30</v>
      </c>
      <c r="H1847" t="s">
        <v>66</v>
      </c>
      <c r="I1847" t="s">
        <v>24</v>
      </c>
      <c r="J1847">
        <v>1</v>
      </c>
      <c r="K1847">
        <v>16800</v>
      </c>
      <c r="L1847">
        <v>16800</v>
      </c>
      <c r="N1847">
        <v>3.8</v>
      </c>
      <c r="Q1847" t="s">
        <v>24</v>
      </c>
    </row>
    <row r="1848" spans="1:17" x14ac:dyDescent="0.3">
      <c r="A1848" t="s">
        <v>2553</v>
      </c>
      <c r="B1848" s="2">
        <v>45933</v>
      </c>
      <c r="C1848" t="s">
        <v>18</v>
      </c>
      <c r="D1848" t="s">
        <v>41</v>
      </c>
      <c r="E1848" t="s">
        <v>20</v>
      </c>
      <c r="F1848" t="s">
        <v>398</v>
      </c>
      <c r="G1848" t="s">
        <v>44</v>
      </c>
      <c r="H1848" t="s">
        <v>78</v>
      </c>
      <c r="I1848" t="s">
        <v>67</v>
      </c>
      <c r="J1848">
        <v>1</v>
      </c>
      <c r="K1848">
        <v>18300</v>
      </c>
      <c r="L1848">
        <v>0</v>
      </c>
      <c r="N1848">
        <v>22.5</v>
      </c>
      <c r="Q1848" t="s">
        <v>67</v>
      </c>
    </row>
    <row r="1849" spans="1:17" x14ac:dyDescent="0.3">
      <c r="A1849" t="s">
        <v>2554</v>
      </c>
      <c r="B1849" s="2">
        <v>46053</v>
      </c>
      <c r="C1849" t="s">
        <v>18</v>
      </c>
      <c r="D1849" t="s">
        <v>19</v>
      </c>
      <c r="E1849" t="s">
        <v>20</v>
      </c>
      <c r="F1849" t="s">
        <v>43</v>
      </c>
      <c r="G1849" t="s">
        <v>22</v>
      </c>
      <c r="H1849" t="s">
        <v>78</v>
      </c>
      <c r="I1849" t="s">
        <v>89</v>
      </c>
      <c r="J1849">
        <v>1</v>
      </c>
      <c r="K1849">
        <v>13700</v>
      </c>
      <c r="L1849">
        <v>0</v>
      </c>
      <c r="N1849">
        <v>11.4</v>
      </c>
      <c r="Q1849" t="s">
        <v>89</v>
      </c>
    </row>
    <row r="1850" spans="1:17" x14ac:dyDescent="0.3">
      <c r="A1850" t="s">
        <v>2555</v>
      </c>
      <c r="B1850" s="2">
        <v>46068</v>
      </c>
      <c r="C1850" t="s">
        <v>26</v>
      </c>
      <c r="D1850" t="s">
        <v>72</v>
      </c>
      <c r="E1850" t="s">
        <v>20</v>
      </c>
      <c r="F1850" t="s">
        <v>2556</v>
      </c>
      <c r="G1850" t="s">
        <v>22</v>
      </c>
      <c r="J1850">
        <v>0</v>
      </c>
      <c r="K1850">
        <v>0</v>
      </c>
      <c r="L1850">
        <v>0</v>
      </c>
      <c r="M1850">
        <v>1</v>
      </c>
      <c r="N1850">
        <v>1.3</v>
      </c>
      <c r="O1850">
        <v>11.7</v>
      </c>
      <c r="P1850">
        <v>4.2</v>
      </c>
      <c r="Q1850" t="s">
        <v>62</v>
      </c>
    </row>
    <row r="1851" spans="1:17" x14ac:dyDescent="0.3">
      <c r="A1851" t="s">
        <v>2557</v>
      </c>
      <c r="B1851" s="2">
        <v>46191</v>
      </c>
      <c r="C1851" t="s">
        <v>26</v>
      </c>
      <c r="D1851" t="s">
        <v>232</v>
      </c>
      <c r="E1851" t="s">
        <v>20</v>
      </c>
      <c r="F1851" t="s">
        <v>75</v>
      </c>
      <c r="G1851" t="s">
        <v>50</v>
      </c>
      <c r="J1851">
        <v>0</v>
      </c>
      <c r="K1851">
        <v>0</v>
      </c>
      <c r="L1851">
        <v>0</v>
      </c>
      <c r="M1851">
        <v>1</v>
      </c>
      <c r="N1851">
        <v>8.3000000000000007</v>
      </c>
      <c r="O1851">
        <v>8.9</v>
      </c>
      <c r="P1851">
        <v>3.8</v>
      </c>
      <c r="Q1851" t="s">
        <v>31</v>
      </c>
    </row>
    <row r="1852" spans="1:17" x14ac:dyDescent="0.3">
      <c r="A1852" t="s">
        <v>2558</v>
      </c>
      <c r="B1852" s="2">
        <v>45984</v>
      </c>
      <c r="C1852" t="s">
        <v>18</v>
      </c>
      <c r="D1852" t="s">
        <v>41</v>
      </c>
      <c r="E1852" t="s">
        <v>48</v>
      </c>
      <c r="F1852" t="s">
        <v>382</v>
      </c>
      <c r="G1852" t="s">
        <v>30</v>
      </c>
      <c r="H1852" t="s">
        <v>66</v>
      </c>
      <c r="I1852" t="s">
        <v>45</v>
      </c>
      <c r="J1852">
        <v>1</v>
      </c>
      <c r="K1852">
        <v>9800</v>
      </c>
      <c r="L1852">
        <v>0</v>
      </c>
      <c r="N1852">
        <v>19.5</v>
      </c>
      <c r="Q1852" t="s">
        <v>45</v>
      </c>
    </row>
    <row r="1853" spans="1:17" x14ac:dyDescent="0.3">
      <c r="A1853" t="s">
        <v>2559</v>
      </c>
      <c r="B1853" s="2">
        <v>46213</v>
      </c>
      <c r="C1853" t="s">
        <v>26</v>
      </c>
      <c r="D1853" t="s">
        <v>33</v>
      </c>
      <c r="E1853" t="s">
        <v>42</v>
      </c>
      <c r="F1853" t="s">
        <v>438</v>
      </c>
      <c r="G1853" t="s">
        <v>22</v>
      </c>
      <c r="J1853">
        <v>0</v>
      </c>
      <c r="K1853">
        <v>0</v>
      </c>
      <c r="L1853">
        <v>0</v>
      </c>
      <c r="M1853">
        <v>1</v>
      </c>
      <c r="N1853">
        <v>0.2</v>
      </c>
      <c r="O1853">
        <v>17</v>
      </c>
      <c r="P1853">
        <v>4.4000000000000004</v>
      </c>
      <c r="Q1853" t="s">
        <v>62</v>
      </c>
    </row>
    <row r="1854" spans="1:17" x14ac:dyDescent="0.3">
      <c r="A1854" t="s">
        <v>2560</v>
      </c>
      <c r="B1854" s="2">
        <v>46031</v>
      </c>
      <c r="C1854" t="s">
        <v>26</v>
      </c>
      <c r="D1854" t="s">
        <v>232</v>
      </c>
      <c r="E1854" t="s">
        <v>42</v>
      </c>
      <c r="F1854" t="s">
        <v>495</v>
      </c>
      <c r="G1854" t="s">
        <v>44</v>
      </c>
      <c r="J1854">
        <v>0</v>
      </c>
      <c r="K1854">
        <v>0</v>
      </c>
      <c r="L1854">
        <v>0</v>
      </c>
      <c r="M1854">
        <v>1</v>
      </c>
      <c r="N1854">
        <v>9.8000000000000007</v>
      </c>
      <c r="O1854">
        <v>3.3</v>
      </c>
      <c r="P1854">
        <v>4.4000000000000004</v>
      </c>
      <c r="Q1854" t="s">
        <v>62</v>
      </c>
    </row>
    <row r="1855" spans="1:17" x14ac:dyDescent="0.3">
      <c r="A1855" t="s">
        <v>2561</v>
      </c>
      <c r="B1855" s="2">
        <v>46043</v>
      </c>
      <c r="C1855" t="s">
        <v>26</v>
      </c>
      <c r="D1855" t="s">
        <v>33</v>
      </c>
      <c r="E1855" t="s">
        <v>37</v>
      </c>
      <c r="F1855" t="s">
        <v>2461</v>
      </c>
      <c r="G1855" t="s">
        <v>50</v>
      </c>
      <c r="J1855">
        <v>0</v>
      </c>
      <c r="K1855">
        <v>0</v>
      </c>
      <c r="L1855">
        <v>0</v>
      </c>
      <c r="M1855">
        <v>1</v>
      </c>
      <c r="N1855">
        <v>1.8</v>
      </c>
      <c r="O1855">
        <v>6.6</v>
      </c>
      <c r="P1855">
        <v>3.6</v>
      </c>
      <c r="Q1855" t="s">
        <v>62</v>
      </c>
    </row>
    <row r="1856" spans="1:17" x14ac:dyDescent="0.3">
      <c r="A1856" t="s">
        <v>2562</v>
      </c>
      <c r="B1856" s="2">
        <v>45930</v>
      </c>
      <c r="C1856" t="s">
        <v>26</v>
      </c>
      <c r="D1856" t="s">
        <v>69</v>
      </c>
      <c r="E1856" t="s">
        <v>48</v>
      </c>
      <c r="F1856" t="s">
        <v>203</v>
      </c>
      <c r="G1856" t="s">
        <v>50</v>
      </c>
      <c r="J1856">
        <v>0</v>
      </c>
      <c r="K1856">
        <v>0</v>
      </c>
      <c r="L1856">
        <v>0</v>
      </c>
      <c r="M1856">
        <v>1</v>
      </c>
      <c r="N1856">
        <v>5.8</v>
      </c>
      <c r="O1856">
        <v>17.3</v>
      </c>
      <c r="P1856">
        <v>5</v>
      </c>
      <c r="Q1856" t="s">
        <v>39</v>
      </c>
    </row>
    <row r="1857" spans="1:17" x14ac:dyDescent="0.3">
      <c r="A1857" t="s">
        <v>2563</v>
      </c>
      <c r="B1857" s="2">
        <v>46190</v>
      </c>
      <c r="C1857" t="s">
        <v>18</v>
      </c>
      <c r="D1857" t="s">
        <v>41</v>
      </c>
      <c r="E1857" t="s">
        <v>37</v>
      </c>
      <c r="F1857" t="s">
        <v>1578</v>
      </c>
      <c r="G1857" t="s">
        <v>50</v>
      </c>
      <c r="H1857" t="s">
        <v>86</v>
      </c>
      <c r="I1857" t="s">
        <v>79</v>
      </c>
      <c r="J1857">
        <v>1</v>
      </c>
      <c r="K1857">
        <v>36700</v>
      </c>
      <c r="L1857">
        <v>0</v>
      </c>
      <c r="N1857">
        <v>6</v>
      </c>
      <c r="Q1857" t="s">
        <v>79</v>
      </c>
    </row>
    <row r="1858" spans="1:17" x14ac:dyDescent="0.3">
      <c r="A1858" t="s">
        <v>2564</v>
      </c>
      <c r="B1858" s="2">
        <v>46237</v>
      </c>
      <c r="C1858" t="s">
        <v>26</v>
      </c>
      <c r="D1858" t="s">
        <v>27</v>
      </c>
      <c r="E1858" t="s">
        <v>42</v>
      </c>
      <c r="F1858" t="s">
        <v>268</v>
      </c>
      <c r="G1858" t="s">
        <v>50</v>
      </c>
      <c r="J1858">
        <v>0</v>
      </c>
      <c r="K1858">
        <v>0</v>
      </c>
      <c r="L1858">
        <v>0</v>
      </c>
      <c r="M1858">
        <v>1</v>
      </c>
      <c r="N1858">
        <v>1.7</v>
      </c>
      <c r="O1858">
        <v>9</v>
      </c>
      <c r="P1858">
        <v>4.8</v>
      </c>
      <c r="Q1858" t="s">
        <v>31</v>
      </c>
    </row>
    <row r="1859" spans="1:17" x14ac:dyDescent="0.3">
      <c r="A1859" t="s">
        <v>2565</v>
      </c>
      <c r="B1859" s="2">
        <v>45996</v>
      </c>
      <c r="C1859" t="s">
        <v>18</v>
      </c>
      <c r="D1859" t="s">
        <v>117</v>
      </c>
      <c r="E1859" t="s">
        <v>48</v>
      </c>
      <c r="F1859" t="s">
        <v>2566</v>
      </c>
      <c r="G1859" t="s">
        <v>30</v>
      </c>
      <c r="H1859" t="s">
        <v>78</v>
      </c>
      <c r="I1859" t="s">
        <v>55</v>
      </c>
      <c r="J1859">
        <v>1</v>
      </c>
      <c r="K1859">
        <v>5000</v>
      </c>
      <c r="L1859">
        <v>0</v>
      </c>
      <c r="N1859">
        <v>5.4</v>
      </c>
      <c r="Q1859" t="s">
        <v>55</v>
      </c>
    </row>
    <row r="1860" spans="1:17" x14ac:dyDescent="0.3">
      <c r="A1860" t="s">
        <v>2567</v>
      </c>
      <c r="B1860" s="2">
        <v>46119</v>
      </c>
      <c r="C1860" t="s">
        <v>26</v>
      </c>
      <c r="D1860" t="s">
        <v>33</v>
      </c>
      <c r="E1860" t="s">
        <v>48</v>
      </c>
      <c r="F1860" t="s">
        <v>1273</v>
      </c>
      <c r="G1860" t="s">
        <v>22</v>
      </c>
      <c r="J1860">
        <v>0</v>
      </c>
      <c r="K1860">
        <v>0</v>
      </c>
      <c r="L1860">
        <v>0</v>
      </c>
      <c r="M1860">
        <v>1</v>
      </c>
      <c r="N1860">
        <v>4.8</v>
      </c>
      <c r="O1860">
        <v>8.3000000000000007</v>
      </c>
      <c r="P1860">
        <v>4.4000000000000004</v>
      </c>
      <c r="Q1860" t="s">
        <v>39</v>
      </c>
    </row>
    <row r="1861" spans="1:17" x14ac:dyDescent="0.3">
      <c r="A1861" t="s">
        <v>2568</v>
      </c>
      <c r="B1861" s="2">
        <v>46182</v>
      </c>
      <c r="C1861" t="s">
        <v>26</v>
      </c>
      <c r="D1861" t="s">
        <v>33</v>
      </c>
      <c r="E1861" t="s">
        <v>20</v>
      </c>
      <c r="F1861" t="s">
        <v>2401</v>
      </c>
      <c r="G1861" t="s">
        <v>30</v>
      </c>
      <c r="J1861">
        <v>0</v>
      </c>
      <c r="K1861">
        <v>0</v>
      </c>
      <c r="L1861">
        <v>0</v>
      </c>
      <c r="M1861">
        <v>1</v>
      </c>
      <c r="N1861">
        <v>6.4</v>
      </c>
      <c r="O1861">
        <v>9.8000000000000007</v>
      </c>
      <c r="P1861">
        <v>4.7</v>
      </c>
      <c r="Q1861" t="s">
        <v>31</v>
      </c>
    </row>
    <row r="1862" spans="1:17" x14ac:dyDescent="0.3">
      <c r="A1862" t="s">
        <v>2569</v>
      </c>
      <c r="B1862" s="2">
        <v>46224</v>
      </c>
      <c r="C1862" t="s">
        <v>26</v>
      </c>
      <c r="D1862" t="s">
        <v>72</v>
      </c>
      <c r="E1862" t="s">
        <v>20</v>
      </c>
      <c r="F1862" t="s">
        <v>1129</v>
      </c>
      <c r="G1862" t="s">
        <v>22</v>
      </c>
      <c r="J1862">
        <v>0</v>
      </c>
      <c r="K1862">
        <v>0</v>
      </c>
      <c r="L1862">
        <v>0</v>
      </c>
      <c r="M1862">
        <v>1</v>
      </c>
      <c r="N1862">
        <v>9.6999999999999993</v>
      </c>
      <c r="O1862">
        <v>8.9</v>
      </c>
      <c r="P1862">
        <v>4.5999999999999996</v>
      </c>
      <c r="Q1862" t="s">
        <v>31</v>
      </c>
    </row>
    <row r="1863" spans="1:17" x14ac:dyDescent="0.3">
      <c r="A1863" t="s">
        <v>2570</v>
      </c>
      <c r="B1863" s="2">
        <v>45901</v>
      </c>
      <c r="C1863" t="s">
        <v>26</v>
      </c>
      <c r="D1863" t="s">
        <v>232</v>
      </c>
      <c r="E1863" t="s">
        <v>20</v>
      </c>
      <c r="F1863" t="s">
        <v>467</v>
      </c>
      <c r="G1863" t="s">
        <v>44</v>
      </c>
      <c r="J1863">
        <v>0</v>
      </c>
      <c r="K1863">
        <v>0</v>
      </c>
      <c r="L1863">
        <v>0</v>
      </c>
      <c r="M1863">
        <v>1</v>
      </c>
      <c r="N1863">
        <v>0.4</v>
      </c>
      <c r="O1863">
        <v>23.2</v>
      </c>
      <c r="P1863">
        <v>4.0999999999999996</v>
      </c>
      <c r="Q1863" t="s">
        <v>39</v>
      </c>
    </row>
    <row r="1864" spans="1:17" x14ac:dyDescent="0.3">
      <c r="A1864" t="s">
        <v>2571</v>
      </c>
      <c r="B1864" s="2">
        <v>46113</v>
      </c>
      <c r="C1864" t="s">
        <v>18</v>
      </c>
      <c r="D1864" t="s">
        <v>117</v>
      </c>
      <c r="E1864" t="s">
        <v>37</v>
      </c>
      <c r="F1864" t="s">
        <v>1392</v>
      </c>
      <c r="G1864" t="s">
        <v>22</v>
      </c>
      <c r="H1864" t="s">
        <v>86</v>
      </c>
      <c r="I1864" t="s">
        <v>79</v>
      </c>
      <c r="J1864">
        <v>1</v>
      </c>
      <c r="K1864">
        <v>34700</v>
      </c>
      <c r="L1864">
        <v>0</v>
      </c>
      <c r="N1864">
        <v>12.2</v>
      </c>
      <c r="Q1864" t="s">
        <v>79</v>
      </c>
    </row>
    <row r="1865" spans="1:17" x14ac:dyDescent="0.3">
      <c r="A1865" t="s">
        <v>2572</v>
      </c>
      <c r="B1865" s="2">
        <v>46161</v>
      </c>
      <c r="C1865" t="s">
        <v>18</v>
      </c>
      <c r="D1865" t="s">
        <v>95</v>
      </c>
      <c r="E1865" t="s">
        <v>28</v>
      </c>
      <c r="F1865" t="s">
        <v>1135</v>
      </c>
      <c r="G1865" t="s">
        <v>22</v>
      </c>
      <c r="H1865" t="s">
        <v>23</v>
      </c>
      <c r="I1865" t="s">
        <v>24</v>
      </c>
      <c r="J1865">
        <v>1</v>
      </c>
      <c r="K1865">
        <v>16100</v>
      </c>
      <c r="L1865">
        <v>16100</v>
      </c>
      <c r="N1865">
        <v>18.8</v>
      </c>
      <c r="Q1865" t="s">
        <v>24</v>
      </c>
    </row>
    <row r="1866" spans="1:17" x14ac:dyDescent="0.3">
      <c r="A1866" t="s">
        <v>2573</v>
      </c>
      <c r="B1866" s="2">
        <v>45925</v>
      </c>
      <c r="C1866" t="s">
        <v>26</v>
      </c>
      <c r="D1866" t="s">
        <v>232</v>
      </c>
      <c r="E1866" t="s">
        <v>37</v>
      </c>
      <c r="F1866" t="s">
        <v>233</v>
      </c>
      <c r="G1866" t="s">
        <v>44</v>
      </c>
      <c r="J1866">
        <v>0</v>
      </c>
      <c r="K1866">
        <v>0</v>
      </c>
      <c r="L1866">
        <v>0</v>
      </c>
      <c r="M1866">
        <v>1</v>
      </c>
      <c r="N1866">
        <v>3</v>
      </c>
      <c r="O1866">
        <v>21.9</v>
      </c>
      <c r="P1866">
        <v>3.9</v>
      </c>
      <c r="Q1866" t="s">
        <v>31</v>
      </c>
    </row>
    <row r="1867" spans="1:17" x14ac:dyDescent="0.3">
      <c r="A1867" t="s">
        <v>2574</v>
      </c>
      <c r="B1867" s="2">
        <v>45911</v>
      </c>
      <c r="C1867" t="s">
        <v>26</v>
      </c>
      <c r="D1867" t="s">
        <v>114</v>
      </c>
      <c r="E1867" t="s">
        <v>20</v>
      </c>
      <c r="F1867" t="s">
        <v>288</v>
      </c>
      <c r="G1867" t="s">
        <v>30</v>
      </c>
      <c r="J1867">
        <v>0</v>
      </c>
      <c r="K1867">
        <v>0</v>
      </c>
      <c r="L1867">
        <v>0</v>
      </c>
      <c r="M1867">
        <v>1</v>
      </c>
      <c r="N1867">
        <v>9.1</v>
      </c>
      <c r="O1867">
        <v>4.2</v>
      </c>
      <c r="P1867">
        <v>5</v>
      </c>
      <c r="Q1867" t="s">
        <v>39</v>
      </c>
    </row>
    <row r="1868" spans="1:17" x14ac:dyDescent="0.3">
      <c r="A1868" t="s">
        <v>2575</v>
      </c>
      <c r="B1868" s="2">
        <v>46002</v>
      </c>
      <c r="C1868" t="s">
        <v>18</v>
      </c>
      <c r="D1868" t="s">
        <v>95</v>
      </c>
      <c r="E1868" t="s">
        <v>48</v>
      </c>
      <c r="F1868" t="s">
        <v>710</v>
      </c>
      <c r="G1868" t="s">
        <v>22</v>
      </c>
      <c r="H1868" t="s">
        <v>23</v>
      </c>
      <c r="I1868" t="s">
        <v>67</v>
      </c>
      <c r="J1868">
        <v>1</v>
      </c>
      <c r="K1868">
        <v>5000</v>
      </c>
      <c r="L1868">
        <v>0</v>
      </c>
      <c r="N1868">
        <v>15.7</v>
      </c>
      <c r="Q1868" t="s">
        <v>67</v>
      </c>
    </row>
    <row r="1869" spans="1:17" x14ac:dyDescent="0.3">
      <c r="A1869" t="s">
        <v>2576</v>
      </c>
      <c r="B1869" s="2">
        <v>45994</v>
      </c>
      <c r="C1869" t="s">
        <v>18</v>
      </c>
      <c r="D1869" t="s">
        <v>117</v>
      </c>
      <c r="E1869" t="s">
        <v>37</v>
      </c>
      <c r="F1869" t="s">
        <v>917</v>
      </c>
      <c r="G1869" t="s">
        <v>30</v>
      </c>
      <c r="H1869" t="s">
        <v>23</v>
      </c>
      <c r="I1869" t="s">
        <v>67</v>
      </c>
      <c r="J1869">
        <v>1</v>
      </c>
      <c r="K1869">
        <v>7500</v>
      </c>
      <c r="L1869">
        <v>0</v>
      </c>
      <c r="N1869">
        <v>8.3000000000000007</v>
      </c>
      <c r="Q1869" t="s">
        <v>67</v>
      </c>
    </row>
    <row r="1870" spans="1:17" x14ac:dyDescent="0.3">
      <c r="A1870" t="s">
        <v>2577</v>
      </c>
      <c r="B1870" s="2">
        <v>46115</v>
      </c>
      <c r="C1870" t="s">
        <v>18</v>
      </c>
      <c r="D1870" t="s">
        <v>95</v>
      </c>
      <c r="E1870" t="s">
        <v>20</v>
      </c>
      <c r="F1870" t="s">
        <v>896</v>
      </c>
      <c r="G1870" t="s">
        <v>22</v>
      </c>
      <c r="H1870" t="s">
        <v>23</v>
      </c>
      <c r="I1870" t="s">
        <v>24</v>
      </c>
      <c r="J1870">
        <v>1</v>
      </c>
      <c r="K1870">
        <v>28600</v>
      </c>
      <c r="L1870">
        <v>28600</v>
      </c>
      <c r="N1870">
        <v>4</v>
      </c>
      <c r="Q1870" t="s">
        <v>24</v>
      </c>
    </row>
    <row r="1871" spans="1:17" x14ac:dyDescent="0.3">
      <c r="A1871" t="s">
        <v>2578</v>
      </c>
      <c r="B1871" s="2">
        <v>46201</v>
      </c>
      <c r="C1871" t="s">
        <v>26</v>
      </c>
      <c r="D1871" t="s">
        <v>27</v>
      </c>
      <c r="E1871" t="s">
        <v>20</v>
      </c>
      <c r="F1871" t="s">
        <v>785</v>
      </c>
      <c r="G1871" t="s">
        <v>22</v>
      </c>
      <c r="J1871">
        <v>0</v>
      </c>
      <c r="K1871">
        <v>0</v>
      </c>
      <c r="L1871">
        <v>0</v>
      </c>
      <c r="M1871">
        <v>1</v>
      </c>
      <c r="N1871">
        <v>10.5</v>
      </c>
      <c r="O1871">
        <v>4.9000000000000004</v>
      </c>
      <c r="P1871">
        <v>3.1</v>
      </c>
      <c r="Q1871" t="s">
        <v>225</v>
      </c>
    </row>
    <row r="1872" spans="1:17" x14ac:dyDescent="0.3">
      <c r="A1872" t="s">
        <v>2579</v>
      </c>
      <c r="B1872" s="2">
        <v>46130</v>
      </c>
      <c r="C1872" t="s">
        <v>26</v>
      </c>
      <c r="D1872" t="s">
        <v>33</v>
      </c>
      <c r="E1872" t="s">
        <v>28</v>
      </c>
      <c r="F1872" t="s">
        <v>108</v>
      </c>
      <c r="G1872" t="s">
        <v>44</v>
      </c>
      <c r="J1872">
        <v>0</v>
      </c>
      <c r="K1872">
        <v>0</v>
      </c>
      <c r="L1872">
        <v>0</v>
      </c>
      <c r="M1872">
        <v>1</v>
      </c>
      <c r="N1872">
        <v>0.8</v>
      </c>
      <c r="O1872">
        <v>7.3</v>
      </c>
      <c r="P1872">
        <v>4.8</v>
      </c>
      <c r="Q1872" t="s">
        <v>39</v>
      </c>
    </row>
    <row r="1873" spans="1:17" x14ac:dyDescent="0.3">
      <c r="A1873" t="s">
        <v>2580</v>
      </c>
      <c r="B1873" s="2">
        <v>46179</v>
      </c>
      <c r="C1873" t="s">
        <v>18</v>
      </c>
      <c r="D1873" t="s">
        <v>47</v>
      </c>
      <c r="E1873" t="s">
        <v>28</v>
      </c>
      <c r="F1873" t="s">
        <v>1893</v>
      </c>
      <c r="G1873" t="s">
        <v>50</v>
      </c>
      <c r="H1873" t="s">
        <v>78</v>
      </c>
      <c r="I1873" t="s">
        <v>89</v>
      </c>
      <c r="J1873">
        <v>1</v>
      </c>
      <c r="K1873">
        <v>42200</v>
      </c>
      <c r="L1873">
        <v>0</v>
      </c>
      <c r="N1873">
        <v>18.399999999999999</v>
      </c>
      <c r="Q1873" t="s">
        <v>89</v>
      </c>
    </row>
    <row r="1874" spans="1:17" x14ac:dyDescent="0.3">
      <c r="A1874" t="s">
        <v>2581</v>
      </c>
      <c r="B1874" s="2">
        <v>46053</v>
      </c>
      <c r="C1874" t="s">
        <v>18</v>
      </c>
      <c r="D1874" t="s">
        <v>117</v>
      </c>
      <c r="E1874" t="s">
        <v>48</v>
      </c>
      <c r="F1874" t="s">
        <v>1701</v>
      </c>
      <c r="G1874" t="s">
        <v>30</v>
      </c>
      <c r="H1874" t="s">
        <v>23</v>
      </c>
      <c r="I1874" t="s">
        <v>67</v>
      </c>
      <c r="J1874">
        <v>1</v>
      </c>
      <c r="K1874">
        <v>14300</v>
      </c>
      <c r="L1874">
        <v>0</v>
      </c>
      <c r="N1874">
        <v>15.2</v>
      </c>
      <c r="Q1874" t="s">
        <v>67</v>
      </c>
    </row>
    <row r="1875" spans="1:17" x14ac:dyDescent="0.3">
      <c r="A1875" t="s">
        <v>2582</v>
      </c>
      <c r="B1875" s="2">
        <v>45929</v>
      </c>
      <c r="C1875" t="s">
        <v>26</v>
      </c>
      <c r="D1875" t="s">
        <v>36</v>
      </c>
      <c r="E1875" t="s">
        <v>42</v>
      </c>
      <c r="F1875" t="s">
        <v>971</v>
      </c>
      <c r="G1875" t="s">
        <v>44</v>
      </c>
      <c r="J1875">
        <v>0</v>
      </c>
      <c r="K1875">
        <v>0</v>
      </c>
      <c r="L1875">
        <v>0</v>
      </c>
      <c r="M1875">
        <v>1</v>
      </c>
      <c r="N1875">
        <v>1.5</v>
      </c>
      <c r="O1875">
        <v>9.6999999999999993</v>
      </c>
      <c r="P1875">
        <v>4.3</v>
      </c>
      <c r="Q1875" t="s">
        <v>39</v>
      </c>
    </row>
    <row r="1876" spans="1:17" x14ac:dyDescent="0.3">
      <c r="A1876" t="s">
        <v>2583</v>
      </c>
      <c r="B1876" s="2">
        <v>46003</v>
      </c>
      <c r="C1876" t="s">
        <v>26</v>
      </c>
      <c r="D1876" t="s">
        <v>36</v>
      </c>
      <c r="E1876" t="s">
        <v>48</v>
      </c>
      <c r="F1876" t="s">
        <v>21</v>
      </c>
      <c r="G1876" t="s">
        <v>22</v>
      </c>
      <c r="J1876">
        <v>0</v>
      </c>
      <c r="K1876">
        <v>0</v>
      </c>
      <c r="L1876">
        <v>0</v>
      </c>
      <c r="M1876">
        <v>1</v>
      </c>
      <c r="N1876">
        <v>3.5</v>
      </c>
      <c r="O1876">
        <v>6.3</v>
      </c>
      <c r="P1876">
        <v>4.2</v>
      </c>
      <c r="Q1876" t="s">
        <v>39</v>
      </c>
    </row>
    <row r="1877" spans="1:17" x14ac:dyDescent="0.3">
      <c r="A1877" t="s">
        <v>2584</v>
      </c>
      <c r="B1877" s="2">
        <v>46054</v>
      </c>
      <c r="C1877" t="s">
        <v>18</v>
      </c>
      <c r="D1877" t="s">
        <v>64</v>
      </c>
      <c r="E1877" t="s">
        <v>42</v>
      </c>
      <c r="F1877" t="s">
        <v>534</v>
      </c>
      <c r="G1877" t="s">
        <v>30</v>
      </c>
      <c r="H1877" t="s">
        <v>54</v>
      </c>
      <c r="I1877" t="s">
        <v>89</v>
      </c>
      <c r="J1877">
        <v>1</v>
      </c>
      <c r="K1877">
        <v>38300</v>
      </c>
      <c r="L1877">
        <v>0</v>
      </c>
      <c r="N1877">
        <v>12.6</v>
      </c>
      <c r="Q1877" t="s">
        <v>89</v>
      </c>
    </row>
    <row r="1878" spans="1:17" x14ac:dyDescent="0.3">
      <c r="A1878" t="s">
        <v>2585</v>
      </c>
      <c r="B1878" s="2">
        <v>46166</v>
      </c>
      <c r="C1878" t="s">
        <v>26</v>
      </c>
      <c r="D1878" t="s">
        <v>69</v>
      </c>
      <c r="E1878" t="s">
        <v>20</v>
      </c>
      <c r="F1878" t="s">
        <v>838</v>
      </c>
      <c r="G1878" t="s">
        <v>50</v>
      </c>
      <c r="J1878">
        <v>0</v>
      </c>
      <c r="K1878">
        <v>0</v>
      </c>
      <c r="L1878">
        <v>0</v>
      </c>
      <c r="M1878">
        <v>1</v>
      </c>
      <c r="N1878">
        <v>8.9</v>
      </c>
      <c r="O1878">
        <v>9.6</v>
      </c>
      <c r="P1878">
        <v>4.5999999999999996</v>
      </c>
      <c r="Q1878" t="s">
        <v>62</v>
      </c>
    </row>
    <row r="1879" spans="1:17" x14ac:dyDescent="0.3">
      <c r="A1879" t="s">
        <v>2586</v>
      </c>
      <c r="B1879" s="2">
        <v>46016</v>
      </c>
      <c r="C1879" t="s">
        <v>18</v>
      </c>
      <c r="D1879" t="s">
        <v>117</v>
      </c>
      <c r="E1879" t="s">
        <v>20</v>
      </c>
      <c r="F1879" t="s">
        <v>1210</v>
      </c>
      <c r="G1879" t="s">
        <v>22</v>
      </c>
      <c r="H1879" t="s">
        <v>78</v>
      </c>
      <c r="I1879" t="s">
        <v>67</v>
      </c>
      <c r="J1879">
        <v>1</v>
      </c>
      <c r="K1879">
        <v>17600</v>
      </c>
      <c r="L1879">
        <v>0</v>
      </c>
      <c r="N1879">
        <v>4.9000000000000004</v>
      </c>
      <c r="Q1879" t="s">
        <v>67</v>
      </c>
    </row>
    <row r="1880" spans="1:17" x14ac:dyDescent="0.3">
      <c r="A1880" t="s">
        <v>2587</v>
      </c>
      <c r="B1880" s="2">
        <v>46067</v>
      </c>
      <c r="C1880" t="s">
        <v>18</v>
      </c>
      <c r="D1880" t="s">
        <v>105</v>
      </c>
      <c r="E1880" t="s">
        <v>20</v>
      </c>
      <c r="F1880" t="s">
        <v>260</v>
      </c>
      <c r="G1880" t="s">
        <v>50</v>
      </c>
      <c r="H1880" t="s">
        <v>78</v>
      </c>
      <c r="I1880" t="s">
        <v>24</v>
      </c>
      <c r="J1880">
        <v>1</v>
      </c>
      <c r="K1880">
        <v>35000</v>
      </c>
      <c r="L1880">
        <v>35000</v>
      </c>
      <c r="N1880">
        <v>4.5999999999999996</v>
      </c>
      <c r="Q1880" t="s">
        <v>24</v>
      </c>
    </row>
    <row r="1881" spans="1:17" x14ac:dyDescent="0.3">
      <c r="A1881" t="s">
        <v>2588</v>
      </c>
      <c r="B1881" s="2">
        <v>45953</v>
      </c>
      <c r="C1881" t="s">
        <v>26</v>
      </c>
      <c r="D1881" t="s">
        <v>232</v>
      </c>
      <c r="E1881" t="s">
        <v>48</v>
      </c>
      <c r="F1881" t="s">
        <v>781</v>
      </c>
      <c r="G1881" t="s">
        <v>30</v>
      </c>
      <c r="J1881">
        <v>0</v>
      </c>
      <c r="K1881">
        <v>0</v>
      </c>
      <c r="L1881">
        <v>0</v>
      </c>
      <c r="M1881">
        <v>1</v>
      </c>
      <c r="N1881">
        <v>7.9</v>
      </c>
      <c r="O1881">
        <v>4.7</v>
      </c>
      <c r="P1881">
        <v>5</v>
      </c>
      <c r="Q1881" t="s">
        <v>39</v>
      </c>
    </row>
    <row r="1882" spans="1:17" x14ac:dyDescent="0.3">
      <c r="A1882" t="s">
        <v>2589</v>
      </c>
      <c r="B1882" s="2">
        <v>45936</v>
      </c>
      <c r="C1882" t="s">
        <v>26</v>
      </c>
      <c r="D1882" t="s">
        <v>114</v>
      </c>
      <c r="E1882" t="s">
        <v>28</v>
      </c>
      <c r="F1882" t="s">
        <v>1127</v>
      </c>
      <c r="G1882" t="s">
        <v>22</v>
      </c>
      <c r="J1882">
        <v>0</v>
      </c>
      <c r="K1882">
        <v>0</v>
      </c>
      <c r="L1882">
        <v>0</v>
      </c>
      <c r="M1882">
        <v>1</v>
      </c>
      <c r="N1882">
        <v>8.1</v>
      </c>
      <c r="O1882">
        <v>14.1</v>
      </c>
      <c r="P1882">
        <v>3.8</v>
      </c>
      <c r="Q1882" t="s">
        <v>39</v>
      </c>
    </row>
    <row r="1883" spans="1:17" x14ac:dyDescent="0.3">
      <c r="A1883" t="s">
        <v>2590</v>
      </c>
      <c r="B1883" s="2">
        <v>46227</v>
      </c>
      <c r="C1883" t="s">
        <v>26</v>
      </c>
      <c r="D1883" t="s">
        <v>33</v>
      </c>
      <c r="E1883" t="s">
        <v>37</v>
      </c>
      <c r="F1883" t="s">
        <v>978</v>
      </c>
      <c r="G1883" t="s">
        <v>22</v>
      </c>
      <c r="J1883">
        <v>0</v>
      </c>
      <c r="K1883">
        <v>0</v>
      </c>
      <c r="L1883">
        <v>0</v>
      </c>
      <c r="M1883">
        <v>1</v>
      </c>
      <c r="N1883">
        <v>6.6</v>
      </c>
      <c r="O1883">
        <v>3.7</v>
      </c>
      <c r="P1883">
        <v>3.3</v>
      </c>
      <c r="Q1883" t="s">
        <v>39</v>
      </c>
    </row>
    <row r="1884" spans="1:17" x14ac:dyDescent="0.3">
      <c r="A1884" t="s">
        <v>2591</v>
      </c>
      <c r="B1884" s="2">
        <v>46215</v>
      </c>
      <c r="C1884" t="s">
        <v>26</v>
      </c>
      <c r="D1884" t="s">
        <v>36</v>
      </c>
      <c r="E1884" t="s">
        <v>37</v>
      </c>
      <c r="F1884" t="s">
        <v>120</v>
      </c>
      <c r="G1884" t="s">
        <v>22</v>
      </c>
      <c r="J1884">
        <v>0</v>
      </c>
      <c r="K1884">
        <v>0</v>
      </c>
      <c r="L1884">
        <v>0</v>
      </c>
      <c r="M1884">
        <v>1</v>
      </c>
      <c r="N1884">
        <v>2</v>
      </c>
      <c r="O1884">
        <v>10.199999999999999</v>
      </c>
      <c r="P1884">
        <v>4.9000000000000004</v>
      </c>
      <c r="Q1884" t="s">
        <v>39</v>
      </c>
    </row>
    <row r="1885" spans="1:17" x14ac:dyDescent="0.3">
      <c r="A1885" t="s">
        <v>2592</v>
      </c>
      <c r="B1885" s="2">
        <v>46166</v>
      </c>
      <c r="C1885" t="s">
        <v>26</v>
      </c>
      <c r="D1885" t="s">
        <v>69</v>
      </c>
      <c r="E1885" t="s">
        <v>48</v>
      </c>
      <c r="F1885" t="s">
        <v>641</v>
      </c>
      <c r="G1885" t="s">
        <v>30</v>
      </c>
      <c r="J1885">
        <v>0</v>
      </c>
      <c r="K1885">
        <v>0</v>
      </c>
      <c r="L1885">
        <v>0</v>
      </c>
      <c r="M1885">
        <v>1</v>
      </c>
      <c r="N1885">
        <v>11.4</v>
      </c>
      <c r="O1885">
        <v>6.2</v>
      </c>
      <c r="P1885">
        <v>3.8</v>
      </c>
      <c r="Q1885" t="s">
        <v>39</v>
      </c>
    </row>
    <row r="1886" spans="1:17" x14ac:dyDescent="0.3">
      <c r="A1886" t="s">
        <v>2593</v>
      </c>
      <c r="B1886" s="2">
        <v>46262</v>
      </c>
      <c r="C1886" t="s">
        <v>18</v>
      </c>
      <c r="D1886" t="s">
        <v>105</v>
      </c>
      <c r="E1886" t="s">
        <v>20</v>
      </c>
      <c r="F1886" t="s">
        <v>978</v>
      </c>
      <c r="G1886" t="s">
        <v>22</v>
      </c>
      <c r="H1886" t="s">
        <v>86</v>
      </c>
      <c r="I1886" t="s">
        <v>67</v>
      </c>
      <c r="J1886">
        <v>1</v>
      </c>
      <c r="K1886">
        <v>29400</v>
      </c>
      <c r="L1886">
        <v>0</v>
      </c>
      <c r="N1886">
        <v>16.2</v>
      </c>
      <c r="Q1886" t="s">
        <v>67</v>
      </c>
    </row>
    <row r="1887" spans="1:17" x14ac:dyDescent="0.3">
      <c r="A1887" t="s">
        <v>2594</v>
      </c>
      <c r="B1887" s="2">
        <v>46205</v>
      </c>
      <c r="C1887" t="s">
        <v>18</v>
      </c>
      <c r="D1887" t="s">
        <v>117</v>
      </c>
      <c r="E1887" t="s">
        <v>20</v>
      </c>
      <c r="F1887" t="s">
        <v>286</v>
      </c>
      <c r="G1887" t="s">
        <v>44</v>
      </c>
      <c r="H1887" t="s">
        <v>86</v>
      </c>
      <c r="I1887" t="s">
        <v>24</v>
      </c>
      <c r="J1887">
        <v>1</v>
      </c>
      <c r="K1887">
        <v>5000</v>
      </c>
      <c r="L1887">
        <v>5000</v>
      </c>
      <c r="N1887">
        <v>4.5999999999999996</v>
      </c>
      <c r="Q1887" t="s">
        <v>24</v>
      </c>
    </row>
    <row r="1888" spans="1:17" x14ac:dyDescent="0.3">
      <c r="A1888" t="s">
        <v>2595</v>
      </c>
      <c r="B1888" s="2">
        <v>45993</v>
      </c>
      <c r="C1888" t="s">
        <v>18</v>
      </c>
      <c r="D1888" t="s">
        <v>105</v>
      </c>
      <c r="E1888" t="s">
        <v>48</v>
      </c>
      <c r="F1888" t="s">
        <v>681</v>
      </c>
      <c r="G1888" t="s">
        <v>50</v>
      </c>
      <c r="H1888" t="s">
        <v>23</v>
      </c>
      <c r="I1888" t="s">
        <v>55</v>
      </c>
      <c r="J1888">
        <v>1</v>
      </c>
      <c r="K1888">
        <v>16500</v>
      </c>
      <c r="L1888">
        <v>0</v>
      </c>
      <c r="N1888">
        <v>14.3</v>
      </c>
      <c r="Q1888" t="s">
        <v>55</v>
      </c>
    </row>
    <row r="1889" spans="1:17" x14ac:dyDescent="0.3">
      <c r="A1889" t="s">
        <v>2596</v>
      </c>
      <c r="B1889" s="2">
        <v>46151</v>
      </c>
      <c r="C1889" t="s">
        <v>18</v>
      </c>
      <c r="D1889" t="s">
        <v>105</v>
      </c>
      <c r="E1889" t="s">
        <v>20</v>
      </c>
      <c r="F1889" t="s">
        <v>1977</v>
      </c>
      <c r="G1889" t="s">
        <v>30</v>
      </c>
      <c r="H1889" t="s">
        <v>23</v>
      </c>
      <c r="I1889" t="s">
        <v>55</v>
      </c>
      <c r="J1889">
        <v>1</v>
      </c>
      <c r="K1889">
        <v>16600</v>
      </c>
      <c r="L1889">
        <v>0</v>
      </c>
      <c r="N1889">
        <v>12</v>
      </c>
      <c r="Q1889" t="s">
        <v>55</v>
      </c>
    </row>
    <row r="1890" spans="1:17" x14ac:dyDescent="0.3">
      <c r="A1890" t="s">
        <v>2597</v>
      </c>
      <c r="B1890" s="2">
        <v>46109</v>
      </c>
      <c r="C1890" t="s">
        <v>26</v>
      </c>
      <c r="D1890" t="s">
        <v>232</v>
      </c>
      <c r="E1890" t="s">
        <v>20</v>
      </c>
      <c r="F1890" t="s">
        <v>681</v>
      </c>
      <c r="G1890" t="s">
        <v>22</v>
      </c>
      <c r="J1890">
        <v>0</v>
      </c>
      <c r="K1890">
        <v>0</v>
      </c>
      <c r="L1890">
        <v>0</v>
      </c>
      <c r="M1890">
        <v>1</v>
      </c>
      <c r="N1890">
        <v>8.1</v>
      </c>
      <c r="O1890">
        <v>4</v>
      </c>
      <c r="P1890">
        <v>2.8</v>
      </c>
      <c r="Q1890" t="s">
        <v>39</v>
      </c>
    </row>
    <row r="1891" spans="1:17" x14ac:dyDescent="0.3">
      <c r="A1891" t="s">
        <v>2598</v>
      </c>
      <c r="B1891" s="2">
        <v>45960</v>
      </c>
      <c r="C1891" t="s">
        <v>26</v>
      </c>
      <c r="D1891" t="s">
        <v>114</v>
      </c>
      <c r="E1891" t="s">
        <v>37</v>
      </c>
      <c r="F1891" t="s">
        <v>716</v>
      </c>
      <c r="G1891" t="s">
        <v>30</v>
      </c>
      <c r="J1891">
        <v>0</v>
      </c>
      <c r="K1891">
        <v>0</v>
      </c>
      <c r="L1891">
        <v>0</v>
      </c>
      <c r="M1891">
        <v>1</v>
      </c>
      <c r="N1891">
        <v>8</v>
      </c>
      <c r="O1891">
        <v>9.5</v>
      </c>
      <c r="P1891">
        <v>2.8</v>
      </c>
      <c r="Q1891" t="s">
        <v>31</v>
      </c>
    </row>
    <row r="1892" spans="1:17" x14ac:dyDescent="0.3">
      <c r="A1892" t="s">
        <v>2599</v>
      </c>
      <c r="B1892" s="2">
        <v>46207</v>
      </c>
      <c r="C1892" t="s">
        <v>18</v>
      </c>
      <c r="D1892" t="s">
        <v>105</v>
      </c>
      <c r="E1892" t="s">
        <v>20</v>
      </c>
      <c r="F1892" t="s">
        <v>1123</v>
      </c>
      <c r="G1892" t="s">
        <v>44</v>
      </c>
      <c r="H1892" t="s">
        <v>78</v>
      </c>
      <c r="I1892" t="s">
        <v>89</v>
      </c>
      <c r="J1892">
        <v>1</v>
      </c>
      <c r="K1892">
        <v>5000</v>
      </c>
      <c r="L1892">
        <v>0</v>
      </c>
      <c r="N1892">
        <v>6</v>
      </c>
      <c r="Q1892" t="s">
        <v>89</v>
      </c>
    </row>
    <row r="1893" spans="1:17" x14ac:dyDescent="0.3">
      <c r="A1893" t="s">
        <v>2600</v>
      </c>
      <c r="B1893" s="2">
        <v>45957</v>
      </c>
      <c r="C1893" t="s">
        <v>18</v>
      </c>
      <c r="D1893" t="s">
        <v>52</v>
      </c>
      <c r="E1893" t="s">
        <v>20</v>
      </c>
      <c r="F1893" t="s">
        <v>1302</v>
      </c>
      <c r="G1893" t="s">
        <v>30</v>
      </c>
      <c r="H1893" t="s">
        <v>78</v>
      </c>
      <c r="I1893" t="s">
        <v>79</v>
      </c>
      <c r="J1893">
        <v>1</v>
      </c>
      <c r="K1893">
        <v>10300</v>
      </c>
      <c r="L1893">
        <v>0</v>
      </c>
      <c r="N1893">
        <v>20.7</v>
      </c>
      <c r="Q1893" t="s">
        <v>79</v>
      </c>
    </row>
    <row r="1894" spans="1:17" x14ac:dyDescent="0.3">
      <c r="A1894" t="s">
        <v>2601</v>
      </c>
      <c r="B1894" s="2">
        <v>46084</v>
      </c>
      <c r="C1894" t="s">
        <v>26</v>
      </c>
      <c r="D1894" t="s">
        <v>27</v>
      </c>
      <c r="E1894" t="s">
        <v>20</v>
      </c>
      <c r="F1894" t="s">
        <v>34</v>
      </c>
      <c r="G1894" t="s">
        <v>30</v>
      </c>
      <c r="J1894">
        <v>0</v>
      </c>
      <c r="K1894">
        <v>0</v>
      </c>
      <c r="L1894">
        <v>0</v>
      </c>
      <c r="M1894">
        <v>1</v>
      </c>
      <c r="N1894">
        <v>10.6</v>
      </c>
      <c r="O1894">
        <v>11</v>
      </c>
      <c r="P1894">
        <v>3.1</v>
      </c>
      <c r="Q1894" t="s">
        <v>39</v>
      </c>
    </row>
    <row r="1895" spans="1:17" x14ac:dyDescent="0.3">
      <c r="A1895" t="s">
        <v>2602</v>
      </c>
      <c r="B1895" s="2">
        <v>46099</v>
      </c>
      <c r="C1895" t="s">
        <v>18</v>
      </c>
      <c r="D1895" t="s">
        <v>47</v>
      </c>
      <c r="E1895" t="s">
        <v>20</v>
      </c>
      <c r="F1895" t="s">
        <v>2603</v>
      </c>
      <c r="G1895" t="s">
        <v>30</v>
      </c>
      <c r="H1895" t="s">
        <v>66</v>
      </c>
      <c r="I1895" t="s">
        <v>24</v>
      </c>
      <c r="J1895">
        <v>1</v>
      </c>
      <c r="K1895">
        <v>51800</v>
      </c>
      <c r="L1895">
        <v>51800</v>
      </c>
      <c r="N1895">
        <v>22.7</v>
      </c>
      <c r="Q1895" t="s">
        <v>24</v>
      </c>
    </row>
    <row r="1896" spans="1:17" x14ac:dyDescent="0.3">
      <c r="A1896" t="s">
        <v>2604</v>
      </c>
      <c r="B1896" s="2">
        <v>46124</v>
      </c>
      <c r="C1896" t="s">
        <v>26</v>
      </c>
      <c r="D1896" t="s">
        <v>36</v>
      </c>
      <c r="E1896" t="s">
        <v>28</v>
      </c>
      <c r="F1896" t="s">
        <v>1284</v>
      </c>
      <c r="G1896" t="s">
        <v>22</v>
      </c>
      <c r="J1896">
        <v>0</v>
      </c>
      <c r="K1896">
        <v>0</v>
      </c>
      <c r="L1896">
        <v>0</v>
      </c>
      <c r="M1896">
        <v>1</v>
      </c>
      <c r="N1896">
        <v>8.4</v>
      </c>
      <c r="O1896">
        <v>8.3000000000000007</v>
      </c>
      <c r="P1896">
        <v>2.4</v>
      </c>
      <c r="Q1896" t="s">
        <v>62</v>
      </c>
    </row>
    <row r="1897" spans="1:17" x14ac:dyDescent="0.3">
      <c r="A1897" t="s">
        <v>2605</v>
      </c>
      <c r="B1897" s="2">
        <v>45905</v>
      </c>
      <c r="C1897" t="s">
        <v>26</v>
      </c>
      <c r="D1897" t="s">
        <v>114</v>
      </c>
      <c r="E1897" t="s">
        <v>37</v>
      </c>
      <c r="F1897" t="s">
        <v>2606</v>
      </c>
      <c r="G1897" t="s">
        <v>30</v>
      </c>
      <c r="J1897">
        <v>0</v>
      </c>
      <c r="K1897">
        <v>0</v>
      </c>
      <c r="L1897">
        <v>0</v>
      </c>
      <c r="M1897">
        <v>1</v>
      </c>
      <c r="N1897">
        <v>1.3</v>
      </c>
      <c r="O1897">
        <v>6.5</v>
      </c>
      <c r="P1897">
        <v>4.8</v>
      </c>
      <c r="Q1897" t="s">
        <v>39</v>
      </c>
    </row>
    <row r="1898" spans="1:17" x14ac:dyDescent="0.3">
      <c r="A1898" t="s">
        <v>2607</v>
      </c>
      <c r="B1898" s="2">
        <v>46063</v>
      </c>
      <c r="C1898" t="s">
        <v>26</v>
      </c>
      <c r="D1898" t="s">
        <v>126</v>
      </c>
      <c r="E1898" t="s">
        <v>20</v>
      </c>
      <c r="F1898" t="s">
        <v>845</v>
      </c>
      <c r="G1898" t="s">
        <v>44</v>
      </c>
      <c r="J1898">
        <v>0</v>
      </c>
      <c r="K1898">
        <v>0</v>
      </c>
      <c r="L1898">
        <v>0</v>
      </c>
      <c r="M1898">
        <v>1</v>
      </c>
      <c r="N1898">
        <v>5.8</v>
      </c>
      <c r="O1898">
        <v>3.7</v>
      </c>
      <c r="P1898">
        <v>3.1</v>
      </c>
      <c r="Q1898" t="s">
        <v>62</v>
      </c>
    </row>
    <row r="1899" spans="1:17" x14ac:dyDescent="0.3">
      <c r="A1899" t="s">
        <v>2608</v>
      </c>
      <c r="B1899" s="2">
        <v>46098</v>
      </c>
      <c r="C1899" t="s">
        <v>18</v>
      </c>
      <c r="D1899" t="s">
        <v>52</v>
      </c>
      <c r="E1899" t="s">
        <v>42</v>
      </c>
      <c r="F1899" t="s">
        <v>1321</v>
      </c>
      <c r="G1899" t="s">
        <v>22</v>
      </c>
      <c r="H1899" t="s">
        <v>78</v>
      </c>
      <c r="I1899" t="s">
        <v>24</v>
      </c>
      <c r="J1899">
        <v>1</v>
      </c>
      <c r="K1899">
        <v>33000</v>
      </c>
      <c r="L1899">
        <v>33000</v>
      </c>
      <c r="N1899">
        <v>6.5</v>
      </c>
      <c r="Q1899" t="s">
        <v>24</v>
      </c>
    </row>
    <row r="1900" spans="1:17" x14ac:dyDescent="0.3">
      <c r="A1900" t="s">
        <v>2609</v>
      </c>
      <c r="B1900" s="2">
        <v>46235</v>
      </c>
      <c r="C1900" t="s">
        <v>18</v>
      </c>
      <c r="D1900" t="s">
        <v>105</v>
      </c>
      <c r="E1900" t="s">
        <v>48</v>
      </c>
      <c r="F1900" t="s">
        <v>820</v>
      </c>
      <c r="G1900" t="s">
        <v>22</v>
      </c>
      <c r="H1900" t="s">
        <v>54</v>
      </c>
      <c r="I1900" t="s">
        <v>79</v>
      </c>
      <c r="J1900">
        <v>1</v>
      </c>
      <c r="K1900">
        <v>5000</v>
      </c>
      <c r="L1900">
        <v>0</v>
      </c>
      <c r="N1900">
        <v>1.8</v>
      </c>
      <c r="Q1900" t="s">
        <v>79</v>
      </c>
    </row>
    <row r="1901" spans="1:17" x14ac:dyDescent="0.3">
      <c r="A1901" t="s">
        <v>2610</v>
      </c>
      <c r="B1901" s="2">
        <v>46152</v>
      </c>
      <c r="C1901" t="s">
        <v>26</v>
      </c>
      <c r="D1901" t="s">
        <v>69</v>
      </c>
      <c r="E1901" t="s">
        <v>37</v>
      </c>
      <c r="F1901" t="s">
        <v>1531</v>
      </c>
      <c r="G1901" t="s">
        <v>22</v>
      </c>
      <c r="J1901">
        <v>0</v>
      </c>
      <c r="K1901">
        <v>0</v>
      </c>
      <c r="L1901">
        <v>0</v>
      </c>
      <c r="M1901">
        <v>1</v>
      </c>
      <c r="N1901">
        <v>4.0999999999999996</v>
      </c>
      <c r="O1901">
        <v>12.4</v>
      </c>
      <c r="P1901">
        <v>4.4000000000000004</v>
      </c>
      <c r="Q1901" t="s">
        <v>31</v>
      </c>
    </row>
    <row r="1902" spans="1:17" x14ac:dyDescent="0.3">
      <c r="A1902" t="s">
        <v>2611</v>
      </c>
      <c r="B1902" s="2">
        <v>46157</v>
      </c>
      <c r="C1902" t="s">
        <v>26</v>
      </c>
      <c r="D1902" t="s">
        <v>72</v>
      </c>
      <c r="E1902" t="s">
        <v>20</v>
      </c>
      <c r="F1902" t="s">
        <v>2389</v>
      </c>
      <c r="G1902" t="s">
        <v>22</v>
      </c>
      <c r="J1902">
        <v>0</v>
      </c>
      <c r="K1902">
        <v>0</v>
      </c>
      <c r="L1902">
        <v>0</v>
      </c>
      <c r="M1902">
        <v>1</v>
      </c>
      <c r="N1902">
        <v>3</v>
      </c>
      <c r="O1902">
        <v>4.8</v>
      </c>
      <c r="P1902">
        <v>4</v>
      </c>
      <c r="Q1902" t="s">
        <v>62</v>
      </c>
    </row>
    <row r="1903" spans="1:17" x14ac:dyDescent="0.3">
      <c r="A1903" t="s">
        <v>2612</v>
      </c>
      <c r="B1903" s="2">
        <v>45996</v>
      </c>
      <c r="C1903" t="s">
        <v>18</v>
      </c>
      <c r="D1903" t="s">
        <v>105</v>
      </c>
      <c r="E1903" t="s">
        <v>28</v>
      </c>
      <c r="F1903" t="s">
        <v>370</v>
      </c>
      <c r="G1903" t="s">
        <v>30</v>
      </c>
      <c r="H1903" t="s">
        <v>66</v>
      </c>
      <c r="I1903" t="s">
        <v>24</v>
      </c>
      <c r="J1903">
        <v>1</v>
      </c>
      <c r="K1903">
        <v>82100</v>
      </c>
      <c r="L1903">
        <v>82100</v>
      </c>
      <c r="N1903">
        <v>9.1</v>
      </c>
      <c r="Q1903" t="s">
        <v>24</v>
      </c>
    </row>
    <row r="1904" spans="1:17" x14ac:dyDescent="0.3">
      <c r="A1904" t="s">
        <v>2613</v>
      </c>
      <c r="B1904" s="2">
        <v>46187</v>
      </c>
      <c r="C1904" t="s">
        <v>26</v>
      </c>
      <c r="D1904" t="s">
        <v>72</v>
      </c>
      <c r="E1904" t="s">
        <v>20</v>
      </c>
      <c r="F1904" t="s">
        <v>290</v>
      </c>
      <c r="G1904" t="s">
        <v>22</v>
      </c>
      <c r="J1904">
        <v>0</v>
      </c>
      <c r="K1904">
        <v>0</v>
      </c>
      <c r="L1904">
        <v>0</v>
      </c>
      <c r="M1904">
        <v>1</v>
      </c>
      <c r="N1904">
        <v>5.9</v>
      </c>
      <c r="O1904">
        <v>6.3</v>
      </c>
      <c r="P1904">
        <v>4.3</v>
      </c>
      <c r="Q1904" t="s">
        <v>39</v>
      </c>
    </row>
    <row r="1905" spans="1:17" x14ac:dyDescent="0.3">
      <c r="A1905" t="s">
        <v>2614</v>
      </c>
      <c r="B1905" s="2">
        <v>46062</v>
      </c>
      <c r="C1905" t="s">
        <v>18</v>
      </c>
      <c r="D1905" t="s">
        <v>41</v>
      </c>
      <c r="E1905" t="s">
        <v>20</v>
      </c>
      <c r="F1905" t="s">
        <v>903</v>
      </c>
      <c r="G1905" t="s">
        <v>44</v>
      </c>
      <c r="H1905" t="s">
        <v>54</v>
      </c>
      <c r="I1905" t="s">
        <v>24</v>
      </c>
      <c r="J1905">
        <v>1</v>
      </c>
      <c r="K1905">
        <v>15300</v>
      </c>
      <c r="L1905">
        <v>15300</v>
      </c>
      <c r="N1905">
        <v>16.8</v>
      </c>
      <c r="Q1905" t="s">
        <v>24</v>
      </c>
    </row>
    <row r="1906" spans="1:17" x14ac:dyDescent="0.3">
      <c r="A1906" t="s">
        <v>2615</v>
      </c>
      <c r="B1906" s="2">
        <v>46006</v>
      </c>
      <c r="C1906" t="s">
        <v>26</v>
      </c>
      <c r="D1906" t="s">
        <v>27</v>
      </c>
      <c r="E1906" t="s">
        <v>48</v>
      </c>
      <c r="F1906" t="s">
        <v>297</v>
      </c>
      <c r="G1906" t="s">
        <v>30</v>
      </c>
      <c r="J1906">
        <v>0</v>
      </c>
      <c r="K1906">
        <v>0</v>
      </c>
      <c r="L1906">
        <v>0</v>
      </c>
      <c r="M1906">
        <v>1</v>
      </c>
      <c r="N1906">
        <v>3.7</v>
      </c>
      <c r="O1906">
        <v>19.5</v>
      </c>
      <c r="P1906">
        <v>4.3</v>
      </c>
      <c r="Q1906" t="s">
        <v>39</v>
      </c>
    </row>
    <row r="1907" spans="1:17" x14ac:dyDescent="0.3">
      <c r="A1907" t="s">
        <v>2616</v>
      </c>
      <c r="B1907" s="2">
        <v>45902</v>
      </c>
      <c r="C1907" t="s">
        <v>18</v>
      </c>
      <c r="D1907" t="s">
        <v>41</v>
      </c>
      <c r="E1907" t="s">
        <v>42</v>
      </c>
      <c r="F1907" t="s">
        <v>1354</v>
      </c>
      <c r="G1907" t="s">
        <v>44</v>
      </c>
      <c r="H1907" t="s">
        <v>86</v>
      </c>
      <c r="I1907" t="s">
        <v>67</v>
      </c>
      <c r="J1907">
        <v>1</v>
      </c>
      <c r="K1907">
        <v>5400</v>
      </c>
      <c r="L1907">
        <v>0</v>
      </c>
      <c r="N1907">
        <v>17</v>
      </c>
      <c r="Q1907" t="s">
        <v>67</v>
      </c>
    </row>
    <row r="1908" spans="1:17" x14ac:dyDescent="0.3">
      <c r="A1908" t="s">
        <v>2617</v>
      </c>
      <c r="B1908" s="2">
        <v>46113</v>
      </c>
      <c r="C1908" t="s">
        <v>26</v>
      </c>
      <c r="D1908" t="s">
        <v>36</v>
      </c>
      <c r="E1908" t="s">
        <v>20</v>
      </c>
      <c r="F1908" t="s">
        <v>150</v>
      </c>
      <c r="G1908" t="s">
        <v>22</v>
      </c>
      <c r="J1908">
        <v>0</v>
      </c>
      <c r="K1908">
        <v>0</v>
      </c>
      <c r="L1908">
        <v>0</v>
      </c>
      <c r="M1908">
        <v>1</v>
      </c>
      <c r="N1908">
        <v>11.5</v>
      </c>
      <c r="O1908">
        <v>4.0999999999999996</v>
      </c>
      <c r="P1908">
        <v>2.6</v>
      </c>
      <c r="Q1908" t="s">
        <v>62</v>
      </c>
    </row>
    <row r="1909" spans="1:17" x14ac:dyDescent="0.3">
      <c r="A1909" t="s">
        <v>2618</v>
      </c>
      <c r="B1909" s="2">
        <v>46018</v>
      </c>
      <c r="C1909" t="s">
        <v>18</v>
      </c>
      <c r="D1909" t="s">
        <v>95</v>
      </c>
      <c r="E1909" t="s">
        <v>20</v>
      </c>
      <c r="F1909" t="s">
        <v>2619</v>
      </c>
      <c r="G1909" t="s">
        <v>22</v>
      </c>
      <c r="H1909" t="s">
        <v>78</v>
      </c>
      <c r="I1909" t="s">
        <v>55</v>
      </c>
      <c r="J1909">
        <v>1</v>
      </c>
      <c r="K1909">
        <v>14400</v>
      </c>
      <c r="L1909">
        <v>0</v>
      </c>
      <c r="N1909">
        <v>17.7</v>
      </c>
      <c r="Q1909" t="s">
        <v>55</v>
      </c>
    </row>
    <row r="1910" spans="1:17" x14ac:dyDescent="0.3">
      <c r="A1910" t="s">
        <v>2620</v>
      </c>
      <c r="B1910" s="2">
        <v>45980</v>
      </c>
      <c r="C1910" t="s">
        <v>18</v>
      </c>
      <c r="D1910" t="s">
        <v>41</v>
      </c>
      <c r="E1910" t="s">
        <v>20</v>
      </c>
      <c r="F1910" t="s">
        <v>942</v>
      </c>
      <c r="G1910" t="s">
        <v>30</v>
      </c>
      <c r="H1910" t="s">
        <v>23</v>
      </c>
      <c r="I1910" t="s">
        <v>24</v>
      </c>
      <c r="J1910">
        <v>1</v>
      </c>
      <c r="K1910">
        <v>25300</v>
      </c>
      <c r="L1910">
        <v>25300</v>
      </c>
      <c r="N1910">
        <v>11.4</v>
      </c>
      <c r="Q1910" t="s">
        <v>24</v>
      </c>
    </row>
    <row r="1911" spans="1:17" x14ac:dyDescent="0.3">
      <c r="A1911" t="s">
        <v>2621</v>
      </c>
      <c r="B1911" s="2">
        <v>46052</v>
      </c>
      <c r="C1911" t="s">
        <v>18</v>
      </c>
      <c r="D1911" t="s">
        <v>95</v>
      </c>
      <c r="E1911" t="s">
        <v>37</v>
      </c>
      <c r="F1911" t="s">
        <v>83</v>
      </c>
      <c r="G1911" t="s">
        <v>30</v>
      </c>
      <c r="H1911" t="s">
        <v>86</v>
      </c>
      <c r="I1911" t="s">
        <v>45</v>
      </c>
      <c r="J1911">
        <v>1</v>
      </c>
      <c r="K1911">
        <v>31100</v>
      </c>
      <c r="L1911">
        <v>0</v>
      </c>
      <c r="N1911">
        <v>1.3</v>
      </c>
      <c r="Q1911" t="s">
        <v>45</v>
      </c>
    </row>
    <row r="1912" spans="1:17" x14ac:dyDescent="0.3">
      <c r="A1912" t="s">
        <v>2622</v>
      </c>
      <c r="B1912" s="2">
        <v>46011</v>
      </c>
      <c r="C1912" t="s">
        <v>18</v>
      </c>
      <c r="D1912" t="s">
        <v>64</v>
      </c>
      <c r="E1912" t="s">
        <v>48</v>
      </c>
      <c r="F1912" t="s">
        <v>793</v>
      </c>
      <c r="G1912" t="s">
        <v>44</v>
      </c>
      <c r="H1912" t="s">
        <v>78</v>
      </c>
      <c r="I1912" t="s">
        <v>24</v>
      </c>
      <c r="J1912">
        <v>1</v>
      </c>
      <c r="K1912">
        <v>39300</v>
      </c>
      <c r="L1912">
        <v>39300</v>
      </c>
      <c r="N1912">
        <v>18.399999999999999</v>
      </c>
      <c r="Q1912" t="s">
        <v>24</v>
      </c>
    </row>
    <row r="1913" spans="1:17" x14ac:dyDescent="0.3">
      <c r="A1913" t="s">
        <v>2623</v>
      </c>
      <c r="B1913" s="2">
        <v>46132</v>
      </c>
      <c r="C1913" t="s">
        <v>26</v>
      </c>
      <c r="D1913" t="s">
        <v>232</v>
      </c>
      <c r="E1913" t="s">
        <v>20</v>
      </c>
      <c r="F1913" t="s">
        <v>669</v>
      </c>
      <c r="G1913" t="s">
        <v>30</v>
      </c>
      <c r="J1913">
        <v>0</v>
      </c>
      <c r="K1913">
        <v>0</v>
      </c>
      <c r="L1913">
        <v>0</v>
      </c>
      <c r="M1913">
        <v>1</v>
      </c>
      <c r="N1913">
        <v>6.2</v>
      </c>
      <c r="O1913">
        <v>6.9</v>
      </c>
      <c r="P1913">
        <v>4.0999999999999996</v>
      </c>
      <c r="Q1913" t="s">
        <v>31</v>
      </c>
    </row>
    <row r="1914" spans="1:17" x14ac:dyDescent="0.3">
      <c r="A1914" t="s">
        <v>2624</v>
      </c>
      <c r="B1914" s="2">
        <v>45933</v>
      </c>
      <c r="C1914" t="s">
        <v>26</v>
      </c>
      <c r="D1914" t="s">
        <v>36</v>
      </c>
      <c r="E1914" t="s">
        <v>20</v>
      </c>
      <c r="F1914" t="s">
        <v>1045</v>
      </c>
      <c r="G1914" t="s">
        <v>50</v>
      </c>
      <c r="J1914">
        <v>0</v>
      </c>
      <c r="K1914">
        <v>0</v>
      </c>
      <c r="L1914">
        <v>0</v>
      </c>
      <c r="M1914">
        <v>1</v>
      </c>
      <c r="N1914">
        <v>7</v>
      </c>
      <c r="O1914">
        <v>3.8</v>
      </c>
      <c r="P1914">
        <v>4.5</v>
      </c>
      <c r="Q1914" t="s">
        <v>31</v>
      </c>
    </row>
    <row r="1915" spans="1:17" x14ac:dyDescent="0.3">
      <c r="A1915" t="s">
        <v>2625</v>
      </c>
      <c r="B1915" s="2">
        <v>45967</v>
      </c>
      <c r="C1915" t="s">
        <v>18</v>
      </c>
      <c r="D1915" t="s">
        <v>95</v>
      </c>
      <c r="E1915" t="s">
        <v>48</v>
      </c>
      <c r="F1915" t="s">
        <v>268</v>
      </c>
      <c r="G1915" t="s">
        <v>22</v>
      </c>
      <c r="H1915" t="s">
        <v>23</v>
      </c>
      <c r="I1915" t="s">
        <v>79</v>
      </c>
      <c r="J1915">
        <v>1</v>
      </c>
      <c r="K1915">
        <v>34500</v>
      </c>
      <c r="L1915">
        <v>0</v>
      </c>
      <c r="N1915">
        <v>7.7</v>
      </c>
      <c r="Q1915" t="s">
        <v>79</v>
      </c>
    </row>
    <row r="1916" spans="1:17" x14ac:dyDescent="0.3">
      <c r="A1916" t="s">
        <v>2626</v>
      </c>
      <c r="B1916" s="2">
        <v>46055</v>
      </c>
      <c r="C1916" t="s">
        <v>18</v>
      </c>
      <c r="D1916" t="s">
        <v>105</v>
      </c>
      <c r="E1916" t="s">
        <v>37</v>
      </c>
      <c r="F1916" t="s">
        <v>1573</v>
      </c>
      <c r="G1916" t="s">
        <v>30</v>
      </c>
      <c r="H1916" t="s">
        <v>86</v>
      </c>
      <c r="I1916" t="s">
        <v>24</v>
      </c>
      <c r="J1916">
        <v>1</v>
      </c>
      <c r="K1916">
        <v>17500</v>
      </c>
      <c r="L1916">
        <v>17500</v>
      </c>
      <c r="N1916">
        <v>20.3</v>
      </c>
      <c r="Q1916" t="s">
        <v>24</v>
      </c>
    </row>
    <row r="1917" spans="1:17" x14ac:dyDescent="0.3">
      <c r="A1917" t="s">
        <v>2627</v>
      </c>
      <c r="B1917" s="2">
        <v>46042</v>
      </c>
      <c r="C1917" t="s">
        <v>26</v>
      </c>
      <c r="D1917" t="s">
        <v>114</v>
      </c>
      <c r="E1917" t="s">
        <v>48</v>
      </c>
      <c r="F1917" t="s">
        <v>118</v>
      </c>
      <c r="G1917" t="s">
        <v>30</v>
      </c>
      <c r="J1917">
        <v>0</v>
      </c>
      <c r="K1917">
        <v>0</v>
      </c>
      <c r="L1917">
        <v>0</v>
      </c>
      <c r="M1917">
        <v>1</v>
      </c>
      <c r="N1917">
        <v>7.2</v>
      </c>
      <c r="O1917">
        <v>5.2</v>
      </c>
      <c r="P1917">
        <v>4.0999999999999996</v>
      </c>
      <c r="Q1917" t="s">
        <v>31</v>
      </c>
    </row>
    <row r="1918" spans="1:17" x14ac:dyDescent="0.3">
      <c r="A1918" t="s">
        <v>2628</v>
      </c>
      <c r="B1918" s="2">
        <v>46121</v>
      </c>
      <c r="C1918" t="s">
        <v>26</v>
      </c>
      <c r="D1918" t="s">
        <v>114</v>
      </c>
      <c r="E1918" t="s">
        <v>48</v>
      </c>
      <c r="F1918" t="s">
        <v>1416</v>
      </c>
      <c r="G1918" t="s">
        <v>44</v>
      </c>
      <c r="J1918">
        <v>0</v>
      </c>
      <c r="K1918">
        <v>0</v>
      </c>
      <c r="L1918">
        <v>0</v>
      </c>
      <c r="M1918">
        <v>1</v>
      </c>
      <c r="N1918">
        <v>4.4000000000000004</v>
      </c>
      <c r="O1918">
        <v>6.7</v>
      </c>
      <c r="P1918">
        <v>4.4000000000000004</v>
      </c>
      <c r="Q1918" t="s">
        <v>31</v>
      </c>
    </row>
    <row r="1919" spans="1:17" x14ac:dyDescent="0.3">
      <c r="A1919" t="s">
        <v>2629</v>
      </c>
      <c r="B1919" s="2">
        <v>46049</v>
      </c>
      <c r="C1919" t="s">
        <v>26</v>
      </c>
      <c r="D1919" t="s">
        <v>33</v>
      </c>
      <c r="E1919" t="s">
        <v>28</v>
      </c>
      <c r="F1919" t="s">
        <v>738</v>
      </c>
      <c r="G1919" t="s">
        <v>22</v>
      </c>
      <c r="J1919">
        <v>0</v>
      </c>
      <c r="K1919">
        <v>0</v>
      </c>
      <c r="L1919">
        <v>0</v>
      </c>
      <c r="M1919">
        <v>1</v>
      </c>
      <c r="N1919">
        <v>8</v>
      </c>
      <c r="O1919">
        <v>13.7</v>
      </c>
      <c r="P1919">
        <v>4</v>
      </c>
      <c r="Q1919" t="s">
        <v>39</v>
      </c>
    </row>
    <row r="1920" spans="1:17" x14ac:dyDescent="0.3">
      <c r="A1920" t="s">
        <v>2630</v>
      </c>
      <c r="B1920" s="2">
        <v>46231</v>
      </c>
      <c r="C1920" t="s">
        <v>18</v>
      </c>
      <c r="D1920" t="s">
        <v>52</v>
      </c>
      <c r="E1920" t="s">
        <v>20</v>
      </c>
      <c r="F1920" t="s">
        <v>2414</v>
      </c>
      <c r="G1920" t="s">
        <v>30</v>
      </c>
      <c r="H1920" t="s">
        <v>66</v>
      </c>
      <c r="I1920" t="s">
        <v>24</v>
      </c>
      <c r="J1920">
        <v>1</v>
      </c>
      <c r="K1920">
        <v>34700</v>
      </c>
      <c r="L1920">
        <v>34700</v>
      </c>
      <c r="N1920">
        <v>15.8</v>
      </c>
      <c r="Q1920" t="s">
        <v>24</v>
      </c>
    </row>
    <row r="1921" spans="1:17" x14ac:dyDescent="0.3">
      <c r="A1921" t="s">
        <v>2631</v>
      </c>
      <c r="B1921" s="2">
        <v>46093</v>
      </c>
      <c r="C1921" t="s">
        <v>18</v>
      </c>
      <c r="D1921" t="s">
        <v>95</v>
      </c>
      <c r="E1921" t="s">
        <v>28</v>
      </c>
      <c r="F1921" t="s">
        <v>1300</v>
      </c>
      <c r="G1921" t="s">
        <v>50</v>
      </c>
      <c r="H1921" t="s">
        <v>86</v>
      </c>
      <c r="I1921" t="s">
        <v>55</v>
      </c>
      <c r="J1921">
        <v>1</v>
      </c>
      <c r="K1921">
        <v>9800</v>
      </c>
      <c r="L1921">
        <v>0</v>
      </c>
      <c r="N1921">
        <v>20.399999999999999</v>
      </c>
      <c r="Q1921" t="s">
        <v>55</v>
      </c>
    </row>
    <row r="1922" spans="1:17" x14ac:dyDescent="0.3">
      <c r="A1922" t="s">
        <v>2632</v>
      </c>
      <c r="B1922" s="2">
        <v>45933</v>
      </c>
      <c r="C1922" t="s">
        <v>26</v>
      </c>
      <c r="D1922" t="s">
        <v>69</v>
      </c>
      <c r="E1922" t="s">
        <v>42</v>
      </c>
      <c r="F1922" t="s">
        <v>1180</v>
      </c>
      <c r="G1922" t="s">
        <v>30</v>
      </c>
      <c r="J1922">
        <v>0</v>
      </c>
      <c r="K1922">
        <v>0</v>
      </c>
      <c r="L1922">
        <v>0</v>
      </c>
      <c r="M1922">
        <v>1</v>
      </c>
      <c r="N1922">
        <v>4.5999999999999996</v>
      </c>
      <c r="O1922">
        <v>2.2999999999999998</v>
      </c>
      <c r="P1922">
        <v>4.0999999999999996</v>
      </c>
      <c r="Q1922" t="s">
        <v>31</v>
      </c>
    </row>
    <row r="1923" spans="1:17" x14ac:dyDescent="0.3">
      <c r="A1923" t="s">
        <v>2633</v>
      </c>
      <c r="B1923" s="2">
        <v>46024</v>
      </c>
      <c r="C1923" t="s">
        <v>18</v>
      </c>
      <c r="D1923" t="s">
        <v>47</v>
      </c>
      <c r="E1923" t="s">
        <v>28</v>
      </c>
      <c r="F1923" t="s">
        <v>178</v>
      </c>
      <c r="G1923" t="s">
        <v>22</v>
      </c>
      <c r="H1923" t="s">
        <v>78</v>
      </c>
      <c r="I1923" t="s">
        <v>45</v>
      </c>
      <c r="J1923">
        <v>1</v>
      </c>
      <c r="K1923">
        <v>10200</v>
      </c>
      <c r="L1923">
        <v>0</v>
      </c>
      <c r="N1923">
        <v>8.8000000000000007</v>
      </c>
      <c r="Q1923" t="s">
        <v>45</v>
      </c>
    </row>
    <row r="1924" spans="1:17" x14ac:dyDescent="0.3">
      <c r="A1924" t="s">
        <v>2634</v>
      </c>
      <c r="B1924" s="2">
        <v>46101</v>
      </c>
      <c r="C1924" t="s">
        <v>26</v>
      </c>
      <c r="D1924" t="s">
        <v>33</v>
      </c>
      <c r="E1924" t="s">
        <v>48</v>
      </c>
      <c r="F1924" t="s">
        <v>144</v>
      </c>
      <c r="G1924" t="s">
        <v>22</v>
      </c>
      <c r="J1924">
        <v>0</v>
      </c>
      <c r="K1924">
        <v>0</v>
      </c>
      <c r="L1924">
        <v>0</v>
      </c>
      <c r="M1924">
        <v>1</v>
      </c>
      <c r="N1924">
        <v>0.3</v>
      </c>
      <c r="O1924">
        <v>8.1</v>
      </c>
      <c r="P1924">
        <v>4.3</v>
      </c>
      <c r="Q1924" t="s">
        <v>39</v>
      </c>
    </row>
    <row r="1925" spans="1:17" x14ac:dyDescent="0.3">
      <c r="A1925" t="s">
        <v>2635</v>
      </c>
      <c r="B1925" s="2">
        <v>46009</v>
      </c>
      <c r="C1925" t="s">
        <v>18</v>
      </c>
      <c r="D1925" t="s">
        <v>95</v>
      </c>
      <c r="E1925" t="s">
        <v>20</v>
      </c>
      <c r="F1925" t="s">
        <v>465</v>
      </c>
      <c r="G1925" t="s">
        <v>30</v>
      </c>
      <c r="H1925" t="s">
        <v>78</v>
      </c>
      <c r="I1925" t="s">
        <v>89</v>
      </c>
      <c r="J1925">
        <v>1</v>
      </c>
      <c r="K1925">
        <v>12500</v>
      </c>
      <c r="L1925">
        <v>0</v>
      </c>
      <c r="N1925">
        <v>12.4</v>
      </c>
      <c r="Q1925" t="s">
        <v>89</v>
      </c>
    </row>
    <row r="1926" spans="1:17" x14ac:dyDescent="0.3">
      <c r="A1926" t="s">
        <v>2636</v>
      </c>
      <c r="B1926" s="2">
        <v>46219</v>
      </c>
      <c r="C1926" t="s">
        <v>26</v>
      </c>
      <c r="D1926" t="s">
        <v>126</v>
      </c>
      <c r="E1926" t="s">
        <v>20</v>
      </c>
      <c r="F1926" t="s">
        <v>272</v>
      </c>
      <c r="G1926" t="s">
        <v>22</v>
      </c>
      <c r="J1926">
        <v>0</v>
      </c>
      <c r="K1926">
        <v>0</v>
      </c>
      <c r="L1926">
        <v>0</v>
      </c>
      <c r="M1926">
        <v>1</v>
      </c>
      <c r="N1926">
        <v>1.2</v>
      </c>
      <c r="O1926">
        <v>6.7</v>
      </c>
      <c r="P1926">
        <v>4.7</v>
      </c>
      <c r="Q1926" t="s">
        <v>225</v>
      </c>
    </row>
    <row r="1927" spans="1:17" x14ac:dyDescent="0.3">
      <c r="A1927" t="s">
        <v>2637</v>
      </c>
      <c r="B1927" s="2">
        <v>46005</v>
      </c>
      <c r="C1927" t="s">
        <v>18</v>
      </c>
      <c r="D1927" t="s">
        <v>117</v>
      </c>
      <c r="E1927" t="s">
        <v>20</v>
      </c>
      <c r="F1927" t="s">
        <v>146</v>
      </c>
      <c r="G1927" t="s">
        <v>30</v>
      </c>
      <c r="H1927" t="s">
        <v>86</v>
      </c>
      <c r="I1927" t="s">
        <v>45</v>
      </c>
      <c r="J1927">
        <v>1</v>
      </c>
      <c r="K1927">
        <v>33500</v>
      </c>
      <c r="L1927">
        <v>0</v>
      </c>
      <c r="N1927">
        <v>23.9</v>
      </c>
      <c r="Q1927" t="s">
        <v>45</v>
      </c>
    </row>
    <row r="1928" spans="1:17" x14ac:dyDescent="0.3">
      <c r="A1928" t="s">
        <v>2638</v>
      </c>
      <c r="B1928" s="2">
        <v>46033</v>
      </c>
      <c r="C1928" t="s">
        <v>26</v>
      </c>
      <c r="D1928" t="s">
        <v>114</v>
      </c>
      <c r="E1928" t="s">
        <v>37</v>
      </c>
      <c r="F1928" t="s">
        <v>118</v>
      </c>
      <c r="G1928" t="s">
        <v>30</v>
      </c>
      <c r="J1928">
        <v>0</v>
      </c>
      <c r="K1928">
        <v>0</v>
      </c>
      <c r="L1928">
        <v>0</v>
      </c>
      <c r="M1928">
        <v>1</v>
      </c>
      <c r="N1928">
        <v>5</v>
      </c>
      <c r="O1928">
        <v>1.7</v>
      </c>
      <c r="P1928">
        <v>3.4</v>
      </c>
      <c r="Q1928" t="s">
        <v>225</v>
      </c>
    </row>
    <row r="1929" spans="1:17" x14ac:dyDescent="0.3">
      <c r="A1929" t="s">
        <v>2639</v>
      </c>
      <c r="B1929" s="2">
        <v>46078</v>
      </c>
      <c r="C1929" t="s">
        <v>18</v>
      </c>
      <c r="D1929" t="s">
        <v>47</v>
      </c>
      <c r="E1929" t="s">
        <v>20</v>
      </c>
      <c r="F1929" t="s">
        <v>118</v>
      </c>
      <c r="G1929" t="s">
        <v>22</v>
      </c>
      <c r="H1929" t="s">
        <v>66</v>
      </c>
      <c r="I1929" t="s">
        <v>45</v>
      </c>
      <c r="J1929">
        <v>1</v>
      </c>
      <c r="K1929">
        <v>23400</v>
      </c>
      <c r="L1929">
        <v>0</v>
      </c>
      <c r="N1929">
        <v>3.2</v>
      </c>
      <c r="Q1929" t="s">
        <v>45</v>
      </c>
    </row>
    <row r="1930" spans="1:17" x14ac:dyDescent="0.3">
      <c r="A1930" t="s">
        <v>2640</v>
      </c>
      <c r="B1930" s="2">
        <v>46193</v>
      </c>
      <c r="C1930" t="s">
        <v>26</v>
      </c>
      <c r="D1930" t="s">
        <v>36</v>
      </c>
      <c r="E1930" t="s">
        <v>20</v>
      </c>
      <c r="F1930" t="s">
        <v>96</v>
      </c>
      <c r="G1930" t="s">
        <v>30</v>
      </c>
      <c r="J1930">
        <v>0</v>
      </c>
      <c r="K1930">
        <v>0</v>
      </c>
      <c r="L1930">
        <v>0</v>
      </c>
      <c r="M1930">
        <v>1</v>
      </c>
      <c r="N1930">
        <v>8.6999999999999993</v>
      </c>
      <c r="O1930">
        <v>2.8</v>
      </c>
      <c r="P1930">
        <v>4.9000000000000004</v>
      </c>
      <c r="Q1930" t="s">
        <v>225</v>
      </c>
    </row>
    <row r="1931" spans="1:17" x14ac:dyDescent="0.3">
      <c r="A1931" t="s">
        <v>2641</v>
      </c>
      <c r="B1931" s="2">
        <v>45969</v>
      </c>
      <c r="C1931" t="s">
        <v>18</v>
      </c>
      <c r="D1931" t="s">
        <v>105</v>
      </c>
      <c r="E1931" t="s">
        <v>20</v>
      </c>
      <c r="F1931" t="s">
        <v>1118</v>
      </c>
      <c r="G1931" t="s">
        <v>22</v>
      </c>
      <c r="H1931" t="s">
        <v>66</v>
      </c>
      <c r="I1931" t="s">
        <v>55</v>
      </c>
      <c r="J1931">
        <v>1</v>
      </c>
      <c r="K1931">
        <v>29000</v>
      </c>
      <c r="L1931">
        <v>0</v>
      </c>
      <c r="N1931">
        <v>10.4</v>
      </c>
      <c r="Q1931" t="s">
        <v>55</v>
      </c>
    </row>
    <row r="1932" spans="1:17" x14ac:dyDescent="0.3">
      <c r="A1932" t="s">
        <v>2642</v>
      </c>
      <c r="B1932" s="2">
        <v>46241</v>
      </c>
      <c r="C1932" t="s">
        <v>26</v>
      </c>
      <c r="D1932" t="s">
        <v>72</v>
      </c>
      <c r="E1932" t="s">
        <v>37</v>
      </c>
      <c r="F1932" t="s">
        <v>859</v>
      </c>
      <c r="G1932" t="s">
        <v>44</v>
      </c>
      <c r="J1932">
        <v>0</v>
      </c>
      <c r="K1932">
        <v>0</v>
      </c>
      <c r="L1932">
        <v>0</v>
      </c>
      <c r="M1932">
        <v>1</v>
      </c>
      <c r="N1932">
        <v>8.1999999999999993</v>
      </c>
      <c r="O1932">
        <v>9.1</v>
      </c>
      <c r="P1932">
        <v>4.5999999999999996</v>
      </c>
      <c r="Q1932" t="s">
        <v>62</v>
      </c>
    </row>
    <row r="1933" spans="1:17" x14ac:dyDescent="0.3">
      <c r="A1933" t="s">
        <v>2643</v>
      </c>
      <c r="B1933" s="2">
        <v>46096</v>
      </c>
      <c r="C1933" t="s">
        <v>26</v>
      </c>
      <c r="D1933" t="s">
        <v>27</v>
      </c>
      <c r="E1933" t="s">
        <v>48</v>
      </c>
      <c r="F1933" t="s">
        <v>308</v>
      </c>
      <c r="G1933" t="s">
        <v>44</v>
      </c>
      <c r="J1933">
        <v>0</v>
      </c>
      <c r="K1933">
        <v>0</v>
      </c>
      <c r="L1933">
        <v>0</v>
      </c>
      <c r="M1933">
        <v>1</v>
      </c>
      <c r="N1933">
        <v>6.9</v>
      </c>
      <c r="O1933">
        <v>17</v>
      </c>
      <c r="P1933">
        <v>4.0999999999999996</v>
      </c>
      <c r="Q1933" t="s">
        <v>31</v>
      </c>
    </row>
    <row r="1934" spans="1:17" x14ac:dyDescent="0.3">
      <c r="A1934" t="s">
        <v>2644</v>
      </c>
      <c r="B1934" s="2">
        <v>46074</v>
      </c>
      <c r="C1934" t="s">
        <v>26</v>
      </c>
      <c r="D1934" t="s">
        <v>27</v>
      </c>
      <c r="E1934" t="s">
        <v>20</v>
      </c>
      <c r="F1934" t="s">
        <v>600</v>
      </c>
      <c r="G1934" t="s">
        <v>22</v>
      </c>
      <c r="J1934">
        <v>0</v>
      </c>
      <c r="K1934">
        <v>0</v>
      </c>
      <c r="L1934">
        <v>0</v>
      </c>
      <c r="M1934">
        <v>1</v>
      </c>
      <c r="N1934">
        <v>0.6</v>
      </c>
      <c r="O1934">
        <v>4.8</v>
      </c>
      <c r="P1934">
        <v>3.9</v>
      </c>
      <c r="Q1934" t="s">
        <v>39</v>
      </c>
    </row>
    <row r="1935" spans="1:17" x14ac:dyDescent="0.3">
      <c r="A1935" t="s">
        <v>2645</v>
      </c>
      <c r="B1935" s="2">
        <v>46029</v>
      </c>
      <c r="C1935" t="s">
        <v>26</v>
      </c>
      <c r="D1935" t="s">
        <v>27</v>
      </c>
      <c r="E1935" t="s">
        <v>20</v>
      </c>
      <c r="F1935" t="s">
        <v>1414</v>
      </c>
      <c r="G1935" t="s">
        <v>30</v>
      </c>
      <c r="J1935">
        <v>0</v>
      </c>
      <c r="K1935">
        <v>0</v>
      </c>
      <c r="L1935">
        <v>0</v>
      </c>
      <c r="M1935">
        <v>1</v>
      </c>
      <c r="N1935">
        <v>1.6</v>
      </c>
      <c r="O1935">
        <v>3.3</v>
      </c>
      <c r="P1935">
        <v>3.4</v>
      </c>
      <c r="Q1935" t="s">
        <v>225</v>
      </c>
    </row>
    <row r="1936" spans="1:17" x14ac:dyDescent="0.3">
      <c r="A1936" t="s">
        <v>2646</v>
      </c>
      <c r="B1936" s="2">
        <v>46139</v>
      </c>
      <c r="C1936" t="s">
        <v>26</v>
      </c>
      <c r="D1936" t="s">
        <v>114</v>
      </c>
      <c r="E1936" t="s">
        <v>48</v>
      </c>
      <c r="F1936" t="s">
        <v>1849</v>
      </c>
      <c r="G1936" t="s">
        <v>30</v>
      </c>
      <c r="J1936">
        <v>0</v>
      </c>
      <c r="K1936">
        <v>0</v>
      </c>
      <c r="L1936">
        <v>0</v>
      </c>
      <c r="M1936">
        <v>1</v>
      </c>
      <c r="N1936">
        <v>1.7</v>
      </c>
      <c r="O1936">
        <v>6.9</v>
      </c>
      <c r="P1936">
        <v>4</v>
      </c>
      <c r="Q1936" t="s">
        <v>225</v>
      </c>
    </row>
    <row r="1937" spans="1:17" x14ac:dyDescent="0.3">
      <c r="A1937" t="s">
        <v>2647</v>
      </c>
      <c r="B1937" s="2">
        <v>46007</v>
      </c>
      <c r="C1937" t="s">
        <v>26</v>
      </c>
      <c r="D1937" t="s">
        <v>36</v>
      </c>
      <c r="E1937" t="s">
        <v>20</v>
      </c>
      <c r="F1937" t="s">
        <v>1721</v>
      </c>
      <c r="G1937" t="s">
        <v>30</v>
      </c>
      <c r="J1937">
        <v>0</v>
      </c>
      <c r="K1937">
        <v>0</v>
      </c>
      <c r="L1937">
        <v>0</v>
      </c>
      <c r="M1937">
        <v>1</v>
      </c>
      <c r="N1937">
        <v>8.6999999999999993</v>
      </c>
      <c r="O1937">
        <v>19</v>
      </c>
      <c r="P1937">
        <v>3.4</v>
      </c>
      <c r="Q1937" t="s">
        <v>39</v>
      </c>
    </row>
    <row r="1938" spans="1:17" x14ac:dyDescent="0.3">
      <c r="A1938" t="s">
        <v>2648</v>
      </c>
      <c r="B1938" s="2">
        <v>45950</v>
      </c>
      <c r="C1938" t="s">
        <v>18</v>
      </c>
      <c r="D1938" t="s">
        <v>47</v>
      </c>
      <c r="E1938" t="s">
        <v>37</v>
      </c>
      <c r="F1938" t="s">
        <v>587</v>
      </c>
      <c r="G1938" t="s">
        <v>22</v>
      </c>
      <c r="H1938" t="s">
        <v>54</v>
      </c>
      <c r="I1938" t="s">
        <v>24</v>
      </c>
      <c r="J1938">
        <v>1</v>
      </c>
      <c r="K1938">
        <v>26700</v>
      </c>
      <c r="L1938">
        <v>26700</v>
      </c>
      <c r="N1938">
        <v>1.7</v>
      </c>
      <c r="Q1938" t="s">
        <v>24</v>
      </c>
    </row>
    <row r="1939" spans="1:17" x14ac:dyDescent="0.3">
      <c r="A1939" t="s">
        <v>2649</v>
      </c>
      <c r="B1939" s="2">
        <v>46241</v>
      </c>
      <c r="C1939" t="s">
        <v>26</v>
      </c>
      <c r="D1939" t="s">
        <v>69</v>
      </c>
      <c r="E1939" t="s">
        <v>37</v>
      </c>
      <c r="F1939" t="s">
        <v>1205</v>
      </c>
      <c r="G1939" t="s">
        <v>44</v>
      </c>
      <c r="J1939">
        <v>0</v>
      </c>
      <c r="K1939">
        <v>0</v>
      </c>
      <c r="L1939">
        <v>0</v>
      </c>
      <c r="M1939">
        <v>1</v>
      </c>
      <c r="N1939">
        <v>10</v>
      </c>
      <c r="O1939">
        <v>8.9</v>
      </c>
      <c r="P1939">
        <v>3.9</v>
      </c>
      <c r="Q1939" t="s">
        <v>39</v>
      </c>
    </row>
    <row r="1940" spans="1:17" x14ac:dyDescent="0.3">
      <c r="A1940" t="s">
        <v>2650</v>
      </c>
      <c r="B1940" s="2">
        <v>46206</v>
      </c>
      <c r="C1940" t="s">
        <v>18</v>
      </c>
      <c r="D1940" t="s">
        <v>105</v>
      </c>
      <c r="E1940" t="s">
        <v>20</v>
      </c>
      <c r="F1940" t="s">
        <v>1516</v>
      </c>
      <c r="G1940" t="s">
        <v>22</v>
      </c>
      <c r="H1940" t="s">
        <v>78</v>
      </c>
      <c r="I1940" t="s">
        <v>24</v>
      </c>
      <c r="J1940">
        <v>1</v>
      </c>
      <c r="K1940">
        <v>9600</v>
      </c>
      <c r="L1940">
        <v>9600</v>
      </c>
      <c r="N1940">
        <v>2.1</v>
      </c>
      <c r="Q1940" t="s">
        <v>24</v>
      </c>
    </row>
    <row r="1941" spans="1:17" x14ac:dyDescent="0.3">
      <c r="A1941" t="s">
        <v>2651</v>
      </c>
      <c r="B1941" s="2">
        <v>46160</v>
      </c>
      <c r="C1941" t="s">
        <v>18</v>
      </c>
      <c r="D1941" t="s">
        <v>52</v>
      </c>
      <c r="E1941" t="s">
        <v>20</v>
      </c>
      <c r="F1941" t="s">
        <v>1425</v>
      </c>
      <c r="G1941" t="s">
        <v>30</v>
      </c>
      <c r="H1941" t="s">
        <v>78</v>
      </c>
      <c r="I1941" t="s">
        <v>45</v>
      </c>
      <c r="J1941">
        <v>1</v>
      </c>
      <c r="K1941">
        <v>42900</v>
      </c>
      <c r="L1941">
        <v>0</v>
      </c>
      <c r="N1941">
        <v>1</v>
      </c>
      <c r="Q1941" t="s">
        <v>45</v>
      </c>
    </row>
    <row r="1942" spans="1:17" x14ac:dyDescent="0.3">
      <c r="A1942" t="s">
        <v>2652</v>
      </c>
      <c r="B1942" s="2">
        <v>45902</v>
      </c>
      <c r="C1942" t="s">
        <v>18</v>
      </c>
      <c r="D1942" t="s">
        <v>52</v>
      </c>
      <c r="E1942" t="s">
        <v>20</v>
      </c>
      <c r="F1942" t="s">
        <v>2067</v>
      </c>
      <c r="G1942" t="s">
        <v>30</v>
      </c>
      <c r="H1942" t="s">
        <v>23</v>
      </c>
      <c r="I1942" t="s">
        <v>55</v>
      </c>
      <c r="J1942">
        <v>1</v>
      </c>
      <c r="K1942">
        <v>14500</v>
      </c>
      <c r="L1942">
        <v>0</v>
      </c>
      <c r="N1942">
        <v>2.1</v>
      </c>
      <c r="Q1942" t="s">
        <v>55</v>
      </c>
    </row>
    <row r="1943" spans="1:17" x14ac:dyDescent="0.3">
      <c r="A1943" t="s">
        <v>2653</v>
      </c>
      <c r="B1943" s="2">
        <v>46237</v>
      </c>
      <c r="C1943" t="s">
        <v>18</v>
      </c>
      <c r="D1943" t="s">
        <v>19</v>
      </c>
      <c r="E1943" t="s">
        <v>28</v>
      </c>
      <c r="F1943" t="s">
        <v>1887</v>
      </c>
      <c r="G1943" t="s">
        <v>22</v>
      </c>
      <c r="H1943" t="s">
        <v>23</v>
      </c>
      <c r="I1943" t="s">
        <v>24</v>
      </c>
      <c r="J1943">
        <v>1</v>
      </c>
      <c r="K1943">
        <v>15300</v>
      </c>
      <c r="L1943">
        <v>15300</v>
      </c>
      <c r="N1943">
        <v>7.7</v>
      </c>
      <c r="Q1943" t="s">
        <v>24</v>
      </c>
    </row>
    <row r="1944" spans="1:17" x14ac:dyDescent="0.3">
      <c r="A1944" t="s">
        <v>2654</v>
      </c>
      <c r="B1944" s="2">
        <v>46099</v>
      </c>
      <c r="C1944" t="s">
        <v>26</v>
      </c>
      <c r="D1944" t="s">
        <v>114</v>
      </c>
      <c r="E1944" t="s">
        <v>42</v>
      </c>
      <c r="F1944" t="s">
        <v>1694</v>
      </c>
      <c r="G1944" t="s">
        <v>22</v>
      </c>
      <c r="J1944">
        <v>0</v>
      </c>
      <c r="K1944">
        <v>0</v>
      </c>
      <c r="L1944">
        <v>0</v>
      </c>
      <c r="M1944">
        <v>1</v>
      </c>
      <c r="N1944">
        <v>5.7</v>
      </c>
      <c r="O1944">
        <v>2.7</v>
      </c>
      <c r="P1944">
        <v>4.4000000000000004</v>
      </c>
      <c r="Q1944" t="s">
        <v>39</v>
      </c>
    </row>
    <row r="1945" spans="1:17" x14ac:dyDescent="0.3">
      <c r="A1945" t="s">
        <v>2655</v>
      </c>
      <c r="B1945" s="2">
        <v>46190</v>
      </c>
      <c r="C1945" t="s">
        <v>26</v>
      </c>
      <c r="D1945" t="s">
        <v>36</v>
      </c>
      <c r="E1945" t="s">
        <v>20</v>
      </c>
      <c r="F1945" t="s">
        <v>2368</v>
      </c>
      <c r="G1945" t="s">
        <v>22</v>
      </c>
      <c r="J1945">
        <v>0</v>
      </c>
      <c r="K1945">
        <v>0</v>
      </c>
      <c r="L1945">
        <v>0</v>
      </c>
      <c r="M1945">
        <v>1</v>
      </c>
      <c r="N1945">
        <v>6.2</v>
      </c>
      <c r="O1945">
        <v>11.6</v>
      </c>
      <c r="P1945">
        <v>3.6</v>
      </c>
      <c r="Q1945" t="s">
        <v>39</v>
      </c>
    </row>
    <row r="1946" spans="1:17" x14ac:dyDescent="0.3">
      <c r="A1946" t="s">
        <v>2656</v>
      </c>
      <c r="B1946" s="2">
        <v>45999</v>
      </c>
      <c r="C1946" t="s">
        <v>26</v>
      </c>
      <c r="D1946" t="s">
        <v>69</v>
      </c>
      <c r="E1946" t="s">
        <v>20</v>
      </c>
      <c r="F1946" t="s">
        <v>2657</v>
      </c>
      <c r="G1946" t="s">
        <v>22</v>
      </c>
      <c r="J1946">
        <v>0</v>
      </c>
      <c r="K1946">
        <v>0</v>
      </c>
      <c r="L1946">
        <v>0</v>
      </c>
      <c r="M1946">
        <v>1</v>
      </c>
      <c r="N1946">
        <v>8.6999999999999993</v>
      </c>
      <c r="O1946">
        <v>4.2</v>
      </c>
      <c r="P1946">
        <v>4.0999999999999996</v>
      </c>
      <c r="Q1946" t="s">
        <v>31</v>
      </c>
    </row>
    <row r="1947" spans="1:17" x14ac:dyDescent="0.3">
      <c r="A1947" t="s">
        <v>2658</v>
      </c>
      <c r="B1947" s="2">
        <v>45967</v>
      </c>
      <c r="C1947" t="s">
        <v>18</v>
      </c>
      <c r="D1947" t="s">
        <v>105</v>
      </c>
      <c r="E1947" t="s">
        <v>20</v>
      </c>
      <c r="F1947" t="s">
        <v>1323</v>
      </c>
      <c r="G1947" t="s">
        <v>22</v>
      </c>
      <c r="H1947" t="s">
        <v>54</v>
      </c>
      <c r="I1947" t="s">
        <v>55</v>
      </c>
      <c r="J1947">
        <v>1</v>
      </c>
      <c r="K1947">
        <v>9800</v>
      </c>
      <c r="L1947">
        <v>0</v>
      </c>
      <c r="N1947">
        <v>8.6</v>
      </c>
      <c r="Q1947" t="s">
        <v>55</v>
      </c>
    </row>
    <row r="1948" spans="1:17" x14ac:dyDescent="0.3">
      <c r="A1948" t="s">
        <v>2659</v>
      </c>
      <c r="B1948" s="2">
        <v>46186</v>
      </c>
      <c r="C1948" t="s">
        <v>18</v>
      </c>
      <c r="D1948" t="s">
        <v>95</v>
      </c>
      <c r="E1948" t="s">
        <v>20</v>
      </c>
      <c r="F1948" t="s">
        <v>2131</v>
      </c>
      <c r="G1948" t="s">
        <v>30</v>
      </c>
      <c r="H1948" t="s">
        <v>23</v>
      </c>
      <c r="I1948" t="s">
        <v>67</v>
      </c>
      <c r="J1948">
        <v>1</v>
      </c>
      <c r="K1948">
        <v>24800</v>
      </c>
      <c r="L1948">
        <v>0</v>
      </c>
      <c r="N1948">
        <v>19.600000000000001</v>
      </c>
      <c r="Q1948" t="s">
        <v>67</v>
      </c>
    </row>
    <row r="1949" spans="1:17" x14ac:dyDescent="0.3">
      <c r="A1949" t="s">
        <v>2660</v>
      </c>
      <c r="B1949" s="2">
        <v>45952</v>
      </c>
      <c r="C1949" t="s">
        <v>18</v>
      </c>
      <c r="D1949" t="s">
        <v>52</v>
      </c>
      <c r="E1949" t="s">
        <v>20</v>
      </c>
      <c r="F1949" t="s">
        <v>1539</v>
      </c>
      <c r="G1949" t="s">
        <v>44</v>
      </c>
      <c r="H1949" t="s">
        <v>78</v>
      </c>
      <c r="I1949" t="s">
        <v>67</v>
      </c>
      <c r="J1949">
        <v>1</v>
      </c>
      <c r="K1949">
        <v>19500</v>
      </c>
      <c r="L1949">
        <v>0</v>
      </c>
      <c r="N1949">
        <v>7.3</v>
      </c>
      <c r="Q1949" t="s">
        <v>67</v>
      </c>
    </row>
    <row r="1950" spans="1:17" x14ac:dyDescent="0.3">
      <c r="A1950" t="s">
        <v>2661</v>
      </c>
      <c r="B1950" s="2">
        <v>46227</v>
      </c>
      <c r="C1950" t="s">
        <v>18</v>
      </c>
      <c r="D1950" t="s">
        <v>117</v>
      </c>
      <c r="E1950" t="s">
        <v>20</v>
      </c>
      <c r="F1950" t="s">
        <v>793</v>
      </c>
      <c r="G1950" t="s">
        <v>30</v>
      </c>
      <c r="H1950" t="s">
        <v>23</v>
      </c>
      <c r="I1950" t="s">
        <v>24</v>
      </c>
      <c r="J1950">
        <v>1</v>
      </c>
      <c r="K1950">
        <v>82700</v>
      </c>
      <c r="L1950">
        <v>82700</v>
      </c>
      <c r="N1950">
        <v>9.8000000000000007</v>
      </c>
      <c r="Q1950" t="s">
        <v>24</v>
      </c>
    </row>
    <row r="1951" spans="1:17" x14ac:dyDescent="0.3">
      <c r="A1951" t="s">
        <v>2662</v>
      </c>
      <c r="B1951" s="2">
        <v>46218</v>
      </c>
      <c r="C1951" t="s">
        <v>18</v>
      </c>
      <c r="D1951" t="s">
        <v>19</v>
      </c>
      <c r="E1951" t="s">
        <v>42</v>
      </c>
      <c r="F1951" t="s">
        <v>1162</v>
      </c>
      <c r="G1951" t="s">
        <v>22</v>
      </c>
      <c r="H1951" t="s">
        <v>78</v>
      </c>
      <c r="I1951" t="s">
        <v>89</v>
      </c>
      <c r="J1951">
        <v>1</v>
      </c>
      <c r="K1951">
        <v>35600</v>
      </c>
      <c r="L1951">
        <v>0</v>
      </c>
      <c r="N1951">
        <v>21.4</v>
      </c>
      <c r="Q1951" t="s">
        <v>89</v>
      </c>
    </row>
    <row r="1952" spans="1:17" x14ac:dyDescent="0.3">
      <c r="A1952" t="s">
        <v>2663</v>
      </c>
      <c r="B1952" s="2">
        <v>46252</v>
      </c>
      <c r="C1952" t="s">
        <v>18</v>
      </c>
      <c r="D1952" t="s">
        <v>95</v>
      </c>
      <c r="E1952" t="s">
        <v>20</v>
      </c>
      <c r="F1952" t="s">
        <v>966</v>
      </c>
      <c r="G1952" t="s">
        <v>44</v>
      </c>
      <c r="H1952" t="s">
        <v>54</v>
      </c>
      <c r="I1952" t="s">
        <v>67</v>
      </c>
      <c r="J1952">
        <v>1</v>
      </c>
      <c r="K1952">
        <v>12000</v>
      </c>
      <c r="L1952">
        <v>0</v>
      </c>
      <c r="N1952">
        <v>9.1</v>
      </c>
      <c r="Q1952" t="s">
        <v>67</v>
      </c>
    </row>
    <row r="1953" spans="1:17" x14ac:dyDescent="0.3">
      <c r="A1953" t="s">
        <v>2664</v>
      </c>
      <c r="B1953" s="2">
        <v>46045</v>
      </c>
      <c r="C1953" t="s">
        <v>18</v>
      </c>
      <c r="D1953" t="s">
        <v>64</v>
      </c>
      <c r="E1953" t="s">
        <v>20</v>
      </c>
      <c r="F1953" t="s">
        <v>278</v>
      </c>
      <c r="G1953" t="s">
        <v>22</v>
      </c>
      <c r="H1953" t="s">
        <v>86</v>
      </c>
      <c r="I1953" t="s">
        <v>45</v>
      </c>
      <c r="J1953">
        <v>1</v>
      </c>
      <c r="K1953">
        <v>116300</v>
      </c>
      <c r="L1953">
        <v>0</v>
      </c>
      <c r="N1953">
        <v>11.5</v>
      </c>
      <c r="Q1953" t="s">
        <v>45</v>
      </c>
    </row>
    <row r="1954" spans="1:17" x14ac:dyDescent="0.3">
      <c r="A1954" t="s">
        <v>2665</v>
      </c>
      <c r="B1954" s="2">
        <v>46077</v>
      </c>
      <c r="C1954" t="s">
        <v>26</v>
      </c>
      <c r="D1954" t="s">
        <v>114</v>
      </c>
      <c r="E1954" t="s">
        <v>28</v>
      </c>
      <c r="F1954" t="s">
        <v>1575</v>
      </c>
      <c r="G1954" t="s">
        <v>22</v>
      </c>
      <c r="J1954">
        <v>0</v>
      </c>
      <c r="K1954">
        <v>0</v>
      </c>
      <c r="L1954">
        <v>0</v>
      </c>
      <c r="M1954">
        <v>1</v>
      </c>
      <c r="N1954">
        <v>3.7</v>
      </c>
      <c r="O1954">
        <v>11</v>
      </c>
      <c r="P1954">
        <v>4.7</v>
      </c>
      <c r="Q1954" t="s">
        <v>39</v>
      </c>
    </row>
    <row r="1955" spans="1:17" x14ac:dyDescent="0.3">
      <c r="A1955" t="s">
        <v>2666</v>
      </c>
      <c r="B1955" s="2">
        <v>45940</v>
      </c>
      <c r="C1955" t="s">
        <v>26</v>
      </c>
      <c r="D1955" t="s">
        <v>72</v>
      </c>
      <c r="E1955" t="s">
        <v>28</v>
      </c>
      <c r="F1955" t="s">
        <v>212</v>
      </c>
      <c r="G1955" t="s">
        <v>50</v>
      </c>
      <c r="J1955">
        <v>0</v>
      </c>
      <c r="K1955">
        <v>0</v>
      </c>
      <c r="L1955">
        <v>0</v>
      </c>
      <c r="M1955">
        <v>1</v>
      </c>
      <c r="N1955">
        <v>0.9</v>
      </c>
      <c r="O1955">
        <v>3.9</v>
      </c>
      <c r="P1955">
        <v>4.9000000000000004</v>
      </c>
      <c r="Q1955" t="s">
        <v>62</v>
      </c>
    </row>
    <row r="1956" spans="1:17" x14ac:dyDescent="0.3">
      <c r="A1956" t="s">
        <v>2667</v>
      </c>
      <c r="B1956" s="2">
        <v>46149</v>
      </c>
      <c r="C1956" t="s">
        <v>26</v>
      </c>
      <c r="D1956" t="s">
        <v>36</v>
      </c>
      <c r="E1956" t="s">
        <v>20</v>
      </c>
      <c r="F1956" t="s">
        <v>360</v>
      </c>
      <c r="G1956" t="s">
        <v>30</v>
      </c>
      <c r="J1956">
        <v>0</v>
      </c>
      <c r="K1956">
        <v>0</v>
      </c>
      <c r="L1956">
        <v>0</v>
      </c>
      <c r="M1956">
        <v>1</v>
      </c>
      <c r="N1956">
        <v>11</v>
      </c>
      <c r="O1956">
        <v>5.5</v>
      </c>
      <c r="P1956">
        <v>4.4000000000000004</v>
      </c>
      <c r="Q1956" t="s">
        <v>39</v>
      </c>
    </row>
    <row r="1957" spans="1:17" x14ac:dyDescent="0.3">
      <c r="A1957" t="s">
        <v>2668</v>
      </c>
      <c r="B1957" s="2">
        <v>46181</v>
      </c>
      <c r="C1957" t="s">
        <v>26</v>
      </c>
      <c r="D1957" t="s">
        <v>114</v>
      </c>
      <c r="E1957" t="s">
        <v>37</v>
      </c>
      <c r="F1957" t="s">
        <v>1349</v>
      </c>
      <c r="G1957" t="s">
        <v>22</v>
      </c>
      <c r="J1957">
        <v>0</v>
      </c>
      <c r="K1957">
        <v>0</v>
      </c>
      <c r="L1957">
        <v>0</v>
      </c>
      <c r="M1957">
        <v>1</v>
      </c>
      <c r="N1957">
        <v>7</v>
      </c>
      <c r="O1957">
        <v>4</v>
      </c>
      <c r="P1957">
        <v>4.2</v>
      </c>
      <c r="Q1957" t="s">
        <v>39</v>
      </c>
    </row>
    <row r="1958" spans="1:17" x14ac:dyDescent="0.3">
      <c r="A1958" t="s">
        <v>2669</v>
      </c>
      <c r="B1958" s="2">
        <v>46139</v>
      </c>
      <c r="C1958" t="s">
        <v>26</v>
      </c>
      <c r="D1958" t="s">
        <v>232</v>
      </c>
      <c r="E1958" t="s">
        <v>42</v>
      </c>
      <c r="F1958" t="s">
        <v>923</v>
      </c>
      <c r="G1958" t="s">
        <v>44</v>
      </c>
      <c r="J1958">
        <v>0</v>
      </c>
      <c r="K1958">
        <v>0</v>
      </c>
      <c r="L1958">
        <v>0</v>
      </c>
      <c r="M1958">
        <v>1</v>
      </c>
      <c r="N1958">
        <v>6.3</v>
      </c>
      <c r="O1958">
        <v>7.4</v>
      </c>
      <c r="P1958">
        <v>4.4000000000000004</v>
      </c>
      <c r="Q1958" t="s">
        <v>39</v>
      </c>
    </row>
    <row r="1959" spans="1:17" x14ac:dyDescent="0.3">
      <c r="A1959" t="s">
        <v>2670</v>
      </c>
      <c r="B1959" s="2">
        <v>46095</v>
      </c>
      <c r="C1959" t="s">
        <v>18</v>
      </c>
      <c r="D1959" t="s">
        <v>52</v>
      </c>
      <c r="E1959" t="s">
        <v>48</v>
      </c>
      <c r="F1959" t="s">
        <v>193</v>
      </c>
      <c r="G1959" t="s">
        <v>30</v>
      </c>
      <c r="H1959" t="s">
        <v>86</v>
      </c>
      <c r="I1959" t="s">
        <v>55</v>
      </c>
      <c r="J1959">
        <v>1</v>
      </c>
      <c r="K1959">
        <v>17600</v>
      </c>
      <c r="L1959">
        <v>0</v>
      </c>
      <c r="N1959">
        <v>17.8</v>
      </c>
      <c r="Q1959" t="s">
        <v>55</v>
      </c>
    </row>
    <row r="1960" spans="1:17" x14ac:dyDescent="0.3">
      <c r="A1960" t="s">
        <v>2671</v>
      </c>
      <c r="B1960" s="2">
        <v>45959</v>
      </c>
      <c r="C1960" t="s">
        <v>26</v>
      </c>
      <c r="D1960" t="s">
        <v>36</v>
      </c>
      <c r="E1960" t="s">
        <v>20</v>
      </c>
      <c r="F1960" t="s">
        <v>2672</v>
      </c>
      <c r="G1960" t="s">
        <v>22</v>
      </c>
      <c r="J1960">
        <v>0</v>
      </c>
      <c r="K1960">
        <v>0</v>
      </c>
      <c r="L1960">
        <v>0</v>
      </c>
      <c r="M1960">
        <v>1</v>
      </c>
      <c r="N1960">
        <v>5.5</v>
      </c>
      <c r="O1960">
        <v>4.0999999999999996</v>
      </c>
      <c r="P1960">
        <v>4.3</v>
      </c>
      <c r="Q1960" t="s">
        <v>39</v>
      </c>
    </row>
    <row r="1961" spans="1:17" x14ac:dyDescent="0.3">
      <c r="A1961" t="s">
        <v>2673</v>
      </c>
      <c r="B1961" s="2">
        <v>46144</v>
      </c>
      <c r="C1961" t="s">
        <v>26</v>
      </c>
      <c r="D1961" t="s">
        <v>27</v>
      </c>
      <c r="E1961" t="s">
        <v>28</v>
      </c>
      <c r="F1961" t="s">
        <v>1673</v>
      </c>
      <c r="G1961" t="s">
        <v>30</v>
      </c>
      <c r="J1961">
        <v>0</v>
      </c>
      <c r="K1961">
        <v>0</v>
      </c>
      <c r="L1961">
        <v>0</v>
      </c>
      <c r="M1961">
        <v>1</v>
      </c>
      <c r="N1961">
        <v>11.8</v>
      </c>
      <c r="O1961">
        <v>8</v>
      </c>
      <c r="P1961">
        <v>3.6</v>
      </c>
      <c r="Q1961" t="s">
        <v>39</v>
      </c>
    </row>
    <row r="1962" spans="1:17" x14ac:dyDescent="0.3">
      <c r="A1962" t="s">
        <v>2674</v>
      </c>
      <c r="B1962" s="2">
        <v>45999</v>
      </c>
      <c r="C1962" t="s">
        <v>18</v>
      </c>
      <c r="D1962" t="s">
        <v>95</v>
      </c>
      <c r="E1962" t="s">
        <v>20</v>
      </c>
      <c r="F1962" t="s">
        <v>652</v>
      </c>
      <c r="G1962" t="s">
        <v>50</v>
      </c>
      <c r="H1962" t="s">
        <v>23</v>
      </c>
      <c r="I1962" t="s">
        <v>67</v>
      </c>
      <c r="J1962">
        <v>1</v>
      </c>
      <c r="K1962">
        <v>69500</v>
      </c>
      <c r="L1962">
        <v>0</v>
      </c>
      <c r="N1962">
        <v>0.8</v>
      </c>
      <c r="Q1962" t="s">
        <v>67</v>
      </c>
    </row>
    <row r="1963" spans="1:17" x14ac:dyDescent="0.3">
      <c r="A1963" t="s">
        <v>2675</v>
      </c>
      <c r="B1963" s="2">
        <v>45905</v>
      </c>
      <c r="C1963" t="s">
        <v>18</v>
      </c>
      <c r="D1963" t="s">
        <v>47</v>
      </c>
      <c r="E1963" t="s">
        <v>28</v>
      </c>
      <c r="F1963" t="s">
        <v>1743</v>
      </c>
      <c r="G1963" t="s">
        <v>30</v>
      </c>
      <c r="H1963" t="s">
        <v>66</v>
      </c>
      <c r="I1963" t="s">
        <v>55</v>
      </c>
      <c r="J1963">
        <v>1</v>
      </c>
      <c r="K1963">
        <v>17300</v>
      </c>
      <c r="L1963">
        <v>0</v>
      </c>
      <c r="N1963">
        <v>14.5</v>
      </c>
      <c r="Q1963" t="s">
        <v>55</v>
      </c>
    </row>
    <row r="1964" spans="1:17" x14ac:dyDescent="0.3">
      <c r="A1964" t="s">
        <v>2676</v>
      </c>
      <c r="B1964" s="2">
        <v>46052</v>
      </c>
      <c r="C1964" t="s">
        <v>26</v>
      </c>
      <c r="D1964" t="s">
        <v>72</v>
      </c>
      <c r="E1964" t="s">
        <v>20</v>
      </c>
      <c r="F1964" t="s">
        <v>280</v>
      </c>
      <c r="G1964" t="s">
        <v>50</v>
      </c>
      <c r="J1964">
        <v>0</v>
      </c>
      <c r="K1964">
        <v>0</v>
      </c>
      <c r="L1964">
        <v>0</v>
      </c>
      <c r="M1964">
        <v>1</v>
      </c>
      <c r="N1964">
        <v>5.3</v>
      </c>
      <c r="O1964">
        <v>5.4</v>
      </c>
      <c r="P1964">
        <v>4.3</v>
      </c>
      <c r="Q1964" t="s">
        <v>39</v>
      </c>
    </row>
    <row r="1965" spans="1:17" x14ac:dyDescent="0.3">
      <c r="A1965" t="s">
        <v>2677</v>
      </c>
      <c r="B1965" s="2">
        <v>45960</v>
      </c>
      <c r="C1965" t="s">
        <v>18</v>
      </c>
      <c r="D1965" t="s">
        <v>95</v>
      </c>
      <c r="E1965" t="s">
        <v>28</v>
      </c>
      <c r="F1965" t="s">
        <v>1874</v>
      </c>
      <c r="G1965" t="s">
        <v>44</v>
      </c>
      <c r="H1965" t="s">
        <v>86</v>
      </c>
      <c r="I1965" t="s">
        <v>55</v>
      </c>
      <c r="J1965">
        <v>1</v>
      </c>
      <c r="K1965">
        <v>59300</v>
      </c>
      <c r="L1965">
        <v>0</v>
      </c>
      <c r="N1965">
        <v>11.1</v>
      </c>
      <c r="Q1965" t="s">
        <v>55</v>
      </c>
    </row>
    <row r="1966" spans="1:17" x14ac:dyDescent="0.3">
      <c r="A1966" t="s">
        <v>2678</v>
      </c>
      <c r="B1966" s="2">
        <v>46215</v>
      </c>
      <c r="C1966" t="s">
        <v>26</v>
      </c>
      <c r="D1966" t="s">
        <v>114</v>
      </c>
      <c r="E1966" t="s">
        <v>20</v>
      </c>
      <c r="F1966" t="s">
        <v>396</v>
      </c>
      <c r="G1966" t="s">
        <v>50</v>
      </c>
      <c r="J1966">
        <v>0</v>
      </c>
      <c r="K1966">
        <v>0</v>
      </c>
      <c r="L1966">
        <v>0</v>
      </c>
      <c r="M1966">
        <v>1</v>
      </c>
      <c r="N1966">
        <v>3</v>
      </c>
      <c r="O1966">
        <v>4.5999999999999996</v>
      </c>
      <c r="P1966">
        <v>2.9</v>
      </c>
      <c r="Q1966" t="s">
        <v>39</v>
      </c>
    </row>
    <row r="1967" spans="1:17" x14ac:dyDescent="0.3">
      <c r="A1967" t="s">
        <v>2679</v>
      </c>
      <c r="B1967" s="2">
        <v>46081</v>
      </c>
      <c r="C1967" t="s">
        <v>26</v>
      </c>
      <c r="D1967" t="s">
        <v>36</v>
      </c>
      <c r="E1967" t="s">
        <v>20</v>
      </c>
      <c r="F1967" t="s">
        <v>789</v>
      </c>
      <c r="G1967" t="s">
        <v>22</v>
      </c>
      <c r="J1967">
        <v>0</v>
      </c>
      <c r="K1967">
        <v>0</v>
      </c>
      <c r="L1967">
        <v>0</v>
      </c>
      <c r="M1967">
        <v>1</v>
      </c>
      <c r="N1967">
        <v>0.4</v>
      </c>
      <c r="O1967">
        <v>17.2</v>
      </c>
      <c r="P1967">
        <v>4.4000000000000004</v>
      </c>
      <c r="Q1967" t="s">
        <v>31</v>
      </c>
    </row>
    <row r="1968" spans="1:17" x14ac:dyDescent="0.3">
      <c r="A1968" t="s">
        <v>2680</v>
      </c>
      <c r="B1968" s="2">
        <v>46177</v>
      </c>
      <c r="C1968" t="s">
        <v>18</v>
      </c>
      <c r="D1968" t="s">
        <v>47</v>
      </c>
      <c r="E1968" t="s">
        <v>20</v>
      </c>
      <c r="F1968" t="s">
        <v>1560</v>
      </c>
      <c r="G1968" t="s">
        <v>30</v>
      </c>
      <c r="H1968" t="s">
        <v>54</v>
      </c>
      <c r="I1968" t="s">
        <v>67</v>
      </c>
      <c r="J1968">
        <v>1</v>
      </c>
      <c r="K1968">
        <v>30600</v>
      </c>
      <c r="L1968">
        <v>0</v>
      </c>
      <c r="N1968">
        <v>3.5</v>
      </c>
      <c r="Q1968" t="s">
        <v>67</v>
      </c>
    </row>
    <row r="1969" spans="1:17" x14ac:dyDescent="0.3">
      <c r="A1969" t="s">
        <v>2681</v>
      </c>
      <c r="B1969" s="2">
        <v>46016</v>
      </c>
      <c r="C1969" t="s">
        <v>18</v>
      </c>
      <c r="D1969" t="s">
        <v>64</v>
      </c>
      <c r="E1969" t="s">
        <v>48</v>
      </c>
      <c r="F1969" t="s">
        <v>1182</v>
      </c>
      <c r="G1969" t="s">
        <v>44</v>
      </c>
      <c r="H1969" t="s">
        <v>78</v>
      </c>
      <c r="I1969" t="s">
        <v>67</v>
      </c>
      <c r="J1969">
        <v>1</v>
      </c>
      <c r="K1969">
        <v>17900</v>
      </c>
      <c r="L1969">
        <v>0</v>
      </c>
      <c r="N1969">
        <v>6.2</v>
      </c>
      <c r="Q1969" t="s">
        <v>67</v>
      </c>
    </row>
    <row r="1970" spans="1:17" x14ac:dyDescent="0.3">
      <c r="A1970" t="s">
        <v>2682</v>
      </c>
      <c r="B1970" s="2">
        <v>46238</v>
      </c>
      <c r="C1970" t="s">
        <v>18</v>
      </c>
      <c r="D1970" t="s">
        <v>19</v>
      </c>
      <c r="E1970" t="s">
        <v>42</v>
      </c>
      <c r="F1970" t="s">
        <v>1061</v>
      </c>
      <c r="G1970" t="s">
        <v>44</v>
      </c>
      <c r="H1970" t="s">
        <v>54</v>
      </c>
      <c r="I1970" t="s">
        <v>89</v>
      </c>
      <c r="J1970">
        <v>1</v>
      </c>
      <c r="K1970">
        <v>11700</v>
      </c>
      <c r="L1970">
        <v>0</v>
      </c>
      <c r="N1970">
        <v>23.4</v>
      </c>
      <c r="Q1970" t="s">
        <v>89</v>
      </c>
    </row>
    <row r="1971" spans="1:17" x14ac:dyDescent="0.3">
      <c r="A1971" t="s">
        <v>2683</v>
      </c>
      <c r="B1971" s="2">
        <v>46103</v>
      </c>
      <c r="C1971" t="s">
        <v>18</v>
      </c>
      <c r="D1971" t="s">
        <v>41</v>
      </c>
      <c r="E1971" t="s">
        <v>20</v>
      </c>
      <c r="F1971" t="s">
        <v>1304</v>
      </c>
      <c r="G1971" t="s">
        <v>44</v>
      </c>
      <c r="H1971" t="s">
        <v>78</v>
      </c>
      <c r="I1971" t="s">
        <v>79</v>
      </c>
      <c r="J1971">
        <v>1</v>
      </c>
      <c r="K1971">
        <v>50900</v>
      </c>
      <c r="L1971">
        <v>0</v>
      </c>
      <c r="N1971">
        <v>1.1000000000000001</v>
      </c>
      <c r="Q1971" t="s">
        <v>79</v>
      </c>
    </row>
    <row r="1972" spans="1:17" x14ac:dyDescent="0.3">
      <c r="A1972" t="s">
        <v>2684</v>
      </c>
      <c r="B1972" s="2">
        <v>46185</v>
      </c>
      <c r="C1972" t="s">
        <v>18</v>
      </c>
      <c r="D1972" t="s">
        <v>47</v>
      </c>
      <c r="E1972" t="s">
        <v>20</v>
      </c>
      <c r="F1972" t="s">
        <v>2685</v>
      </c>
      <c r="G1972" t="s">
        <v>44</v>
      </c>
      <c r="H1972" t="s">
        <v>23</v>
      </c>
      <c r="I1972" t="s">
        <v>79</v>
      </c>
      <c r="J1972">
        <v>1</v>
      </c>
      <c r="K1972">
        <v>34600</v>
      </c>
      <c r="L1972">
        <v>0</v>
      </c>
      <c r="N1972">
        <v>16.2</v>
      </c>
      <c r="Q1972" t="s">
        <v>79</v>
      </c>
    </row>
    <row r="1973" spans="1:17" x14ac:dyDescent="0.3">
      <c r="A1973" t="s">
        <v>2686</v>
      </c>
      <c r="B1973" s="2">
        <v>46179</v>
      </c>
      <c r="C1973" t="s">
        <v>26</v>
      </c>
      <c r="D1973" t="s">
        <v>232</v>
      </c>
      <c r="E1973" t="s">
        <v>20</v>
      </c>
      <c r="F1973" t="s">
        <v>1402</v>
      </c>
      <c r="G1973" t="s">
        <v>30</v>
      </c>
      <c r="J1973">
        <v>0</v>
      </c>
      <c r="K1973">
        <v>0</v>
      </c>
      <c r="L1973">
        <v>0</v>
      </c>
      <c r="M1973">
        <v>1</v>
      </c>
      <c r="N1973">
        <v>8</v>
      </c>
      <c r="O1973">
        <v>10</v>
      </c>
      <c r="P1973">
        <v>4</v>
      </c>
      <c r="Q1973" t="s">
        <v>39</v>
      </c>
    </row>
    <row r="1974" spans="1:17" x14ac:dyDescent="0.3">
      <c r="A1974" t="s">
        <v>2687</v>
      </c>
      <c r="B1974" s="2">
        <v>46000</v>
      </c>
      <c r="C1974" t="s">
        <v>18</v>
      </c>
      <c r="D1974" t="s">
        <v>41</v>
      </c>
      <c r="E1974" t="s">
        <v>37</v>
      </c>
      <c r="F1974" t="s">
        <v>522</v>
      </c>
      <c r="G1974" t="s">
        <v>30</v>
      </c>
      <c r="H1974" t="s">
        <v>23</v>
      </c>
      <c r="I1974" t="s">
        <v>79</v>
      </c>
      <c r="J1974">
        <v>1</v>
      </c>
      <c r="K1974">
        <v>31200</v>
      </c>
      <c r="L1974">
        <v>0</v>
      </c>
      <c r="N1974">
        <v>6.1</v>
      </c>
      <c r="Q1974" t="s">
        <v>79</v>
      </c>
    </row>
    <row r="1975" spans="1:17" x14ac:dyDescent="0.3">
      <c r="A1975" t="s">
        <v>2688</v>
      </c>
      <c r="B1975" s="2">
        <v>45917</v>
      </c>
      <c r="C1975" t="s">
        <v>18</v>
      </c>
      <c r="D1975" t="s">
        <v>64</v>
      </c>
      <c r="E1975" t="s">
        <v>28</v>
      </c>
      <c r="F1975" t="s">
        <v>85</v>
      </c>
      <c r="G1975" t="s">
        <v>30</v>
      </c>
      <c r="H1975" t="s">
        <v>86</v>
      </c>
      <c r="I1975" t="s">
        <v>79</v>
      </c>
      <c r="J1975">
        <v>1</v>
      </c>
      <c r="K1975">
        <v>11000</v>
      </c>
      <c r="L1975">
        <v>0</v>
      </c>
      <c r="N1975">
        <v>10.7</v>
      </c>
      <c r="Q1975" t="s">
        <v>79</v>
      </c>
    </row>
    <row r="1976" spans="1:17" x14ac:dyDescent="0.3">
      <c r="A1976" t="s">
        <v>2689</v>
      </c>
      <c r="B1976" s="2">
        <v>46184</v>
      </c>
      <c r="C1976" t="s">
        <v>18</v>
      </c>
      <c r="D1976" t="s">
        <v>41</v>
      </c>
      <c r="E1976" t="s">
        <v>20</v>
      </c>
      <c r="F1976" t="s">
        <v>2228</v>
      </c>
      <c r="G1976" t="s">
        <v>30</v>
      </c>
      <c r="H1976" t="s">
        <v>86</v>
      </c>
      <c r="I1976" t="s">
        <v>67</v>
      </c>
      <c r="J1976">
        <v>1</v>
      </c>
      <c r="K1976">
        <v>28800</v>
      </c>
      <c r="L1976">
        <v>0</v>
      </c>
      <c r="N1976">
        <v>16</v>
      </c>
      <c r="Q1976" t="s">
        <v>67</v>
      </c>
    </row>
    <row r="1977" spans="1:17" x14ac:dyDescent="0.3">
      <c r="A1977" t="s">
        <v>2690</v>
      </c>
      <c r="B1977" s="2">
        <v>46006</v>
      </c>
      <c r="C1977" t="s">
        <v>26</v>
      </c>
      <c r="D1977" t="s">
        <v>72</v>
      </c>
      <c r="E1977" t="s">
        <v>48</v>
      </c>
      <c r="F1977" t="s">
        <v>524</v>
      </c>
      <c r="G1977" t="s">
        <v>22</v>
      </c>
      <c r="J1977">
        <v>0</v>
      </c>
      <c r="K1977">
        <v>0</v>
      </c>
      <c r="L1977">
        <v>0</v>
      </c>
      <c r="M1977">
        <v>1</v>
      </c>
      <c r="N1977">
        <v>2.7</v>
      </c>
      <c r="O1977">
        <v>2</v>
      </c>
      <c r="P1977">
        <v>4.4000000000000004</v>
      </c>
      <c r="Q1977" t="s">
        <v>225</v>
      </c>
    </row>
    <row r="1978" spans="1:17" x14ac:dyDescent="0.3">
      <c r="A1978" t="s">
        <v>2691</v>
      </c>
      <c r="B1978" s="2">
        <v>46232</v>
      </c>
      <c r="C1978" t="s">
        <v>18</v>
      </c>
      <c r="D1978" t="s">
        <v>47</v>
      </c>
      <c r="E1978" t="s">
        <v>28</v>
      </c>
      <c r="F1978" t="s">
        <v>570</v>
      </c>
      <c r="G1978" t="s">
        <v>22</v>
      </c>
      <c r="H1978" t="s">
        <v>23</v>
      </c>
      <c r="I1978" t="s">
        <v>79</v>
      </c>
      <c r="J1978">
        <v>1</v>
      </c>
      <c r="K1978">
        <v>14900</v>
      </c>
      <c r="L1978">
        <v>0</v>
      </c>
      <c r="N1978">
        <v>6</v>
      </c>
      <c r="Q1978" t="s">
        <v>79</v>
      </c>
    </row>
    <row r="1979" spans="1:17" x14ac:dyDescent="0.3">
      <c r="A1979" t="s">
        <v>2692</v>
      </c>
      <c r="B1979" s="2">
        <v>46084</v>
      </c>
      <c r="C1979" t="s">
        <v>18</v>
      </c>
      <c r="D1979" t="s">
        <v>41</v>
      </c>
      <c r="E1979" t="s">
        <v>48</v>
      </c>
      <c r="F1979" t="s">
        <v>188</v>
      </c>
      <c r="G1979" t="s">
        <v>44</v>
      </c>
      <c r="H1979" t="s">
        <v>66</v>
      </c>
      <c r="I1979" t="s">
        <v>55</v>
      </c>
      <c r="J1979">
        <v>1</v>
      </c>
      <c r="K1979">
        <v>17900</v>
      </c>
      <c r="L1979">
        <v>0</v>
      </c>
      <c r="N1979">
        <v>6.3</v>
      </c>
      <c r="Q1979" t="s">
        <v>55</v>
      </c>
    </row>
    <row r="1980" spans="1:17" x14ac:dyDescent="0.3">
      <c r="A1980" t="s">
        <v>2693</v>
      </c>
      <c r="B1980" s="2">
        <v>45910</v>
      </c>
      <c r="C1980" t="s">
        <v>26</v>
      </c>
      <c r="D1980" t="s">
        <v>69</v>
      </c>
      <c r="E1980" t="s">
        <v>48</v>
      </c>
      <c r="F1980" t="s">
        <v>334</v>
      </c>
      <c r="G1980" t="s">
        <v>50</v>
      </c>
      <c r="J1980">
        <v>0</v>
      </c>
      <c r="K1980">
        <v>0</v>
      </c>
      <c r="L1980">
        <v>0</v>
      </c>
      <c r="M1980">
        <v>1</v>
      </c>
      <c r="N1980">
        <v>6.7</v>
      </c>
      <c r="O1980">
        <v>9.3000000000000007</v>
      </c>
      <c r="P1980">
        <v>3.9</v>
      </c>
      <c r="Q1980" t="s">
        <v>225</v>
      </c>
    </row>
    <row r="1981" spans="1:17" x14ac:dyDescent="0.3">
      <c r="A1981" t="s">
        <v>2694</v>
      </c>
      <c r="B1981" s="2">
        <v>45952</v>
      </c>
      <c r="C1981" t="s">
        <v>26</v>
      </c>
      <c r="D1981" t="s">
        <v>33</v>
      </c>
      <c r="E1981" t="s">
        <v>20</v>
      </c>
      <c r="F1981" t="s">
        <v>91</v>
      </c>
      <c r="G1981" t="s">
        <v>50</v>
      </c>
      <c r="J1981">
        <v>0</v>
      </c>
      <c r="K1981">
        <v>0</v>
      </c>
      <c r="L1981">
        <v>0</v>
      </c>
      <c r="M1981">
        <v>1</v>
      </c>
      <c r="O1981">
        <v>11.9</v>
      </c>
      <c r="P1981">
        <v>3.9</v>
      </c>
      <c r="Q1981" t="s">
        <v>62</v>
      </c>
    </row>
    <row r="1982" spans="1:17" x14ac:dyDescent="0.3">
      <c r="A1982" t="s">
        <v>2695</v>
      </c>
      <c r="B1982" s="2">
        <v>46109</v>
      </c>
      <c r="C1982" t="s">
        <v>18</v>
      </c>
      <c r="D1982" t="s">
        <v>95</v>
      </c>
      <c r="E1982" t="s">
        <v>28</v>
      </c>
      <c r="F1982" t="s">
        <v>316</v>
      </c>
      <c r="G1982" t="s">
        <v>22</v>
      </c>
      <c r="H1982" t="s">
        <v>54</v>
      </c>
      <c r="I1982" t="s">
        <v>89</v>
      </c>
      <c r="J1982">
        <v>1</v>
      </c>
      <c r="K1982">
        <v>55600</v>
      </c>
      <c r="L1982">
        <v>0</v>
      </c>
      <c r="N1982">
        <v>12.3</v>
      </c>
      <c r="Q1982" t="s">
        <v>89</v>
      </c>
    </row>
    <row r="1983" spans="1:17" x14ac:dyDescent="0.3">
      <c r="A1983" t="s">
        <v>2696</v>
      </c>
      <c r="B1983" s="2">
        <v>46159</v>
      </c>
      <c r="C1983" t="s">
        <v>26</v>
      </c>
      <c r="D1983" t="s">
        <v>36</v>
      </c>
      <c r="E1983" t="s">
        <v>20</v>
      </c>
      <c r="F1983" t="s">
        <v>1169</v>
      </c>
      <c r="G1983" t="s">
        <v>22</v>
      </c>
      <c r="J1983">
        <v>0</v>
      </c>
      <c r="K1983">
        <v>0</v>
      </c>
      <c r="L1983">
        <v>0</v>
      </c>
      <c r="M1983">
        <v>1</v>
      </c>
      <c r="N1983">
        <v>3.9</v>
      </c>
      <c r="O1983">
        <v>9.1999999999999993</v>
      </c>
      <c r="P1983">
        <v>3.6</v>
      </c>
      <c r="Q1983" t="s">
        <v>31</v>
      </c>
    </row>
    <row r="1984" spans="1:17" x14ac:dyDescent="0.3">
      <c r="A1984" t="s">
        <v>2697</v>
      </c>
      <c r="B1984" s="2">
        <v>46087</v>
      </c>
      <c r="C1984" t="s">
        <v>18</v>
      </c>
      <c r="D1984" t="s">
        <v>47</v>
      </c>
      <c r="E1984" t="s">
        <v>20</v>
      </c>
      <c r="F1984" t="s">
        <v>1304</v>
      </c>
      <c r="G1984" t="s">
        <v>44</v>
      </c>
      <c r="H1984" t="s">
        <v>54</v>
      </c>
      <c r="I1984" t="s">
        <v>89</v>
      </c>
      <c r="J1984">
        <v>1</v>
      </c>
      <c r="K1984">
        <v>15500</v>
      </c>
      <c r="L1984">
        <v>0</v>
      </c>
      <c r="N1984">
        <v>9.1</v>
      </c>
      <c r="Q1984" t="s">
        <v>89</v>
      </c>
    </row>
    <row r="1985" spans="1:17" x14ac:dyDescent="0.3">
      <c r="A1985" t="s">
        <v>2698</v>
      </c>
      <c r="B1985" s="2">
        <v>46099</v>
      </c>
      <c r="C1985" t="s">
        <v>18</v>
      </c>
      <c r="D1985" t="s">
        <v>47</v>
      </c>
      <c r="E1985" t="s">
        <v>48</v>
      </c>
      <c r="F1985" t="s">
        <v>1330</v>
      </c>
      <c r="G1985" t="s">
        <v>22</v>
      </c>
      <c r="H1985" t="s">
        <v>23</v>
      </c>
      <c r="I1985" t="s">
        <v>24</v>
      </c>
      <c r="J1985">
        <v>1</v>
      </c>
      <c r="K1985">
        <v>14000</v>
      </c>
      <c r="L1985">
        <v>14000</v>
      </c>
      <c r="N1985">
        <v>7.1</v>
      </c>
      <c r="Q1985" t="s">
        <v>24</v>
      </c>
    </row>
    <row r="1986" spans="1:17" x14ac:dyDescent="0.3">
      <c r="A1986" t="s">
        <v>2699</v>
      </c>
      <c r="B1986" s="2">
        <v>46094</v>
      </c>
      <c r="C1986" t="s">
        <v>18</v>
      </c>
      <c r="D1986" t="s">
        <v>47</v>
      </c>
      <c r="E1986" t="s">
        <v>20</v>
      </c>
      <c r="F1986" t="s">
        <v>491</v>
      </c>
      <c r="G1986" t="s">
        <v>44</v>
      </c>
      <c r="H1986" t="s">
        <v>54</v>
      </c>
      <c r="I1986" t="s">
        <v>89</v>
      </c>
      <c r="J1986">
        <v>1</v>
      </c>
      <c r="K1986">
        <v>22900</v>
      </c>
      <c r="L1986">
        <v>0</v>
      </c>
      <c r="N1986">
        <v>22.2</v>
      </c>
      <c r="Q1986" t="s">
        <v>89</v>
      </c>
    </row>
    <row r="1987" spans="1:17" x14ac:dyDescent="0.3">
      <c r="A1987" t="s">
        <v>2700</v>
      </c>
      <c r="B1987" s="2">
        <v>45998</v>
      </c>
      <c r="C1987" t="s">
        <v>18</v>
      </c>
      <c r="D1987" t="s">
        <v>117</v>
      </c>
      <c r="E1987" t="s">
        <v>37</v>
      </c>
      <c r="F1987" t="s">
        <v>1636</v>
      </c>
      <c r="G1987" t="s">
        <v>30</v>
      </c>
      <c r="H1987" t="s">
        <v>86</v>
      </c>
      <c r="I1987" t="s">
        <v>67</v>
      </c>
      <c r="J1987">
        <v>1</v>
      </c>
      <c r="K1987">
        <v>39000</v>
      </c>
      <c r="L1987">
        <v>0</v>
      </c>
      <c r="N1987">
        <v>22</v>
      </c>
      <c r="Q1987" t="s">
        <v>67</v>
      </c>
    </row>
    <row r="1988" spans="1:17" x14ac:dyDescent="0.3">
      <c r="A1988" t="s">
        <v>2701</v>
      </c>
      <c r="B1988" s="2">
        <v>46006</v>
      </c>
      <c r="C1988" t="s">
        <v>26</v>
      </c>
      <c r="D1988" t="s">
        <v>27</v>
      </c>
      <c r="E1988" t="s">
        <v>48</v>
      </c>
      <c r="F1988" t="s">
        <v>491</v>
      </c>
      <c r="G1988" t="s">
        <v>30</v>
      </c>
      <c r="J1988">
        <v>0</v>
      </c>
      <c r="K1988">
        <v>0</v>
      </c>
      <c r="L1988">
        <v>0</v>
      </c>
      <c r="M1988">
        <v>1</v>
      </c>
      <c r="N1988">
        <v>5.3</v>
      </c>
      <c r="O1988">
        <v>7.3</v>
      </c>
      <c r="P1988">
        <v>4.5</v>
      </c>
      <c r="Q1988" t="s">
        <v>225</v>
      </c>
    </row>
    <row r="1989" spans="1:17" x14ac:dyDescent="0.3">
      <c r="A1989" t="s">
        <v>2702</v>
      </c>
      <c r="B1989" s="2">
        <v>46261</v>
      </c>
      <c r="C1989" t="s">
        <v>18</v>
      </c>
      <c r="D1989" t="s">
        <v>19</v>
      </c>
      <c r="E1989" t="s">
        <v>28</v>
      </c>
      <c r="F1989" t="s">
        <v>158</v>
      </c>
      <c r="G1989" t="s">
        <v>22</v>
      </c>
      <c r="H1989" t="s">
        <v>78</v>
      </c>
      <c r="I1989" t="s">
        <v>24</v>
      </c>
      <c r="J1989">
        <v>1</v>
      </c>
      <c r="K1989">
        <v>13600</v>
      </c>
      <c r="L1989">
        <v>13600</v>
      </c>
      <c r="N1989">
        <v>8.1</v>
      </c>
      <c r="Q1989" t="s">
        <v>24</v>
      </c>
    </row>
    <row r="1990" spans="1:17" x14ac:dyDescent="0.3">
      <c r="A1990" t="s">
        <v>2703</v>
      </c>
      <c r="B1990" s="2">
        <v>46009</v>
      </c>
      <c r="C1990" t="s">
        <v>18</v>
      </c>
      <c r="D1990" t="s">
        <v>52</v>
      </c>
      <c r="E1990" t="s">
        <v>37</v>
      </c>
      <c r="F1990" t="s">
        <v>2033</v>
      </c>
      <c r="G1990" t="s">
        <v>44</v>
      </c>
      <c r="H1990" t="s">
        <v>78</v>
      </c>
      <c r="I1990" t="s">
        <v>67</v>
      </c>
      <c r="J1990">
        <v>1</v>
      </c>
      <c r="K1990">
        <v>5400</v>
      </c>
      <c r="L1990">
        <v>0</v>
      </c>
      <c r="N1990">
        <v>1.2</v>
      </c>
      <c r="Q1990" t="s">
        <v>67</v>
      </c>
    </row>
    <row r="1991" spans="1:17" x14ac:dyDescent="0.3">
      <c r="A1991" t="s">
        <v>2704</v>
      </c>
      <c r="B1991" s="2">
        <v>45946</v>
      </c>
      <c r="C1991" t="s">
        <v>26</v>
      </c>
      <c r="D1991" t="s">
        <v>232</v>
      </c>
      <c r="E1991" t="s">
        <v>48</v>
      </c>
      <c r="F1991" t="s">
        <v>1278</v>
      </c>
      <c r="G1991" t="s">
        <v>44</v>
      </c>
      <c r="J1991">
        <v>0</v>
      </c>
      <c r="K1991">
        <v>0</v>
      </c>
      <c r="L1991">
        <v>0</v>
      </c>
      <c r="M1991">
        <v>1</v>
      </c>
      <c r="N1991">
        <v>5.9</v>
      </c>
      <c r="O1991">
        <v>2.5</v>
      </c>
      <c r="P1991">
        <v>4.0999999999999996</v>
      </c>
      <c r="Q1991" t="s">
        <v>39</v>
      </c>
    </row>
    <row r="1992" spans="1:17" x14ac:dyDescent="0.3">
      <c r="A1992" t="s">
        <v>2705</v>
      </c>
      <c r="B1992" s="2">
        <v>46221</v>
      </c>
      <c r="C1992" t="s">
        <v>26</v>
      </c>
      <c r="D1992" t="s">
        <v>126</v>
      </c>
      <c r="E1992" t="s">
        <v>28</v>
      </c>
      <c r="F1992" t="s">
        <v>1555</v>
      </c>
      <c r="G1992" t="s">
        <v>44</v>
      </c>
      <c r="J1992">
        <v>0</v>
      </c>
      <c r="K1992">
        <v>0</v>
      </c>
      <c r="L1992">
        <v>0</v>
      </c>
      <c r="M1992">
        <v>1</v>
      </c>
      <c r="N1992">
        <v>8.8000000000000007</v>
      </c>
      <c r="O1992">
        <v>3.2</v>
      </c>
      <c r="P1992">
        <v>3.9</v>
      </c>
      <c r="Q1992" t="s">
        <v>62</v>
      </c>
    </row>
    <row r="1993" spans="1:17" x14ac:dyDescent="0.3">
      <c r="A1993" t="s">
        <v>2706</v>
      </c>
      <c r="B1993" s="2">
        <v>46160</v>
      </c>
      <c r="C1993" t="s">
        <v>18</v>
      </c>
      <c r="D1993" t="s">
        <v>47</v>
      </c>
      <c r="E1993" t="s">
        <v>28</v>
      </c>
      <c r="F1993" t="s">
        <v>2707</v>
      </c>
      <c r="G1993" t="s">
        <v>30</v>
      </c>
      <c r="H1993" t="s">
        <v>86</v>
      </c>
      <c r="I1993" t="s">
        <v>55</v>
      </c>
      <c r="J1993">
        <v>1</v>
      </c>
      <c r="K1993">
        <v>23500</v>
      </c>
      <c r="L1993">
        <v>0</v>
      </c>
      <c r="N1993">
        <v>8.1999999999999993</v>
      </c>
      <c r="Q1993" t="s">
        <v>55</v>
      </c>
    </row>
    <row r="1994" spans="1:17" x14ac:dyDescent="0.3">
      <c r="A1994" t="s">
        <v>2708</v>
      </c>
      <c r="B1994" s="2">
        <v>45981</v>
      </c>
      <c r="C1994" t="s">
        <v>26</v>
      </c>
      <c r="D1994" t="s">
        <v>126</v>
      </c>
      <c r="E1994" t="s">
        <v>20</v>
      </c>
      <c r="F1994" t="s">
        <v>689</v>
      </c>
      <c r="G1994" t="s">
        <v>22</v>
      </c>
      <c r="J1994">
        <v>0</v>
      </c>
      <c r="K1994">
        <v>0</v>
      </c>
      <c r="L1994">
        <v>0</v>
      </c>
      <c r="M1994">
        <v>1</v>
      </c>
      <c r="N1994">
        <v>11.9</v>
      </c>
      <c r="O1994">
        <v>15.7</v>
      </c>
      <c r="P1994">
        <v>3.8</v>
      </c>
      <c r="Q1994" t="s">
        <v>39</v>
      </c>
    </row>
    <row r="1995" spans="1:17" x14ac:dyDescent="0.3">
      <c r="A1995" t="s">
        <v>2709</v>
      </c>
      <c r="B1995" s="2">
        <v>46034</v>
      </c>
      <c r="C1995" t="s">
        <v>18</v>
      </c>
      <c r="D1995" t="s">
        <v>19</v>
      </c>
      <c r="E1995" t="s">
        <v>20</v>
      </c>
      <c r="F1995" t="s">
        <v>170</v>
      </c>
      <c r="G1995" t="s">
        <v>50</v>
      </c>
      <c r="H1995" t="s">
        <v>78</v>
      </c>
      <c r="I1995" t="s">
        <v>24</v>
      </c>
      <c r="J1995">
        <v>1</v>
      </c>
      <c r="K1995">
        <v>19700</v>
      </c>
      <c r="L1995">
        <v>19700</v>
      </c>
      <c r="N1995">
        <v>9.3000000000000007</v>
      </c>
      <c r="Q1995" t="s">
        <v>24</v>
      </c>
    </row>
    <row r="1996" spans="1:17" x14ac:dyDescent="0.3">
      <c r="A1996" t="s">
        <v>2710</v>
      </c>
      <c r="B1996" s="2">
        <v>45919</v>
      </c>
      <c r="C1996" t="s">
        <v>26</v>
      </c>
      <c r="D1996" t="s">
        <v>36</v>
      </c>
      <c r="E1996" t="s">
        <v>48</v>
      </c>
      <c r="F1996" t="s">
        <v>1730</v>
      </c>
      <c r="G1996" t="s">
        <v>44</v>
      </c>
      <c r="J1996">
        <v>0</v>
      </c>
      <c r="K1996">
        <v>0</v>
      </c>
      <c r="L1996">
        <v>0</v>
      </c>
      <c r="M1996">
        <v>1</v>
      </c>
      <c r="N1996">
        <v>11.9</v>
      </c>
      <c r="O1996">
        <v>8.1999999999999993</v>
      </c>
      <c r="P1996">
        <v>4.3</v>
      </c>
      <c r="Q1996" t="s">
        <v>39</v>
      </c>
    </row>
    <row r="1997" spans="1:17" x14ac:dyDescent="0.3">
      <c r="A1997" t="s">
        <v>2711</v>
      </c>
      <c r="B1997" s="2">
        <v>46137</v>
      </c>
      <c r="C1997" t="s">
        <v>26</v>
      </c>
      <c r="D1997" t="s">
        <v>114</v>
      </c>
      <c r="E1997" t="s">
        <v>28</v>
      </c>
      <c r="F1997" t="s">
        <v>469</v>
      </c>
      <c r="G1997" t="s">
        <v>22</v>
      </c>
      <c r="J1997">
        <v>0</v>
      </c>
      <c r="K1997">
        <v>0</v>
      </c>
      <c r="L1997">
        <v>0</v>
      </c>
      <c r="M1997">
        <v>1</v>
      </c>
      <c r="N1997">
        <v>0.1</v>
      </c>
      <c r="O1997">
        <v>9.1</v>
      </c>
      <c r="P1997">
        <v>2.9</v>
      </c>
      <c r="Q1997" t="s">
        <v>225</v>
      </c>
    </row>
    <row r="1998" spans="1:17" x14ac:dyDescent="0.3">
      <c r="A1998" t="s">
        <v>2712</v>
      </c>
      <c r="B1998" s="2">
        <v>46086</v>
      </c>
      <c r="C1998" t="s">
        <v>26</v>
      </c>
      <c r="D1998" t="s">
        <v>36</v>
      </c>
      <c r="E1998" t="s">
        <v>28</v>
      </c>
      <c r="F1998" t="s">
        <v>777</v>
      </c>
      <c r="G1998" t="s">
        <v>30</v>
      </c>
      <c r="J1998">
        <v>0</v>
      </c>
      <c r="K1998">
        <v>0</v>
      </c>
      <c r="L1998">
        <v>0</v>
      </c>
      <c r="M1998">
        <v>1</v>
      </c>
      <c r="N1998">
        <v>4.0999999999999996</v>
      </c>
      <c r="O1998">
        <v>13</v>
      </c>
      <c r="P1998">
        <v>3.5</v>
      </c>
      <c r="Q1998" t="s">
        <v>31</v>
      </c>
    </row>
    <row r="1999" spans="1:17" x14ac:dyDescent="0.3">
      <c r="A1999" t="s">
        <v>2713</v>
      </c>
      <c r="B1999" s="2">
        <v>46187</v>
      </c>
      <c r="C1999" t="s">
        <v>18</v>
      </c>
      <c r="D1999" t="s">
        <v>64</v>
      </c>
      <c r="E1999" t="s">
        <v>20</v>
      </c>
      <c r="F1999" t="s">
        <v>663</v>
      </c>
      <c r="G1999" t="s">
        <v>50</v>
      </c>
      <c r="H1999" t="s">
        <v>54</v>
      </c>
      <c r="I1999" t="s">
        <v>24</v>
      </c>
      <c r="J1999">
        <v>1</v>
      </c>
      <c r="K1999">
        <v>25800</v>
      </c>
      <c r="L1999">
        <v>25800</v>
      </c>
      <c r="N1999">
        <v>13.1</v>
      </c>
      <c r="Q1999" t="s">
        <v>24</v>
      </c>
    </row>
    <row r="2000" spans="1:17" x14ac:dyDescent="0.3">
      <c r="A2000" t="s">
        <v>2714</v>
      </c>
      <c r="B2000" s="2">
        <v>46241</v>
      </c>
      <c r="C2000" t="s">
        <v>18</v>
      </c>
      <c r="D2000" t="s">
        <v>105</v>
      </c>
      <c r="E2000" t="s">
        <v>20</v>
      </c>
      <c r="F2000" t="s">
        <v>882</v>
      </c>
      <c r="G2000" t="s">
        <v>30</v>
      </c>
      <c r="H2000" t="s">
        <v>86</v>
      </c>
      <c r="I2000" t="s">
        <v>24</v>
      </c>
      <c r="J2000">
        <v>1</v>
      </c>
      <c r="K2000">
        <v>16100</v>
      </c>
      <c r="L2000">
        <v>16100</v>
      </c>
      <c r="N2000">
        <v>18.100000000000001</v>
      </c>
      <c r="Q2000" t="s">
        <v>24</v>
      </c>
    </row>
    <row r="2001" spans="1:17" x14ac:dyDescent="0.3">
      <c r="A2001" t="s">
        <v>2715</v>
      </c>
      <c r="B2001" s="2">
        <v>46175</v>
      </c>
      <c r="C2001" t="s">
        <v>18</v>
      </c>
      <c r="D2001" t="s">
        <v>117</v>
      </c>
      <c r="E2001" t="s">
        <v>20</v>
      </c>
      <c r="F2001" t="s">
        <v>1127</v>
      </c>
      <c r="G2001" t="s">
        <v>44</v>
      </c>
      <c r="H2001" t="s">
        <v>23</v>
      </c>
      <c r="I2001" t="s">
        <v>89</v>
      </c>
      <c r="J2001">
        <v>1</v>
      </c>
      <c r="K2001">
        <v>10900</v>
      </c>
      <c r="L2001">
        <v>0</v>
      </c>
      <c r="N2001">
        <v>17.600000000000001</v>
      </c>
      <c r="Q2001" t="s">
        <v>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8E4A-8BE1-46CE-B33E-1FF656DAAB85}">
  <dimension ref="A1:AC2001"/>
  <sheetViews>
    <sheetView tabSelected="1" zoomScale="89" workbookViewId="0">
      <selection activeCell="I2010" sqref="I2010"/>
    </sheetView>
  </sheetViews>
  <sheetFormatPr defaultRowHeight="14.4" x14ac:dyDescent="0.3"/>
  <cols>
    <col min="1" max="1" width="11.5546875" customWidth="1"/>
    <col min="2" max="2" width="10.88671875" bestFit="1" customWidth="1"/>
    <col min="6" max="6" width="13.5546875" bestFit="1" customWidth="1"/>
    <col min="7" max="7" width="13.44140625" bestFit="1" customWidth="1"/>
    <col min="8" max="8" width="16.21875" bestFit="1" customWidth="1"/>
    <col min="9" max="9" width="12.77734375" customWidth="1"/>
    <col min="11" max="11" width="16.33203125" customWidth="1"/>
    <col min="12" max="12" width="14.21875" customWidth="1"/>
    <col min="14" max="14" width="24" bestFit="1" customWidth="1"/>
    <col min="15" max="15" width="17.6640625" customWidth="1"/>
    <col min="17" max="17" width="14.6640625" bestFit="1" customWidth="1"/>
  </cols>
  <sheetData>
    <row r="1" spans="1:29" x14ac:dyDescent="0.3">
      <c r="A1" s="3" t="s">
        <v>0</v>
      </c>
      <c r="B1" s="5" t="s">
        <v>1</v>
      </c>
      <c r="C1" s="3" t="s">
        <v>2</v>
      </c>
      <c r="D1" s="3" t="s">
        <v>3</v>
      </c>
      <c r="E1" s="3" t="s">
        <v>4</v>
      </c>
      <c r="F1" s="3" t="s">
        <v>5</v>
      </c>
      <c r="G1" s="3" t="s">
        <v>6</v>
      </c>
      <c r="H1" s="3" t="s">
        <v>7</v>
      </c>
      <c r="I1" s="3" t="s">
        <v>8</v>
      </c>
      <c r="J1" s="8" t="s">
        <v>9</v>
      </c>
      <c r="K1" s="3" t="s">
        <v>10</v>
      </c>
      <c r="L1" s="3" t="s">
        <v>11</v>
      </c>
      <c r="M1" s="3" t="s">
        <v>12</v>
      </c>
      <c r="N1" s="3" t="s">
        <v>13</v>
      </c>
      <c r="O1" s="3" t="s">
        <v>14</v>
      </c>
      <c r="P1" s="3" t="s">
        <v>15</v>
      </c>
      <c r="Q1" s="3" t="s">
        <v>16</v>
      </c>
      <c r="R1" s="3" t="s">
        <v>2716</v>
      </c>
      <c r="S1" s="3" t="s">
        <v>2717</v>
      </c>
      <c r="T1" s="10"/>
      <c r="U1" s="24"/>
    </row>
    <row r="2" spans="1:29" x14ac:dyDescent="0.3">
      <c r="A2" t="s">
        <v>17</v>
      </c>
      <c r="B2" s="6">
        <v>46120</v>
      </c>
      <c r="C2" t="s">
        <v>18</v>
      </c>
      <c r="D2" t="s">
        <v>19</v>
      </c>
      <c r="E2" t="s">
        <v>20</v>
      </c>
      <c r="F2" t="s">
        <v>21</v>
      </c>
      <c r="G2" t="s">
        <v>22</v>
      </c>
      <c r="H2" t="s">
        <v>23</v>
      </c>
      <c r="I2" t="s">
        <v>24</v>
      </c>
      <c r="J2" s="9">
        <v>1</v>
      </c>
      <c r="K2" s="7">
        <v>67500</v>
      </c>
      <c r="L2" s="7">
        <v>67500</v>
      </c>
      <c r="M2" s="9"/>
      <c r="N2" s="7">
        <v>2</v>
      </c>
      <c r="O2" s="7"/>
      <c r="P2" s="7"/>
      <c r="Q2" t="s">
        <v>24</v>
      </c>
      <c r="R2" s="7" t="str">
        <f>TEXT(Table1[[#This Row],[Date]],"mmm yyyy")</f>
        <v>Apr 2026</v>
      </c>
      <c r="S2" s="9">
        <f>YEAR(Table1[[#This Row],[Date]])</f>
        <v>2026</v>
      </c>
      <c r="T2" s="9"/>
      <c r="U2" s="9"/>
    </row>
    <row r="3" spans="1:29" hidden="1" x14ac:dyDescent="0.3">
      <c r="A3" t="s">
        <v>25</v>
      </c>
      <c r="B3" s="6">
        <v>46201</v>
      </c>
      <c r="C3" t="s">
        <v>26</v>
      </c>
      <c r="D3" t="s">
        <v>27</v>
      </c>
      <c r="E3" t="s">
        <v>28</v>
      </c>
      <c r="F3" t="s">
        <v>29</v>
      </c>
      <c r="G3" t="s">
        <v>30</v>
      </c>
      <c r="J3" s="9">
        <v>0</v>
      </c>
      <c r="K3" s="7">
        <v>0</v>
      </c>
      <c r="L3" s="7">
        <v>0</v>
      </c>
      <c r="M3" s="9">
        <v>1</v>
      </c>
      <c r="N3" s="7">
        <v>6.8</v>
      </c>
      <c r="O3" s="7">
        <v>3.1</v>
      </c>
      <c r="P3" s="7">
        <v>3.9</v>
      </c>
      <c r="Q3" t="s">
        <v>31</v>
      </c>
      <c r="R3" s="7" t="str">
        <f>TEXT(Table1[[#This Row],[Date]],"mmm yyyy")</f>
        <v>Jun 2026</v>
      </c>
      <c r="S3" s="9">
        <f>YEAR(Table1[[#This Row],[Date]])</f>
        <v>2026</v>
      </c>
      <c r="T3" s="9"/>
      <c r="U3" s="9"/>
      <c r="V3" s="17"/>
      <c r="W3" s="4"/>
      <c r="X3" s="4"/>
      <c r="Y3" s="4"/>
      <c r="Z3" s="4"/>
      <c r="AA3" s="4"/>
      <c r="AB3" s="4"/>
      <c r="AC3" s="18"/>
    </row>
    <row r="4" spans="1:29" hidden="1" x14ac:dyDescent="0.3">
      <c r="A4" t="s">
        <v>32</v>
      </c>
      <c r="B4" s="6">
        <v>45970</v>
      </c>
      <c r="C4" t="s">
        <v>26</v>
      </c>
      <c r="D4" t="s">
        <v>33</v>
      </c>
      <c r="E4" t="s">
        <v>28</v>
      </c>
      <c r="F4" t="s">
        <v>34</v>
      </c>
      <c r="G4" t="s">
        <v>30</v>
      </c>
      <c r="J4" s="9">
        <v>0</v>
      </c>
      <c r="K4" s="7">
        <v>0</v>
      </c>
      <c r="L4" s="7">
        <v>0</v>
      </c>
      <c r="M4" s="9">
        <v>1</v>
      </c>
      <c r="N4" s="7">
        <v>1.6</v>
      </c>
      <c r="O4" s="7">
        <v>6.2</v>
      </c>
      <c r="P4" s="7">
        <v>3.3</v>
      </c>
      <c r="Q4" t="s">
        <v>31</v>
      </c>
      <c r="R4" s="7" t="str">
        <f>TEXT(Table1[[#This Row],[Date]],"mmm yyyy")</f>
        <v>Nov 2025</v>
      </c>
      <c r="S4" s="9">
        <f>YEAR(Table1[[#This Row],[Date]])</f>
        <v>2025</v>
      </c>
      <c r="T4" s="9"/>
      <c r="U4" s="9"/>
      <c r="V4" s="48"/>
      <c r="W4" s="49"/>
      <c r="X4" s="49"/>
      <c r="Y4" s="49"/>
      <c r="Z4" s="49"/>
      <c r="AA4" s="49"/>
      <c r="AB4" s="19"/>
      <c r="AC4" s="20"/>
    </row>
    <row r="5" spans="1:29" hidden="1" x14ac:dyDescent="0.3">
      <c r="A5" t="s">
        <v>35</v>
      </c>
      <c r="B5" s="6">
        <v>46042</v>
      </c>
      <c r="C5" t="s">
        <v>26</v>
      </c>
      <c r="D5" t="s">
        <v>36</v>
      </c>
      <c r="E5" t="s">
        <v>37</v>
      </c>
      <c r="F5" t="s">
        <v>38</v>
      </c>
      <c r="G5" t="s">
        <v>22</v>
      </c>
      <c r="J5" s="9">
        <v>0</v>
      </c>
      <c r="K5" s="7">
        <v>0</v>
      </c>
      <c r="L5" s="7">
        <v>0</v>
      </c>
      <c r="M5" s="9">
        <v>1</v>
      </c>
      <c r="N5" s="7">
        <v>7.9</v>
      </c>
      <c r="O5" s="7">
        <v>8.9</v>
      </c>
      <c r="P5" s="7">
        <v>4.8</v>
      </c>
      <c r="Q5" t="s">
        <v>39</v>
      </c>
      <c r="R5" s="7" t="str">
        <f>TEXT(Table1[[#This Row],[Date]],"mmm yyyy")</f>
        <v>Jan 2026</v>
      </c>
      <c r="S5" s="9">
        <f>YEAR(Table1[[#This Row],[Date]])</f>
        <v>2026</v>
      </c>
      <c r="T5" s="9"/>
      <c r="U5" s="9"/>
      <c r="V5" s="21"/>
      <c r="W5" s="22"/>
      <c r="X5" s="22"/>
      <c r="Y5" s="22"/>
      <c r="Z5" s="22"/>
      <c r="AA5" s="22"/>
      <c r="AB5" s="22"/>
      <c r="AC5" s="23"/>
    </row>
    <row r="6" spans="1:29" x14ac:dyDescent="0.3">
      <c r="A6" t="s">
        <v>40</v>
      </c>
      <c r="B6" s="6">
        <v>46245</v>
      </c>
      <c r="C6" t="s">
        <v>18</v>
      </c>
      <c r="D6" t="s">
        <v>41</v>
      </c>
      <c r="E6" t="s">
        <v>42</v>
      </c>
      <c r="F6" t="s">
        <v>43</v>
      </c>
      <c r="G6" t="s">
        <v>44</v>
      </c>
      <c r="H6" t="s">
        <v>23</v>
      </c>
      <c r="I6" t="s">
        <v>45</v>
      </c>
      <c r="J6" s="9">
        <v>1</v>
      </c>
      <c r="K6" s="7">
        <v>8000</v>
      </c>
      <c r="L6" s="7">
        <v>0</v>
      </c>
      <c r="M6" s="9"/>
      <c r="N6" s="7">
        <v>2.6</v>
      </c>
      <c r="O6" s="7"/>
      <c r="P6" s="7"/>
      <c r="Q6" t="s">
        <v>45</v>
      </c>
      <c r="R6" s="7" t="str">
        <f>TEXT(Table1[[#This Row],[Date]],"mmm yyyy")</f>
        <v>Aug 2026</v>
      </c>
      <c r="S6" s="9">
        <f>YEAR(Table1[[#This Row],[Date]])</f>
        <v>2026</v>
      </c>
      <c r="T6" s="9"/>
      <c r="U6" s="9"/>
    </row>
    <row r="7" spans="1:29" x14ac:dyDescent="0.3">
      <c r="A7" t="s">
        <v>46</v>
      </c>
      <c r="B7" s="6">
        <v>45986</v>
      </c>
      <c r="C7" t="s">
        <v>18</v>
      </c>
      <c r="D7" t="s">
        <v>47</v>
      </c>
      <c r="E7" t="s">
        <v>48</v>
      </c>
      <c r="F7" t="s">
        <v>49</v>
      </c>
      <c r="G7" t="s">
        <v>50</v>
      </c>
      <c r="H7" t="s">
        <v>23</v>
      </c>
      <c r="I7" t="s">
        <v>24</v>
      </c>
      <c r="J7" s="9">
        <v>1</v>
      </c>
      <c r="K7" s="7">
        <v>25100</v>
      </c>
      <c r="L7" s="7">
        <v>25100</v>
      </c>
      <c r="M7" s="9"/>
      <c r="N7" s="7">
        <v>13.3</v>
      </c>
      <c r="O7" s="7"/>
      <c r="P7" s="7"/>
      <c r="Q7" t="s">
        <v>24</v>
      </c>
      <c r="R7" s="7" t="str">
        <f>TEXT(Table1[[#This Row],[Date]],"mmm yyyy")</f>
        <v>Nov 2025</v>
      </c>
      <c r="S7" s="9">
        <f>YEAR(Table1[[#This Row],[Date]])</f>
        <v>2025</v>
      </c>
      <c r="T7" s="9"/>
      <c r="U7" s="9"/>
    </row>
    <row r="8" spans="1:29" x14ac:dyDescent="0.3">
      <c r="A8" t="s">
        <v>51</v>
      </c>
      <c r="B8" s="6">
        <v>46098</v>
      </c>
      <c r="C8" t="s">
        <v>18</v>
      </c>
      <c r="D8" t="s">
        <v>52</v>
      </c>
      <c r="E8" t="s">
        <v>28</v>
      </c>
      <c r="F8" t="s">
        <v>53</v>
      </c>
      <c r="G8" t="s">
        <v>22</v>
      </c>
      <c r="H8" t="s">
        <v>54</v>
      </c>
      <c r="I8" t="s">
        <v>55</v>
      </c>
      <c r="J8" s="9">
        <v>1</v>
      </c>
      <c r="K8" s="7">
        <v>16700</v>
      </c>
      <c r="L8" s="7">
        <v>0</v>
      </c>
      <c r="M8" s="9"/>
      <c r="N8" s="7">
        <v>20.8</v>
      </c>
      <c r="O8" s="7"/>
      <c r="P8" s="7"/>
      <c r="Q8" t="s">
        <v>55</v>
      </c>
      <c r="R8" s="7" t="str">
        <f>TEXT(Table1[[#This Row],[Date]],"mmm yyyy")</f>
        <v>Mar 2026</v>
      </c>
      <c r="S8" s="9">
        <f>YEAR(Table1[[#This Row],[Date]])</f>
        <v>2026</v>
      </c>
      <c r="T8" s="9"/>
      <c r="U8" s="9"/>
    </row>
    <row r="9" spans="1:29" hidden="1" x14ac:dyDescent="0.3">
      <c r="A9" t="s">
        <v>56</v>
      </c>
      <c r="B9" s="6">
        <v>46025</v>
      </c>
      <c r="C9" t="s">
        <v>26</v>
      </c>
      <c r="D9" t="s">
        <v>33</v>
      </c>
      <c r="E9" t="s">
        <v>37</v>
      </c>
      <c r="F9" t="s">
        <v>57</v>
      </c>
      <c r="G9" t="s">
        <v>44</v>
      </c>
      <c r="J9" s="9">
        <v>0</v>
      </c>
      <c r="K9" s="7">
        <v>0</v>
      </c>
      <c r="L9" s="7">
        <v>0</v>
      </c>
      <c r="M9" s="9">
        <v>1</v>
      </c>
      <c r="N9" s="7">
        <v>1.4</v>
      </c>
      <c r="O9" s="7">
        <v>7.3</v>
      </c>
      <c r="P9" s="7">
        <v>4.2</v>
      </c>
      <c r="Q9" t="s">
        <v>31</v>
      </c>
      <c r="R9" s="7" t="str">
        <f>TEXT(Table1[[#This Row],[Date]],"mmm yyyy")</f>
        <v>Jan 2026</v>
      </c>
      <c r="S9" s="9">
        <f>YEAR(Table1[[#This Row],[Date]])</f>
        <v>2026</v>
      </c>
      <c r="T9" s="9"/>
      <c r="U9" s="9"/>
    </row>
    <row r="10" spans="1:29" hidden="1" x14ac:dyDescent="0.3">
      <c r="A10" t="s">
        <v>58</v>
      </c>
      <c r="B10" s="6">
        <v>45949</v>
      </c>
      <c r="C10" t="s">
        <v>26</v>
      </c>
      <c r="D10" t="s">
        <v>36</v>
      </c>
      <c r="E10" t="s">
        <v>20</v>
      </c>
      <c r="F10" t="s">
        <v>59</v>
      </c>
      <c r="G10" t="s">
        <v>22</v>
      </c>
      <c r="J10" s="9">
        <v>0</v>
      </c>
      <c r="K10" s="7">
        <v>0</v>
      </c>
      <c r="L10" s="7">
        <v>0</v>
      </c>
      <c r="M10" s="9">
        <v>1</v>
      </c>
      <c r="N10" s="7">
        <v>4</v>
      </c>
      <c r="O10" s="7">
        <v>21.2</v>
      </c>
      <c r="P10" s="7">
        <v>4.2</v>
      </c>
      <c r="Q10" t="s">
        <v>39</v>
      </c>
      <c r="R10" s="7" t="str">
        <f>TEXT(Table1[[#This Row],[Date]],"mmm yyyy")</f>
        <v>Oct 2025</v>
      </c>
      <c r="S10" s="9">
        <f>YEAR(Table1[[#This Row],[Date]])</f>
        <v>2025</v>
      </c>
      <c r="T10" s="9"/>
      <c r="U10" s="9"/>
    </row>
    <row r="11" spans="1:29" hidden="1" x14ac:dyDescent="0.3">
      <c r="A11" t="s">
        <v>60</v>
      </c>
      <c r="B11" s="6">
        <v>46113</v>
      </c>
      <c r="C11" t="s">
        <v>26</v>
      </c>
      <c r="D11" t="s">
        <v>27</v>
      </c>
      <c r="E11" t="s">
        <v>37</v>
      </c>
      <c r="F11" t="s">
        <v>61</v>
      </c>
      <c r="G11" t="s">
        <v>22</v>
      </c>
      <c r="J11" s="9">
        <v>0</v>
      </c>
      <c r="K11" s="7">
        <v>0</v>
      </c>
      <c r="L11" s="7">
        <v>0</v>
      </c>
      <c r="M11" s="9">
        <v>1</v>
      </c>
      <c r="N11" s="7">
        <v>11.4</v>
      </c>
      <c r="O11" s="7">
        <v>9.5</v>
      </c>
      <c r="P11" s="7">
        <v>5</v>
      </c>
      <c r="Q11" t="s">
        <v>62</v>
      </c>
      <c r="R11" s="7" t="str">
        <f>TEXT(Table1[[#This Row],[Date]],"mmm yyyy")</f>
        <v>Apr 2026</v>
      </c>
      <c r="S11" s="9">
        <f>YEAR(Table1[[#This Row],[Date]])</f>
        <v>2026</v>
      </c>
      <c r="T11" s="9"/>
      <c r="U11" s="9"/>
    </row>
    <row r="12" spans="1:29" x14ac:dyDescent="0.3">
      <c r="A12" t="s">
        <v>63</v>
      </c>
      <c r="B12" s="6">
        <v>45966</v>
      </c>
      <c r="C12" t="s">
        <v>18</v>
      </c>
      <c r="D12" t="s">
        <v>64</v>
      </c>
      <c r="E12" t="s">
        <v>20</v>
      </c>
      <c r="F12" t="s">
        <v>65</v>
      </c>
      <c r="G12" t="s">
        <v>30</v>
      </c>
      <c r="H12" t="s">
        <v>66</v>
      </c>
      <c r="I12" t="s">
        <v>67</v>
      </c>
      <c r="J12" s="9">
        <v>1</v>
      </c>
      <c r="K12" s="7">
        <v>27600</v>
      </c>
      <c r="L12" s="7">
        <v>0</v>
      </c>
      <c r="M12" s="9"/>
      <c r="N12" s="7">
        <v>19.8</v>
      </c>
      <c r="O12" s="7"/>
      <c r="P12" s="7"/>
      <c r="Q12" t="s">
        <v>67</v>
      </c>
      <c r="R12" s="7" t="str">
        <f>TEXT(Table1[[#This Row],[Date]],"mmm yyyy")</f>
        <v>Nov 2025</v>
      </c>
      <c r="S12" s="9">
        <f>YEAR(Table1[[#This Row],[Date]])</f>
        <v>2025</v>
      </c>
      <c r="T12" s="9"/>
      <c r="U12" s="9"/>
    </row>
    <row r="13" spans="1:29" hidden="1" x14ac:dyDescent="0.3">
      <c r="A13" t="s">
        <v>68</v>
      </c>
      <c r="B13" s="6">
        <v>46078</v>
      </c>
      <c r="C13" t="s">
        <v>26</v>
      </c>
      <c r="D13" t="s">
        <v>69</v>
      </c>
      <c r="E13" t="s">
        <v>20</v>
      </c>
      <c r="F13" t="s">
        <v>70</v>
      </c>
      <c r="G13" t="s">
        <v>22</v>
      </c>
      <c r="J13" s="9">
        <v>0</v>
      </c>
      <c r="K13" s="7">
        <v>0</v>
      </c>
      <c r="L13" s="7">
        <v>0</v>
      </c>
      <c r="M13" s="9">
        <v>1</v>
      </c>
      <c r="N13" s="7">
        <v>6.3</v>
      </c>
      <c r="O13" s="7">
        <v>13.4</v>
      </c>
      <c r="P13" s="7">
        <v>3.5</v>
      </c>
      <c r="Q13" t="s">
        <v>62</v>
      </c>
      <c r="R13" s="7" t="str">
        <f>TEXT(Table1[[#This Row],[Date]],"mmm yyyy")</f>
        <v>Feb 2026</v>
      </c>
      <c r="S13" s="9">
        <f>YEAR(Table1[[#This Row],[Date]])</f>
        <v>2026</v>
      </c>
      <c r="T13" s="9"/>
      <c r="U13" s="9"/>
    </row>
    <row r="14" spans="1:29" hidden="1" x14ac:dyDescent="0.3">
      <c r="A14" t="s">
        <v>71</v>
      </c>
      <c r="B14" s="6">
        <v>45985</v>
      </c>
      <c r="C14" t="s">
        <v>26</v>
      </c>
      <c r="D14" t="s">
        <v>72</v>
      </c>
      <c r="E14" t="s">
        <v>20</v>
      </c>
      <c r="F14" t="s">
        <v>73</v>
      </c>
      <c r="G14" t="s">
        <v>50</v>
      </c>
      <c r="J14" s="9">
        <v>0</v>
      </c>
      <c r="K14" s="7">
        <v>0</v>
      </c>
      <c r="L14" s="7">
        <v>0</v>
      </c>
      <c r="M14" s="9">
        <v>1</v>
      </c>
      <c r="N14" s="7">
        <v>6.4</v>
      </c>
      <c r="O14" s="7">
        <v>10.1</v>
      </c>
      <c r="P14" s="7">
        <v>3.6</v>
      </c>
      <c r="Q14" t="s">
        <v>31</v>
      </c>
      <c r="R14" s="7" t="str">
        <f>TEXT(Table1[[#This Row],[Date]],"mmm yyyy")</f>
        <v>Nov 2025</v>
      </c>
      <c r="S14" s="9">
        <f>YEAR(Table1[[#This Row],[Date]])</f>
        <v>2025</v>
      </c>
      <c r="T14" s="9"/>
      <c r="U14" s="9"/>
    </row>
    <row r="15" spans="1:29" x14ac:dyDescent="0.3">
      <c r="A15" t="s">
        <v>74</v>
      </c>
      <c r="B15" s="6">
        <v>46163</v>
      </c>
      <c r="C15" t="s">
        <v>18</v>
      </c>
      <c r="D15" t="s">
        <v>64</v>
      </c>
      <c r="E15" t="s">
        <v>48</v>
      </c>
      <c r="F15" t="s">
        <v>75</v>
      </c>
      <c r="G15" t="s">
        <v>50</v>
      </c>
      <c r="H15" t="s">
        <v>23</v>
      </c>
      <c r="I15" t="s">
        <v>55</v>
      </c>
      <c r="J15" s="9">
        <v>1</v>
      </c>
      <c r="K15" s="7">
        <v>11700</v>
      </c>
      <c r="L15" s="7">
        <v>0</v>
      </c>
      <c r="M15" s="9"/>
      <c r="N15" s="7">
        <v>5.2</v>
      </c>
      <c r="O15" s="7"/>
      <c r="P15" s="7"/>
      <c r="Q15" t="s">
        <v>55</v>
      </c>
      <c r="R15" s="7" t="str">
        <f>TEXT(Table1[[#This Row],[Date]],"mmm yyyy")</f>
        <v>May 2026</v>
      </c>
      <c r="S15" s="9">
        <f>YEAR(Table1[[#This Row],[Date]])</f>
        <v>2026</v>
      </c>
      <c r="T15" s="9"/>
      <c r="U15" s="9"/>
    </row>
    <row r="16" spans="1:29" x14ac:dyDescent="0.3">
      <c r="A16" t="s">
        <v>76</v>
      </c>
      <c r="B16" s="6">
        <v>45908</v>
      </c>
      <c r="C16" t="s">
        <v>18</v>
      </c>
      <c r="D16" t="s">
        <v>64</v>
      </c>
      <c r="E16" t="s">
        <v>28</v>
      </c>
      <c r="F16" t="s">
        <v>77</v>
      </c>
      <c r="G16" t="s">
        <v>44</v>
      </c>
      <c r="H16" t="s">
        <v>78</v>
      </c>
      <c r="I16" t="s">
        <v>79</v>
      </c>
      <c r="J16" s="9">
        <v>1</v>
      </c>
      <c r="K16" s="7">
        <v>11600</v>
      </c>
      <c r="L16" s="7">
        <v>0</v>
      </c>
      <c r="M16" s="9"/>
      <c r="N16" s="7">
        <v>23.7</v>
      </c>
      <c r="O16" s="7"/>
      <c r="P16" s="7"/>
      <c r="Q16" t="s">
        <v>79</v>
      </c>
      <c r="R16" s="7" t="str">
        <f>TEXT(Table1[[#This Row],[Date]],"mmm yyyy")</f>
        <v>Sep 2025</v>
      </c>
      <c r="S16" s="9">
        <f>YEAR(Table1[[#This Row],[Date]])</f>
        <v>2025</v>
      </c>
      <c r="T16" s="9"/>
      <c r="U16" s="9"/>
    </row>
    <row r="17" spans="1:21" x14ac:dyDescent="0.3">
      <c r="A17" t="s">
        <v>80</v>
      </c>
      <c r="B17" s="6">
        <v>46009</v>
      </c>
      <c r="C17" t="s">
        <v>18</v>
      </c>
      <c r="D17" t="s">
        <v>19</v>
      </c>
      <c r="E17" t="s">
        <v>42</v>
      </c>
      <c r="F17" t="s">
        <v>81</v>
      </c>
      <c r="G17" t="s">
        <v>22</v>
      </c>
      <c r="H17" t="s">
        <v>54</v>
      </c>
      <c r="I17" t="s">
        <v>79</v>
      </c>
      <c r="J17" s="9">
        <v>1</v>
      </c>
      <c r="K17" s="7">
        <v>51900</v>
      </c>
      <c r="L17" s="7">
        <v>0</v>
      </c>
      <c r="M17" s="9"/>
      <c r="N17" s="7">
        <v>10.5</v>
      </c>
      <c r="O17" s="7"/>
      <c r="P17" s="7"/>
      <c r="Q17" t="s">
        <v>79</v>
      </c>
      <c r="R17" s="7" t="str">
        <f>TEXT(Table1[[#This Row],[Date]],"mmm yyyy")</f>
        <v>Dec 2025</v>
      </c>
      <c r="S17" s="9">
        <f>YEAR(Table1[[#This Row],[Date]])</f>
        <v>2025</v>
      </c>
      <c r="T17" s="9"/>
      <c r="U17" s="9"/>
    </row>
    <row r="18" spans="1:21" x14ac:dyDescent="0.3">
      <c r="A18" t="s">
        <v>82</v>
      </c>
      <c r="B18" s="6">
        <v>46147</v>
      </c>
      <c r="C18" t="s">
        <v>18</v>
      </c>
      <c r="D18" t="s">
        <v>64</v>
      </c>
      <c r="E18" t="s">
        <v>20</v>
      </c>
      <c r="F18" t="s">
        <v>83</v>
      </c>
      <c r="G18" t="s">
        <v>44</v>
      </c>
      <c r="H18" t="s">
        <v>78</v>
      </c>
      <c r="I18" t="s">
        <v>79</v>
      </c>
      <c r="J18" s="9">
        <v>1</v>
      </c>
      <c r="K18" s="7">
        <v>25500</v>
      </c>
      <c r="L18" s="7">
        <v>0</v>
      </c>
      <c r="M18" s="9"/>
      <c r="N18" s="7">
        <v>4.9000000000000004</v>
      </c>
      <c r="O18" s="7"/>
      <c r="P18" s="7"/>
      <c r="Q18" t="s">
        <v>79</v>
      </c>
      <c r="R18" s="7" t="str">
        <f>TEXT(Table1[[#This Row],[Date]],"mmm yyyy")</f>
        <v>May 2026</v>
      </c>
      <c r="S18" s="9">
        <f>YEAR(Table1[[#This Row],[Date]])</f>
        <v>2026</v>
      </c>
      <c r="T18" s="9"/>
      <c r="U18" s="9"/>
    </row>
    <row r="19" spans="1:21" x14ac:dyDescent="0.3">
      <c r="A19" t="s">
        <v>84</v>
      </c>
      <c r="B19" s="6">
        <v>46165</v>
      </c>
      <c r="C19" t="s">
        <v>18</v>
      </c>
      <c r="D19" t="s">
        <v>19</v>
      </c>
      <c r="E19" t="s">
        <v>28</v>
      </c>
      <c r="F19" t="s">
        <v>85</v>
      </c>
      <c r="G19" t="s">
        <v>22</v>
      </c>
      <c r="H19" t="s">
        <v>86</v>
      </c>
      <c r="I19" t="s">
        <v>45</v>
      </c>
      <c r="J19" s="9">
        <v>1</v>
      </c>
      <c r="K19" s="7">
        <v>16900</v>
      </c>
      <c r="L19" s="7">
        <v>0</v>
      </c>
      <c r="M19" s="9"/>
      <c r="N19" s="7">
        <v>19.8</v>
      </c>
      <c r="O19" s="7"/>
      <c r="P19" s="7"/>
      <c r="Q19" t="s">
        <v>45</v>
      </c>
      <c r="R19" s="7" t="str">
        <f>TEXT(Table1[[#This Row],[Date]],"mmm yyyy")</f>
        <v>May 2026</v>
      </c>
      <c r="S19" s="9">
        <f>YEAR(Table1[[#This Row],[Date]])</f>
        <v>2026</v>
      </c>
      <c r="T19" s="9"/>
      <c r="U19" s="9"/>
    </row>
    <row r="20" spans="1:21" x14ac:dyDescent="0.3">
      <c r="A20" t="s">
        <v>87</v>
      </c>
      <c r="B20" s="6">
        <v>46264</v>
      </c>
      <c r="C20" t="s">
        <v>18</v>
      </c>
      <c r="D20" t="s">
        <v>19</v>
      </c>
      <c r="E20" t="s">
        <v>20</v>
      </c>
      <c r="F20" t="s">
        <v>88</v>
      </c>
      <c r="G20" t="s">
        <v>22</v>
      </c>
      <c r="H20" t="s">
        <v>86</v>
      </c>
      <c r="I20" t="s">
        <v>89</v>
      </c>
      <c r="J20" s="9">
        <v>1</v>
      </c>
      <c r="K20" s="7">
        <v>41400</v>
      </c>
      <c r="L20" s="7">
        <v>0</v>
      </c>
      <c r="M20" s="9"/>
      <c r="N20" s="7">
        <v>2.9</v>
      </c>
      <c r="O20" s="7"/>
      <c r="P20" s="7"/>
      <c r="Q20" t="s">
        <v>89</v>
      </c>
      <c r="R20" s="7" t="str">
        <f>TEXT(Table1[[#This Row],[Date]],"mmm yyyy")</f>
        <v>Aug 2026</v>
      </c>
      <c r="S20" s="9">
        <f>YEAR(Table1[[#This Row],[Date]])</f>
        <v>2026</v>
      </c>
      <c r="T20" s="9"/>
      <c r="U20" s="9"/>
    </row>
    <row r="21" spans="1:21" x14ac:dyDescent="0.3">
      <c r="A21" t="s">
        <v>90</v>
      </c>
      <c r="B21" s="6">
        <v>46063</v>
      </c>
      <c r="C21" t="s">
        <v>18</v>
      </c>
      <c r="D21" t="s">
        <v>64</v>
      </c>
      <c r="E21" t="s">
        <v>20</v>
      </c>
      <c r="F21" t="s">
        <v>91</v>
      </c>
      <c r="G21" t="s">
        <v>44</v>
      </c>
      <c r="H21" t="s">
        <v>78</v>
      </c>
      <c r="I21" t="s">
        <v>24</v>
      </c>
      <c r="J21" s="9">
        <v>1</v>
      </c>
      <c r="K21" s="7">
        <v>33200</v>
      </c>
      <c r="L21" s="7">
        <v>33200</v>
      </c>
      <c r="M21" s="9"/>
      <c r="N21" s="7">
        <v>15.1</v>
      </c>
      <c r="O21" s="7"/>
      <c r="P21" s="7"/>
      <c r="Q21" t="s">
        <v>24</v>
      </c>
      <c r="R21" s="7" t="str">
        <f>TEXT(Table1[[#This Row],[Date]],"mmm yyyy")</f>
        <v>Feb 2026</v>
      </c>
      <c r="S21" s="9">
        <f>YEAR(Table1[[#This Row],[Date]])</f>
        <v>2026</v>
      </c>
      <c r="T21" s="9"/>
      <c r="U21" s="9"/>
    </row>
    <row r="22" spans="1:21" hidden="1" x14ac:dyDescent="0.3">
      <c r="A22" t="s">
        <v>92</v>
      </c>
      <c r="B22" s="6">
        <v>46050</v>
      </c>
      <c r="C22" t="s">
        <v>26</v>
      </c>
      <c r="D22" t="s">
        <v>69</v>
      </c>
      <c r="E22" t="s">
        <v>37</v>
      </c>
      <c r="F22" t="s">
        <v>93</v>
      </c>
      <c r="G22" t="s">
        <v>44</v>
      </c>
      <c r="J22" s="9">
        <v>0</v>
      </c>
      <c r="K22" s="7">
        <v>0</v>
      </c>
      <c r="L22" s="7">
        <v>0</v>
      </c>
      <c r="M22" s="9">
        <v>1</v>
      </c>
      <c r="N22" s="7">
        <v>3.1</v>
      </c>
      <c r="O22" s="7">
        <v>4.8</v>
      </c>
      <c r="P22" s="7">
        <v>3.9</v>
      </c>
      <c r="Q22" t="s">
        <v>39</v>
      </c>
      <c r="R22" s="7" t="str">
        <f>TEXT(Table1[[#This Row],[Date]],"mmm yyyy")</f>
        <v>Jan 2026</v>
      </c>
      <c r="S22" s="9">
        <f>YEAR(Table1[[#This Row],[Date]])</f>
        <v>2026</v>
      </c>
      <c r="T22" s="9"/>
      <c r="U22" s="9"/>
    </row>
    <row r="23" spans="1:21" x14ac:dyDescent="0.3">
      <c r="A23" t="s">
        <v>94</v>
      </c>
      <c r="B23" s="6">
        <v>45947</v>
      </c>
      <c r="C23" t="s">
        <v>18</v>
      </c>
      <c r="D23" t="s">
        <v>95</v>
      </c>
      <c r="E23" t="s">
        <v>20</v>
      </c>
      <c r="F23" t="s">
        <v>96</v>
      </c>
      <c r="G23" t="s">
        <v>44</v>
      </c>
      <c r="H23" t="s">
        <v>23</v>
      </c>
      <c r="I23" t="s">
        <v>89</v>
      </c>
      <c r="J23" s="9">
        <v>1</v>
      </c>
      <c r="K23" s="7">
        <v>61800</v>
      </c>
      <c r="L23" s="7">
        <v>0</v>
      </c>
      <c r="M23" s="9"/>
      <c r="N23" s="7">
        <v>12.5</v>
      </c>
      <c r="O23" s="7"/>
      <c r="P23" s="7"/>
      <c r="Q23" t="s">
        <v>89</v>
      </c>
      <c r="R23" s="7" t="str">
        <f>TEXT(Table1[[#This Row],[Date]],"mmm yyyy")</f>
        <v>Oct 2025</v>
      </c>
      <c r="S23" s="9">
        <f>YEAR(Table1[[#This Row],[Date]])</f>
        <v>2025</v>
      </c>
      <c r="T23" s="9"/>
      <c r="U23" s="9"/>
    </row>
    <row r="24" spans="1:21" x14ac:dyDescent="0.3">
      <c r="A24" t="s">
        <v>97</v>
      </c>
      <c r="B24" s="6">
        <v>46194</v>
      </c>
      <c r="C24" t="s">
        <v>18</v>
      </c>
      <c r="D24" t="s">
        <v>64</v>
      </c>
      <c r="E24" t="s">
        <v>20</v>
      </c>
      <c r="F24" t="s">
        <v>81</v>
      </c>
      <c r="G24" t="s">
        <v>30</v>
      </c>
      <c r="H24" t="s">
        <v>86</v>
      </c>
      <c r="I24" t="s">
        <v>24</v>
      </c>
      <c r="J24" s="9">
        <v>1</v>
      </c>
      <c r="K24" s="7">
        <v>47100</v>
      </c>
      <c r="L24" s="7">
        <v>47100</v>
      </c>
      <c r="M24" s="9"/>
      <c r="N24" s="7">
        <v>21.7</v>
      </c>
      <c r="O24" s="7"/>
      <c r="P24" s="7"/>
      <c r="Q24" t="s">
        <v>24</v>
      </c>
      <c r="R24" s="7" t="str">
        <f>TEXT(Table1[[#This Row],[Date]],"mmm yyyy")</f>
        <v>Jun 2026</v>
      </c>
      <c r="S24" s="9">
        <f>YEAR(Table1[[#This Row],[Date]])</f>
        <v>2026</v>
      </c>
      <c r="T24" s="9"/>
      <c r="U24" s="9"/>
    </row>
    <row r="25" spans="1:21" x14ac:dyDescent="0.3">
      <c r="A25" t="s">
        <v>98</v>
      </c>
      <c r="B25" s="6">
        <v>45939</v>
      </c>
      <c r="C25" t="s">
        <v>18</v>
      </c>
      <c r="D25" t="s">
        <v>52</v>
      </c>
      <c r="E25" t="s">
        <v>28</v>
      </c>
      <c r="F25" t="s">
        <v>99</v>
      </c>
      <c r="G25" t="s">
        <v>50</v>
      </c>
      <c r="H25" t="s">
        <v>54</v>
      </c>
      <c r="I25" t="s">
        <v>55</v>
      </c>
      <c r="J25" s="9">
        <v>1</v>
      </c>
      <c r="K25" s="7">
        <v>16600</v>
      </c>
      <c r="L25" s="7">
        <v>0</v>
      </c>
      <c r="M25" s="9"/>
      <c r="N25" s="7">
        <v>9.4</v>
      </c>
      <c r="O25" s="7"/>
      <c r="P25" s="7"/>
      <c r="Q25" t="s">
        <v>55</v>
      </c>
      <c r="R25" s="7" t="str">
        <f>TEXT(Table1[[#This Row],[Date]],"mmm yyyy")</f>
        <v>Oct 2025</v>
      </c>
      <c r="S25" s="9">
        <f>YEAR(Table1[[#This Row],[Date]])</f>
        <v>2025</v>
      </c>
      <c r="T25" s="9"/>
      <c r="U25" s="9"/>
    </row>
    <row r="26" spans="1:21" x14ac:dyDescent="0.3">
      <c r="A26" t="s">
        <v>100</v>
      </c>
      <c r="B26" s="6">
        <v>46042</v>
      </c>
      <c r="C26" t="s">
        <v>18</v>
      </c>
      <c r="D26" t="s">
        <v>64</v>
      </c>
      <c r="E26" t="s">
        <v>28</v>
      </c>
      <c r="F26" t="s">
        <v>101</v>
      </c>
      <c r="G26" t="s">
        <v>22</v>
      </c>
      <c r="H26" t="s">
        <v>66</v>
      </c>
      <c r="I26" t="s">
        <v>45</v>
      </c>
      <c r="J26" s="9">
        <v>1</v>
      </c>
      <c r="K26" s="7">
        <v>9400</v>
      </c>
      <c r="L26" s="7">
        <v>0</v>
      </c>
      <c r="M26" s="9"/>
      <c r="N26" s="7">
        <v>1.5</v>
      </c>
      <c r="O26" s="7"/>
      <c r="P26" s="7"/>
      <c r="Q26" t="s">
        <v>45</v>
      </c>
      <c r="R26" s="7" t="str">
        <f>TEXT(Table1[[#This Row],[Date]],"mmm yyyy")</f>
        <v>Jan 2026</v>
      </c>
      <c r="S26" s="9">
        <f>YEAR(Table1[[#This Row],[Date]])</f>
        <v>2026</v>
      </c>
      <c r="T26" s="9"/>
      <c r="U26" s="9"/>
    </row>
    <row r="27" spans="1:21" hidden="1" x14ac:dyDescent="0.3">
      <c r="A27" t="s">
        <v>102</v>
      </c>
      <c r="B27" s="6">
        <v>46244</v>
      </c>
      <c r="C27" t="s">
        <v>26</v>
      </c>
      <c r="D27" t="s">
        <v>72</v>
      </c>
      <c r="E27" t="s">
        <v>20</v>
      </c>
      <c r="F27" t="s">
        <v>103</v>
      </c>
      <c r="G27" t="s">
        <v>22</v>
      </c>
      <c r="J27" s="9">
        <v>0</v>
      </c>
      <c r="K27" s="7">
        <v>0</v>
      </c>
      <c r="L27" s="7">
        <v>0</v>
      </c>
      <c r="M27" s="9">
        <v>1</v>
      </c>
      <c r="N27" s="7">
        <v>8.5</v>
      </c>
      <c r="O27" s="7">
        <v>10.199999999999999</v>
      </c>
      <c r="P27" s="7">
        <v>4.7</v>
      </c>
      <c r="Q27" t="s">
        <v>31</v>
      </c>
      <c r="R27" s="7" t="str">
        <f>TEXT(Table1[[#This Row],[Date]],"mmm yyyy")</f>
        <v>Aug 2026</v>
      </c>
      <c r="S27" s="9">
        <f>YEAR(Table1[[#This Row],[Date]])</f>
        <v>2026</v>
      </c>
      <c r="T27" s="9"/>
      <c r="U27" s="9"/>
    </row>
    <row r="28" spans="1:21" x14ac:dyDescent="0.3">
      <c r="A28" t="s">
        <v>104</v>
      </c>
      <c r="B28" s="6">
        <v>46106</v>
      </c>
      <c r="C28" t="s">
        <v>18</v>
      </c>
      <c r="D28" t="s">
        <v>105</v>
      </c>
      <c r="E28" t="s">
        <v>37</v>
      </c>
      <c r="F28" t="s">
        <v>106</v>
      </c>
      <c r="G28" t="s">
        <v>30</v>
      </c>
      <c r="H28" t="s">
        <v>78</v>
      </c>
      <c r="I28" t="s">
        <v>45</v>
      </c>
      <c r="J28" s="9">
        <v>1</v>
      </c>
      <c r="K28" s="7">
        <v>16600</v>
      </c>
      <c r="L28" s="7">
        <v>0</v>
      </c>
      <c r="M28" s="9"/>
      <c r="N28" s="7">
        <v>2.1</v>
      </c>
      <c r="O28" s="7"/>
      <c r="P28" s="7"/>
      <c r="Q28" t="s">
        <v>45</v>
      </c>
      <c r="R28" s="7" t="str">
        <f>TEXT(Table1[[#This Row],[Date]],"mmm yyyy")</f>
        <v>Mar 2026</v>
      </c>
      <c r="S28" s="9">
        <f>YEAR(Table1[[#This Row],[Date]])</f>
        <v>2026</v>
      </c>
      <c r="T28" s="9"/>
      <c r="U28" s="9"/>
    </row>
    <row r="29" spans="1:21" x14ac:dyDescent="0.3">
      <c r="A29" t="s">
        <v>107</v>
      </c>
      <c r="B29" s="6">
        <v>46186</v>
      </c>
      <c r="C29" t="s">
        <v>18</v>
      </c>
      <c r="D29" t="s">
        <v>47</v>
      </c>
      <c r="E29" t="s">
        <v>20</v>
      </c>
      <c r="F29" t="s">
        <v>108</v>
      </c>
      <c r="G29" t="s">
        <v>44</v>
      </c>
      <c r="H29" t="s">
        <v>23</v>
      </c>
      <c r="I29" t="s">
        <v>55</v>
      </c>
      <c r="J29" s="9">
        <v>1</v>
      </c>
      <c r="K29" s="7">
        <v>17800</v>
      </c>
      <c r="L29" s="7">
        <v>0</v>
      </c>
      <c r="M29" s="9"/>
      <c r="N29" s="7">
        <v>5.8</v>
      </c>
      <c r="O29" s="7"/>
      <c r="P29" s="7"/>
      <c r="Q29" t="s">
        <v>55</v>
      </c>
      <c r="R29" s="7" t="str">
        <f>TEXT(Table1[[#This Row],[Date]],"mmm yyyy")</f>
        <v>Jun 2026</v>
      </c>
      <c r="S29" s="9">
        <f>YEAR(Table1[[#This Row],[Date]])</f>
        <v>2026</v>
      </c>
      <c r="T29" s="9"/>
      <c r="U29" s="9"/>
    </row>
    <row r="30" spans="1:21" hidden="1" x14ac:dyDescent="0.3">
      <c r="A30" t="s">
        <v>109</v>
      </c>
      <c r="B30" s="6">
        <v>46234</v>
      </c>
      <c r="C30" t="s">
        <v>26</v>
      </c>
      <c r="D30" t="s">
        <v>27</v>
      </c>
      <c r="E30" t="s">
        <v>37</v>
      </c>
      <c r="F30" t="s">
        <v>110</v>
      </c>
      <c r="G30" t="s">
        <v>50</v>
      </c>
      <c r="J30" s="9">
        <v>0</v>
      </c>
      <c r="K30" s="7">
        <v>0</v>
      </c>
      <c r="L30" s="7">
        <v>0</v>
      </c>
      <c r="M30" s="9">
        <v>1</v>
      </c>
      <c r="N30" s="7">
        <v>8</v>
      </c>
      <c r="O30" s="7">
        <v>8.5</v>
      </c>
      <c r="P30" s="7">
        <v>4.8</v>
      </c>
      <c r="Q30" t="s">
        <v>39</v>
      </c>
      <c r="R30" s="7" t="str">
        <f>TEXT(Table1[[#This Row],[Date]],"mmm yyyy")</f>
        <v>Jul 2026</v>
      </c>
      <c r="S30" s="9">
        <f>YEAR(Table1[[#This Row],[Date]])</f>
        <v>2026</v>
      </c>
      <c r="T30" s="9"/>
      <c r="U30" s="9"/>
    </row>
    <row r="31" spans="1:21" x14ac:dyDescent="0.3">
      <c r="A31" t="s">
        <v>111</v>
      </c>
      <c r="B31" s="6">
        <v>46083</v>
      </c>
      <c r="C31" t="s">
        <v>18</v>
      </c>
      <c r="D31" t="s">
        <v>41</v>
      </c>
      <c r="E31" t="s">
        <v>48</v>
      </c>
      <c r="F31" t="s">
        <v>112</v>
      </c>
      <c r="G31" t="s">
        <v>30</v>
      </c>
      <c r="H31" t="s">
        <v>23</v>
      </c>
      <c r="I31" t="s">
        <v>89</v>
      </c>
      <c r="J31" s="9">
        <v>1</v>
      </c>
      <c r="K31" s="7">
        <v>28700</v>
      </c>
      <c r="L31" s="7">
        <v>0</v>
      </c>
      <c r="M31" s="9"/>
      <c r="N31" s="7">
        <v>16</v>
      </c>
      <c r="O31" s="7"/>
      <c r="P31" s="7"/>
      <c r="Q31" t="s">
        <v>89</v>
      </c>
      <c r="R31" s="7" t="str">
        <f>TEXT(Table1[[#This Row],[Date]],"mmm yyyy")</f>
        <v>Mar 2026</v>
      </c>
      <c r="S31" s="9">
        <f>YEAR(Table1[[#This Row],[Date]])</f>
        <v>2026</v>
      </c>
      <c r="T31" s="9"/>
      <c r="U31" s="9"/>
    </row>
    <row r="32" spans="1:21" hidden="1" x14ac:dyDescent="0.3">
      <c r="A32" t="s">
        <v>113</v>
      </c>
      <c r="B32" s="6">
        <v>46204</v>
      </c>
      <c r="C32" t="s">
        <v>26</v>
      </c>
      <c r="D32" t="s">
        <v>114</v>
      </c>
      <c r="E32" t="s">
        <v>28</v>
      </c>
      <c r="F32" t="s">
        <v>115</v>
      </c>
      <c r="G32" t="s">
        <v>44</v>
      </c>
      <c r="J32" s="9">
        <v>0</v>
      </c>
      <c r="K32" s="7">
        <v>0</v>
      </c>
      <c r="L32" s="7">
        <v>0</v>
      </c>
      <c r="M32" s="9">
        <v>1</v>
      </c>
      <c r="N32" s="7">
        <v>6.4</v>
      </c>
      <c r="O32" s="7">
        <v>3.6</v>
      </c>
      <c r="P32" s="7">
        <v>5</v>
      </c>
      <c r="Q32" t="s">
        <v>39</v>
      </c>
      <c r="R32" s="7" t="str">
        <f>TEXT(Table1[[#This Row],[Date]],"mmm yyyy")</f>
        <v>Jul 2026</v>
      </c>
      <c r="S32" s="9">
        <f>YEAR(Table1[[#This Row],[Date]])</f>
        <v>2026</v>
      </c>
      <c r="T32" s="9"/>
      <c r="U32" s="9"/>
    </row>
    <row r="33" spans="1:21" x14ac:dyDescent="0.3">
      <c r="A33" t="s">
        <v>116</v>
      </c>
      <c r="B33" s="6">
        <v>46208</v>
      </c>
      <c r="C33" t="s">
        <v>18</v>
      </c>
      <c r="D33" t="s">
        <v>117</v>
      </c>
      <c r="E33" t="s">
        <v>20</v>
      </c>
      <c r="F33" t="s">
        <v>118</v>
      </c>
      <c r="G33" t="s">
        <v>30</v>
      </c>
      <c r="H33" t="s">
        <v>54</v>
      </c>
      <c r="I33" t="s">
        <v>24</v>
      </c>
      <c r="J33" s="9">
        <v>1</v>
      </c>
      <c r="K33" s="7">
        <v>20300</v>
      </c>
      <c r="L33" s="7">
        <v>20300</v>
      </c>
      <c r="M33" s="9"/>
      <c r="N33" s="7">
        <v>6.1</v>
      </c>
      <c r="O33" s="7"/>
      <c r="P33" s="7"/>
      <c r="Q33" t="s">
        <v>24</v>
      </c>
      <c r="R33" s="7" t="str">
        <f>TEXT(Table1[[#This Row],[Date]],"mmm yyyy")</f>
        <v>Jul 2026</v>
      </c>
      <c r="S33" s="9">
        <f>YEAR(Table1[[#This Row],[Date]])</f>
        <v>2026</v>
      </c>
      <c r="T33" s="9"/>
      <c r="U33" s="9"/>
    </row>
    <row r="34" spans="1:21" x14ac:dyDescent="0.3">
      <c r="A34" t="s">
        <v>119</v>
      </c>
      <c r="B34" s="6">
        <v>46248</v>
      </c>
      <c r="C34" t="s">
        <v>18</v>
      </c>
      <c r="D34" t="s">
        <v>95</v>
      </c>
      <c r="E34" t="s">
        <v>20</v>
      </c>
      <c r="F34" t="s">
        <v>120</v>
      </c>
      <c r="G34" t="s">
        <v>44</v>
      </c>
      <c r="H34" t="s">
        <v>78</v>
      </c>
      <c r="I34" t="s">
        <v>79</v>
      </c>
      <c r="J34" s="9">
        <v>1</v>
      </c>
      <c r="K34" s="7">
        <v>66800</v>
      </c>
      <c r="L34" s="7">
        <v>0</v>
      </c>
      <c r="M34" s="9"/>
      <c r="N34" s="7">
        <v>12.4</v>
      </c>
      <c r="O34" s="7"/>
      <c r="P34" s="7"/>
      <c r="Q34" t="s">
        <v>79</v>
      </c>
      <c r="R34" s="7" t="str">
        <f>TEXT(Table1[[#This Row],[Date]],"mmm yyyy")</f>
        <v>Aug 2026</v>
      </c>
      <c r="S34" s="9">
        <f>YEAR(Table1[[#This Row],[Date]])</f>
        <v>2026</v>
      </c>
      <c r="T34" s="9"/>
      <c r="U34" s="9"/>
    </row>
    <row r="35" spans="1:21" hidden="1" x14ac:dyDescent="0.3">
      <c r="A35" t="s">
        <v>121</v>
      </c>
      <c r="B35" s="6">
        <v>45987</v>
      </c>
      <c r="C35" t="s">
        <v>26</v>
      </c>
      <c r="D35" t="s">
        <v>114</v>
      </c>
      <c r="E35" t="s">
        <v>20</v>
      </c>
      <c r="F35" t="s">
        <v>122</v>
      </c>
      <c r="G35" t="s">
        <v>22</v>
      </c>
      <c r="J35" s="9">
        <v>0</v>
      </c>
      <c r="K35" s="7">
        <v>0</v>
      </c>
      <c r="L35" s="7">
        <v>0</v>
      </c>
      <c r="M35" s="9">
        <v>1</v>
      </c>
      <c r="N35" s="7">
        <v>0.6</v>
      </c>
      <c r="O35" s="7">
        <v>12.5</v>
      </c>
      <c r="P35" s="7">
        <v>4.5999999999999996</v>
      </c>
      <c r="Q35" t="s">
        <v>39</v>
      </c>
      <c r="R35" s="7" t="str">
        <f>TEXT(Table1[[#This Row],[Date]],"mmm yyyy")</f>
        <v>Nov 2025</v>
      </c>
      <c r="S35" s="9">
        <f>YEAR(Table1[[#This Row],[Date]])</f>
        <v>2025</v>
      </c>
      <c r="T35" s="9"/>
      <c r="U35" s="9"/>
    </row>
    <row r="36" spans="1:21" hidden="1" x14ac:dyDescent="0.3">
      <c r="A36" t="s">
        <v>123</v>
      </c>
      <c r="B36" s="6">
        <v>46262</v>
      </c>
      <c r="C36" t="s">
        <v>26</v>
      </c>
      <c r="D36" t="s">
        <v>36</v>
      </c>
      <c r="E36" t="s">
        <v>42</v>
      </c>
      <c r="F36" t="s">
        <v>124</v>
      </c>
      <c r="G36" t="s">
        <v>30</v>
      </c>
      <c r="J36" s="9">
        <v>0</v>
      </c>
      <c r="K36" s="7">
        <v>0</v>
      </c>
      <c r="L36" s="7">
        <v>0</v>
      </c>
      <c r="M36" s="9">
        <v>1</v>
      </c>
      <c r="N36" s="7">
        <v>2.4</v>
      </c>
      <c r="O36" s="7">
        <v>2.8</v>
      </c>
      <c r="P36" s="7">
        <v>4.3</v>
      </c>
      <c r="Q36" t="s">
        <v>39</v>
      </c>
      <c r="R36" s="7" t="str">
        <f>TEXT(Table1[[#This Row],[Date]],"mmm yyyy")</f>
        <v>Aug 2026</v>
      </c>
      <c r="S36" s="9">
        <f>YEAR(Table1[[#This Row],[Date]])</f>
        <v>2026</v>
      </c>
      <c r="T36" s="9"/>
      <c r="U36" s="9"/>
    </row>
    <row r="37" spans="1:21" hidden="1" x14ac:dyDescent="0.3">
      <c r="A37" t="s">
        <v>125</v>
      </c>
      <c r="B37" s="6">
        <v>46041</v>
      </c>
      <c r="C37" t="s">
        <v>26</v>
      </c>
      <c r="D37" t="s">
        <v>126</v>
      </c>
      <c r="E37" t="s">
        <v>48</v>
      </c>
      <c r="F37" t="s">
        <v>127</v>
      </c>
      <c r="G37" t="s">
        <v>22</v>
      </c>
      <c r="J37" s="9">
        <v>0</v>
      </c>
      <c r="K37" s="7">
        <v>0</v>
      </c>
      <c r="L37" s="7">
        <v>0</v>
      </c>
      <c r="M37" s="9">
        <v>1</v>
      </c>
      <c r="N37" s="7">
        <v>10</v>
      </c>
      <c r="O37" s="7">
        <v>5.4</v>
      </c>
      <c r="P37" s="7">
        <v>4.7</v>
      </c>
      <c r="Q37" t="s">
        <v>39</v>
      </c>
      <c r="R37" s="7" t="str">
        <f>TEXT(Table1[[#This Row],[Date]],"mmm yyyy")</f>
        <v>Jan 2026</v>
      </c>
      <c r="S37" s="9">
        <f>YEAR(Table1[[#This Row],[Date]])</f>
        <v>2026</v>
      </c>
      <c r="T37" s="9"/>
      <c r="U37" s="9"/>
    </row>
    <row r="38" spans="1:21" x14ac:dyDescent="0.3">
      <c r="A38" t="s">
        <v>128</v>
      </c>
      <c r="B38" s="6">
        <v>46145</v>
      </c>
      <c r="C38" t="s">
        <v>18</v>
      </c>
      <c r="D38" t="s">
        <v>52</v>
      </c>
      <c r="E38" t="s">
        <v>48</v>
      </c>
      <c r="F38" t="s">
        <v>129</v>
      </c>
      <c r="G38" t="s">
        <v>50</v>
      </c>
      <c r="H38" t="s">
        <v>23</v>
      </c>
      <c r="I38" t="s">
        <v>45</v>
      </c>
      <c r="J38" s="9">
        <v>1</v>
      </c>
      <c r="K38" s="7">
        <v>39400</v>
      </c>
      <c r="L38" s="7">
        <v>0</v>
      </c>
      <c r="M38" s="9"/>
      <c r="N38" s="7">
        <v>2.5</v>
      </c>
      <c r="O38" s="7"/>
      <c r="P38" s="7"/>
      <c r="Q38" t="s">
        <v>45</v>
      </c>
      <c r="R38" s="7" t="str">
        <f>TEXT(Table1[[#This Row],[Date]],"mmm yyyy")</f>
        <v>May 2026</v>
      </c>
      <c r="S38" s="9">
        <f>YEAR(Table1[[#This Row],[Date]])</f>
        <v>2026</v>
      </c>
      <c r="T38" s="9"/>
      <c r="U38" s="9"/>
    </row>
    <row r="39" spans="1:21" x14ac:dyDescent="0.3">
      <c r="A39" t="s">
        <v>130</v>
      </c>
      <c r="B39" s="6">
        <v>45941</v>
      </c>
      <c r="C39" t="s">
        <v>18</v>
      </c>
      <c r="D39" t="s">
        <v>105</v>
      </c>
      <c r="E39" t="s">
        <v>28</v>
      </c>
      <c r="F39" t="s">
        <v>131</v>
      </c>
      <c r="G39" t="s">
        <v>22</v>
      </c>
      <c r="H39" t="s">
        <v>54</v>
      </c>
      <c r="I39" t="s">
        <v>24</v>
      </c>
      <c r="J39" s="9">
        <v>1</v>
      </c>
      <c r="K39" s="7">
        <v>21000</v>
      </c>
      <c r="L39" s="7">
        <v>21000</v>
      </c>
      <c r="M39" s="9"/>
      <c r="N39" s="7">
        <v>22.3</v>
      </c>
      <c r="O39" s="7"/>
      <c r="P39" s="7"/>
      <c r="Q39" t="s">
        <v>24</v>
      </c>
      <c r="R39" s="7" t="str">
        <f>TEXT(Table1[[#This Row],[Date]],"mmm yyyy")</f>
        <v>Oct 2025</v>
      </c>
      <c r="S39" s="9">
        <f>YEAR(Table1[[#This Row],[Date]])</f>
        <v>2025</v>
      </c>
      <c r="T39" s="9"/>
      <c r="U39" s="9"/>
    </row>
    <row r="40" spans="1:21" hidden="1" x14ac:dyDescent="0.3">
      <c r="A40" t="s">
        <v>132</v>
      </c>
      <c r="B40" s="6">
        <v>45945</v>
      </c>
      <c r="C40" t="s">
        <v>26</v>
      </c>
      <c r="D40" t="s">
        <v>69</v>
      </c>
      <c r="E40" t="s">
        <v>20</v>
      </c>
      <c r="F40" t="s">
        <v>93</v>
      </c>
      <c r="G40" t="s">
        <v>30</v>
      </c>
      <c r="J40" s="9">
        <v>0</v>
      </c>
      <c r="K40" s="7">
        <v>0</v>
      </c>
      <c r="L40" s="7">
        <v>0</v>
      </c>
      <c r="M40" s="9">
        <v>1</v>
      </c>
      <c r="N40" s="7">
        <v>10.9</v>
      </c>
      <c r="O40" s="7">
        <v>12.2</v>
      </c>
      <c r="P40" s="7">
        <v>3.7</v>
      </c>
      <c r="Q40" t="s">
        <v>39</v>
      </c>
      <c r="R40" s="7" t="str">
        <f>TEXT(Table1[[#This Row],[Date]],"mmm yyyy")</f>
        <v>Oct 2025</v>
      </c>
      <c r="S40" s="9">
        <f>YEAR(Table1[[#This Row],[Date]])</f>
        <v>2025</v>
      </c>
      <c r="T40" s="9"/>
      <c r="U40" s="9"/>
    </row>
    <row r="41" spans="1:21" x14ac:dyDescent="0.3">
      <c r="A41" t="s">
        <v>133</v>
      </c>
      <c r="B41" s="6">
        <v>46201</v>
      </c>
      <c r="C41" t="s">
        <v>18</v>
      </c>
      <c r="D41" t="s">
        <v>117</v>
      </c>
      <c r="E41" t="s">
        <v>37</v>
      </c>
      <c r="F41" t="s">
        <v>134</v>
      </c>
      <c r="G41" t="s">
        <v>30</v>
      </c>
      <c r="H41" t="s">
        <v>23</v>
      </c>
      <c r="I41" t="s">
        <v>55</v>
      </c>
      <c r="J41" s="9">
        <v>1</v>
      </c>
      <c r="K41" s="7">
        <v>69500</v>
      </c>
      <c r="L41" s="7">
        <v>0</v>
      </c>
      <c r="M41" s="9"/>
      <c r="N41" s="7">
        <v>6.6</v>
      </c>
      <c r="O41" s="7"/>
      <c r="P41" s="7"/>
      <c r="Q41" t="s">
        <v>55</v>
      </c>
      <c r="R41" s="7" t="str">
        <f>TEXT(Table1[[#This Row],[Date]],"mmm yyyy")</f>
        <v>Jun 2026</v>
      </c>
      <c r="S41" s="9">
        <f>YEAR(Table1[[#This Row],[Date]])</f>
        <v>2026</v>
      </c>
      <c r="T41" s="9"/>
      <c r="U41" s="9"/>
    </row>
    <row r="42" spans="1:21" x14ac:dyDescent="0.3">
      <c r="A42" t="s">
        <v>135</v>
      </c>
      <c r="B42" s="6">
        <v>46115</v>
      </c>
      <c r="C42" t="s">
        <v>18</v>
      </c>
      <c r="D42" t="s">
        <v>52</v>
      </c>
      <c r="E42" t="s">
        <v>20</v>
      </c>
      <c r="F42" t="s">
        <v>136</v>
      </c>
      <c r="G42" t="s">
        <v>44</v>
      </c>
      <c r="H42" t="s">
        <v>54</v>
      </c>
      <c r="I42" t="s">
        <v>24</v>
      </c>
      <c r="J42" s="9">
        <v>1</v>
      </c>
      <c r="K42" s="7">
        <v>25500</v>
      </c>
      <c r="L42" s="7">
        <v>25500</v>
      </c>
      <c r="M42" s="9"/>
      <c r="N42" s="7">
        <v>13.4</v>
      </c>
      <c r="O42" s="7"/>
      <c r="P42" s="7"/>
      <c r="Q42" t="s">
        <v>24</v>
      </c>
      <c r="R42" s="7" t="str">
        <f>TEXT(Table1[[#This Row],[Date]],"mmm yyyy")</f>
        <v>Apr 2026</v>
      </c>
      <c r="S42" s="9">
        <f>YEAR(Table1[[#This Row],[Date]])</f>
        <v>2026</v>
      </c>
      <c r="T42" s="9"/>
      <c r="U42" s="9"/>
    </row>
    <row r="43" spans="1:21" x14ac:dyDescent="0.3">
      <c r="A43" t="s">
        <v>137</v>
      </c>
      <c r="B43" s="6">
        <v>46013</v>
      </c>
      <c r="C43" t="s">
        <v>18</v>
      </c>
      <c r="D43" t="s">
        <v>64</v>
      </c>
      <c r="E43" t="s">
        <v>20</v>
      </c>
      <c r="F43" t="s">
        <v>138</v>
      </c>
      <c r="G43" t="s">
        <v>50</v>
      </c>
      <c r="H43" t="s">
        <v>78</v>
      </c>
      <c r="I43" t="s">
        <v>24</v>
      </c>
      <c r="J43" s="9">
        <v>1</v>
      </c>
      <c r="K43" s="7">
        <v>11900</v>
      </c>
      <c r="L43" s="7">
        <v>11900</v>
      </c>
      <c r="M43" s="9"/>
      <c r="N43" s="7">
        <v>16.399999999999999</v>
      </c>
      <c r="O43" s="7"/>
      <c r="P43" s="7"/>
      <c r="Q43" t="s">
        <v>24</v>
      </c>
      <c r="R43" s="7" t="str">
        <f>TEXT(Table1[[#This Row],[Date]],"mmm yyyy")</f>
        <v>Dec 2025</v>
      </c>
      <c r="S43" s="9">
        <f>YEAR(Table1[[#This Row],[Date]])</f>
        <v>2025</v>
      </c>
      <c r="T43" s="9"/>
      <c r="U43" s="9"/>
    </row>
    <row r="44" spans="1:21" x14ac:dyDescent="0.3">
      <c r="A44" t="s">
        <v>139</v>
      </c>
      <c r="B44" s="6">
        <v>46207</v>
      </c>
      <c r="C44" t="s">
        <v>18</v>
      </c>
      <c r="D44" t="s">
        <v>19</v>
      </c>
      <c r="E44" t="s">
        <v>48</v>
      </c>
      <c r="F44" t="s">
        <v>140</v>
      </c>
      <c r="G44" t="s">
        <v>50</v>
      </c>
      <c r="H44" t="s">
        <v>54</v>
      </c>
      <c r="I44" t="s">
        <v>24</v>
      </c>
      <c r="J44" s="9">
        <v>1</v>
      </c>
      <c r="K44" s="7">
        <v>29300</v>
      </c>
      <c r="L44" s="7">
        <v>29300</v>
      </c>
      <c r="M44" s="9"/>
      <c r="N44" s="7">
        <v>3.3</v>
      </c>
      <c r="O44" s="7"/>
      <c r="P44" s="7"/>
      <c r="Q44" t="s">
        <v>24</v>
      </c>
      <c r="R44" s="7" t="str">
        <f>TEXT(Table1[[#This Row],[Date]],"mmm yyyy")</f>
        <v>Jul 2026</v>
      </c>
      <c r="S44" s="9">
        <f>YEAR(Table1[[#This Row],[Date]])</f>
        <v>2026</v>
      </c>
      <c r="T44" s="9"/>
      <c r="U44" s="9"/>
    </row>
    <row r="45" spans="1:21" hidden="1" x14ac:dyDescent="0.3">
      <c r="A45" t="s">
        <v>141</v>
      </c>
      <c r="B45" s="6">
        <v>45902</v>
      </c>
      <c r="C45" t="s">
        <v>26</v>
      </c>
      <c r="D45" t="s">
        <v>33</v>
      </c>
      <c r="E45" t="s">
        <v>48</v>
      </c>
      <c r="F45" t="s">
        <v>142</v>
      </c>
      <c r="G45" t="s">
        <v>50</v>
      </c>
      <c r="J45" s="9">
        <v>0</v>
      </c>
      <c r="K45" s="7">
        <v>0</v>
      </c>
      <c r="L45" s="7">
        <v>0</v>
      </c>
      <c r="M45" s="9">
        <v>1</v>
      </c>
      <c r="N45" s="7">
        <v>9.9</v>
      </c>
      <c r="O45" s="7">
        <v>9.1</v>
      </c>
      <c r="P45" s="7">
        <v>4.5999999999999996</v>
      </c>
      <c r="Q45" t="s">
        <v>39</v>
      </c>
      <c r="R45" s="7" t="str">
        <f>TEXT(Table1[[#This Row],[Date]],"mmm yyyy")</f>
        <v>Sep 2025</v>
      </c>
      <c r="S45" s="9">
        <f>YEAR(Table1[[#This Row],[Date]])</f>
        <v>2025</v>
      </c>
      <c r="T45" s="9"/>
      <c r="U45" s="9"/>
    </row>
    <row r="46" spans="1:21" x14ac:dyDescent="0.3">
      <c r="A46" t="s">
        <v>143</v>
      </c>
      <c r="B46" s="6">
        <v>46211</v>
      </c>
      <c r="C46" t="s">
        <v>18</v>
      </c>
      <c r="D46" t="s">
        <v>117</v>
      </c>
      <c r="E46" t="s">
        <v>48</v>
      </c>
      <c r="F46" t="s">
        <v>144</v>
      </c>
      <c r="G46" t="s">
        <v>22</v>
      </c>
      <c r="H46" t="s">
        <v>86</v>
      </c>
      <c r="I46" t="s">
        <v>45</v>
      </c>
      <c r="J46" s="9">
        <v>1</v>
      </c>
      <c r="K46" s="7">
        <v>91600</v>
      </c>
      <c r="L46" s="7">
        <v>0</v>
      </c>
      <c r="M46" s="9"/>
      <c r="N46" s="7">
        <v>19.7</v>
      </c>
      <c r="O46" s="7"/>
      <c r="P46" s="7"/>
      <c r="Q46" t="s">
        <v>45</v>
      </c>
      <c r="R46" s="7" t="str">
        <f>TEXT(Table1[[#This Row],[Date]],"mmm yyyy")</f>
        <v>Jul 2026</v>
      </c>
      <c r="S46" s="9">
        <f>YEAR(Table1[[#This Row],[Date]])</f>
        <v>2026</v>
      </c>
      <c r="T46" s="9"/>
      <c r="U46" s="9"/>
    </row>
    <row r="47" spans="1:21" hidden="1" x14ac:dyDescent="0.3">
      <c r="A47" t="s">
        <v>145</v>
      </c>
      <c r="B47" s="6">
        <v>46194</v>
      </c>
      <c r="C47" t="s">
        <v>26</v>
      </c>
      <c r="D47" t="s">
        <v>69</v>
      </c>
      <c r="E47" t="s">
        <v>28</v>
      </c>
      <c r="F47" t="s">
        <v>146</v>
      </c>
      <c r="G47" t="s">
        <v>30</v>
      </c>
      <c r="J47" s="9">
        <v>0</v>
      </c>
      <c r="K47" s="7">
        <v>0</v>
      </c>
      <c r="L47" s="7">
        <v>0</v>
      </c>
      <c r="M47" s="9">
        <v>1</v>
      </c>
      <c r="N47" s="7">
        <v>8.1</v>
      </c>
      <c r="O47" s="7">
        <v>3.6</v>
      </c>
      <c r="P47" s="7">
        <v>3.4</v>
      </c>
      <c r="Q47" t="s">
        <v>31</v>
      </c>
      <c r="R47" s="7" t="str">
        <f>TEXT(Table1[[#This Row],[Date]],"mmm yyyy")</f>
        <v>Jun 2026</v>
      </c>
      <c r="S47" s="9">
        <f>YEAR(Table1[[#This Row],[Date]])</f>
        <v>2026</v>
      </c>
      <c r="T47" s="9"/>
      <c r="U47" s="9"/>
    </row>
    <row r="48" spans="1:21" x14ac:dyDescent="0.3">
      <c r="A48" t="s">
        <v>147</v>
      </c>
      <c r="B48" s="6">
        <v>46088</v>
      </c>
      <c r="C48" t="s">
        <v>18</v>
      </c>
      <c r="D48" t="s">
        <v>64</v>
      </c>
      <c r="E48" t="s">
        <v>20</v>
      </c>
      <c r="F48" t="s">
        <v>148</v>
      </c>
      <c r="G48" t="s">
        <v>50</v>
      </c>
      <c r="H48" t="s">
        <v>86</v>
      </c>
      <c r="I48" t="s">
        <v>45</v>
      </c>
      <c r="J48" s="9">
        <v>1</v>
      </c>
      <c r="K48" s="7">
        <v>39900</v>
      </c>
      <c r="L48" s="7">
        <v>0</v>
      </c>
      <c r="M48" s="9"/>
      <c r="N48" s="7">
        <v>9.1999999999999993</v>
      </c>
      <c r="O48" s="7"/>
      <c r="P48" s="7"/>
      <c r="Q48" t="s">
        <v>45</v>
      </c>
      <c r="R48" s="7" t="str">
        <f>TEXT(Table1[[#This Row],[Date]],"mmm yyyy")</f>
        <v>Mar 2026</v>
      </c>
      <c r="S48" s="9">
        <f>YEAR(Table1[[#This Row],[Date]])</f>
        <v>2026</v>
      </c>
      <c r="T48" s="9"/>
      <c r="U48" s="9"/>
    </row>
    <row r="49" spans="1:21" x14ac:dyDescent="0.3">
      <c r="A49" t="s">
        <v>149</v>
      </c>
      <c r="B49" s="6">
        <v>46213</v>
      </c>
      <c r="C49" t="s">
        <v>18</v>
      </c>
      <c r="D49" t="s">
        <v>41</v>
      </c>
      <c r="E49" t="s">
        <v>20</v>
      </c>
      <c r="F49" t="s">
        <v>150</v>
      </c>
      <c r="G49" t="s">
        <v>30</v>
      </c>
      <c r="H49" t="s">
        <v>78</v>
      </c>
      <c r="I49" t="s">
        <v>89</v>
      </c>
      <c r="J49" s="9">
        <v>1</v>
      </c>
      <c r="K49" s="7">
        <v>5900</v>
      </c>
      <c r="L49" s="7">
        <v>0</v>
      </c>
      <c r="M49" s="9"/>
      <c r="N49" s="7">
        <v>15.7</v>
      </c>
      <c r="O49" s="7"/>
      <c r="P49" s="7"/>
      <c r="Q49" t="s">
        <v>89</v>
      </c>
      <c r="R49" s="7" t="str">
        <f>TEXT(Table1[[#This Row],[Date]],"mmm yyyy")</f>
        <v>Jul 2026</v>
      </c>
      <c r="S49" s="9">
        <f>YEAR(Table1[[#This Row],[Date]])</f>
        <v>2026</v>
      </c>
      <c r="T49" s="9"/>
      <c r="U49" s="9"/>
    </row>
    <row r="50" spans="1:21" x14ac:dyDescent="0.3">
      <c r="A50" t="s">
        <v>151</v>
      </c>
      <c r="B50" s="6">
        <v>45956</v>
      </c>
      <c r="C50" t="s">
        <v>18</v>
      </c>
      <c r="D50" t="s">
        <v>95</v>
      </c>
      <c r="E50" t="s">
        <v>28</v>
      </c>
      <c r="F50" t="s">
        <v>73</v>
      </c>
      <c r="G50" t="s">
        <v>30</v>
      </c>
      <c r="H50" t="s">
        <v>78</v>
      </c>
      <c r="I50" t="s">
        <v>45</v>
      </c>
      <c r="J50" s="9">
        <v>1</v>
      </c>
      <c r="K50" s="7">
        <v>30600</v>
      </c>
      <c r="L50" s="7">
        <v>0</v>
      </c>
      <c r="M50" s="9"/>
      <c r="N50" s="7">
        <v>2.9</v>
      </c>
      <c r="O50" s="7"/>
      <c r="P50" s="7"/>
      <c r="Q50" t="s">
        <v>45</v>
      </c>
      <c r="R50" s="7" t="str">
        <f>TEXT(Table1[[#This Row],[Date]],"mmm yyyy")</f>
        <v>Oct 2025</v>
      </c>
      <c r="S50" s="9">
        <f>YEAR(Table1[[#This Row],[Date]])</f>
        <v>2025</v>
      </c>
      <c r="T50" s="9"/>
      <c r="U50" s="9"/>
    </row>
    <row r="51" spans="1:21" x14ac:dyDescent="0.3">
      <c r="A51" t="s">
        <v>152</v>
      </c>
      <c r="B51" s="6">
        <v>45964</v>
      </c>
      <c r="C51" t="s">
        <v>18</v>
      </c>
      <c r="D51" t="s">
        <v>95</v>
      </c>
      <c r="E51" t="s">
        <v>48</v>
      </c>
      <c r="F51" t="s">
        <v>77</v>
      </c>
      <c r="G51" t="s">
        <v>30</v>
      </c>
      <c r="H51" t="s">
        <v>54</v>
      </c>
      <c r="I51" t="s">
        <v>55</v>
      </c>
      <c r="J51" s="9">
        <v>1</v>
      </c>
      <c r="K51" s="7">
        <v>59600</v>
      </c>
      <c r="L51" s="7">
        <v>0</v>
      </c>
      <c r="M51" s="9"/>
      <c r="N51" s="7">
        <v>4.4000000000000004</v>
      </c>
      <c r="O51" s="7"/>
      <c r="P51" s="7"/>
      <c r="Q51" t="s">
        <v>55</v>
      </c>
      <c r="R51" s="7" t="str">
        <f>TEXT(Table1[[#This Row],[Date]],"mmm yyyy")</f>
        <v>Nov 2025</v>
      </c>
      <c r="S51" s="9">
        <f>YEAR(Table1[[#This Row],[Date]])</f>
        <v>2025</v>
      </c>
      <c r="T51" s="9"/>
      <c r="U51" s="9"/>
    </row>
    <row r="52" spans="1:21" hidden="1" x14ac:dyDescent="0.3">
      <c r="A52" t="s">
        <v>153</v>
      </c>
      <c r="B52" s="6">
        <v>46225</v>
      </c>
      <c r="C52" t="s">
        <v>26</v>
      </c>
      <c r="D52" t="s">
        <v>69</v>
      </c>
      <c r="E52" t="s">
        <v>20</v>
      </c>
      <c r="F52" t="s">
        <v>154</v>
      </c>
      <c r="G52" t="s">
        <v>30</v>
      </c>
      <c r="J52" s="9">
        <v>0</v>
      </c>
      <c r="K52" s="7">
        <v>0</v>
      </c>
      <c r="L52" s="7">
        <v>0</v>
      </c>
      <c r="M52" s="9">
        <v>1</v>
      </c>
      <c r="N52" s="7">
        <v>1.7</v>
      </c>
      <c r="O52" s="7">
        <v>6.7</v>
      </c>
      <c r="P52" s="7">
        <v>4</v>
      </c>
      <c r="Q52" t="s">
        <v>31</v>
      </c>
      <c r="R52" s="7" t="str">
        <f>TEXT(Table1[[#This Row],[Date]],"mmm yyyy")</f>
        <v>Jul 2026</v>
      </c>
      <c r="S52" s="9">
        <f>YEAR(Table1[[#This Row],[Date]])</f>
        <v>2026</v>
      </c>
      <c r="T52" s="9"/>
      <c r="U52" s="9"/>
    </row>
    <row r="53" spans="1:21" hidden="1" x14ac:dyDescent="0.3">
      <c r="A53" t="s">
        <v>155</v>
      </c>
      <c r="B53" s="6">
        <v>46134</v>
      </c>
      <c r="C53" t="s">
        <v>26</v>
      </c>
      <c r="D53" t="s">
        <v>69</v>
      </c>
      <c r="E53" t="s">
        <v>20</v>
      </c>
      <c r="F53" t="s">
        <v>156</v>
      </c>
      <c r="G53" t="s">
        <v>22</v>
      </c>
      <c r="J53" s="9">
        <v>0</v>
      </c>
      <c r="K53" s="7">
        <v>0</v>
      </c>
      <c r="L53" s="7">
        <v>0</v>
      </c>
      <c r="M53" s="9">
        <v>1</v>
      </c>
      <c r="N53" s="7">
        <v>5.9</v>
      </c>
      <c r="O53" s="7">
        <v>7.1</v>
      </c>
      <c r="P53" s="7">
        <v>4.0999999999999996</v>
      </c>
      <c r="Q53" t="s">
        <v>39</v>
      </c>
      <c r="R53" s="7" t="str">
        <f>TEXT(Table1[[#This Row],[Date]],"mmm yyyy")</f>
        <v>Apr 2026</v>
      </c>
      <c r="S53" s="9">
        <f>YEAR(Table1[[#This Row],[Date]])</f>
        <v>2026</v>
      </c>
      <c r="T53" s="9"/>
      <c r="U53" s="9"/>
    </row>
    <row r="54" spans="1:21" hidden="1" x14ac:dyDescent="0.3">
      <c r="A54" t="s">
        <v>157</v>
      </c>
      <c r="B54" s="6">
        <v>46024</v>
      </c>
      <c r="C54" t="s">
        <v>26</v>
      </c>
      <c r="D54" t="s">
        <v>126</v>
      </c>
      <c r="E54" t="s">
        <v>20</v>
      </c>
      <c r="F54" t="s">
        <v>158</v>
      </c>
      <c r="G54" t="s">
        <v>30</v>
      </c>
      <c r="J54" s="9">
        <v>0</v>
      </c>
      <c r="K54" s="7">
        <v>0</v>
      </c>
      <c r="L54" s="7">
        <v>0</v>
      </c>
      <c r="M54" s="9">
        <v>1</v>
      </c>
      <c r="N54" s="7">
        <v>9.9</v>
      </c>
      <c r="O54" s="7">
        <v>9.9</v>
      </c>
      <c r="P54" s="7">
        <v>4</v>
      </c>
      <c r="Q54" t="s">
        <v>39</v>
      </c>
      <c r="R54" s="7" t="str">
        <f>TEXT(Table1[[#This Row],[Date]],"mmm yyyy")</f>
        <v>Jan 2026</v>
      </c>
      <c r="S54" s="9">
        <f>YEAR(Table1[[#This Row],[Date]])</f>
        <v>2026</v>
      </c>
      <c r="T54" s="9"/>
      <c r="U54" s="9"/>
    </row>
    <row r="55" spans="1:21" hidden="1" x14ac:dyDescent="0.3">
      <c r="A55" t="s">
        <v>159</v>
      </c>
      <c r="B55" s="6">
        <v>46178</v>
      </c>
      <c r="C55" t="s">
        <v>26</v>
      </c>
      <c r="D55" t="s">
        <v>114</v>
      </c>
      <c r="E55" t="s">
        <v>48</v>
      </c>
      <c r="F55" t="s">
        <v>160</v>
      </c>
      <c r="G55" t="s">
        <v>30</v>
      </c>
      <c r="J55" s="9">
        <v>0</v>
      </c>
      <c r="K55" s="7">
        <v>0</v>
      </c>
      <c r="L55" s="7">
        <v>0</v>
      </c>
      <c r="M55" s="9">
        <v>1</v>
      </c>
      <c r="N55" s="7">
        <v>6.5</v>
      </c>
      <c r="O55" s="7">
        <v>10.199999999999999</v>
      </c>
      <c r="P55" s="7">
        <v>4.5999999999999996</v>
      </c>
      <c r="Q55" t="s">
        <v>39</v>
      </c>
      <c r="R55" s="7" t="str">
        <f>TEXT(Table1[[#This Row],[Date]],"mmm yyyy")</f>
        <v>Jun 2026</v>
      </c>
      <c r="S55" s="9">
        <f>YEAR(Table1[[#This Row],[Date]])</f>
        <v>2026</v>
      </c>
      <c r="T55" s="9"/>
      <c r="U55" s="9"/>
    </row>
    <row r="56" spans="1:21" hidden="1" x14ac:dyDescent="0.3">
      <c r="A56" t="s">
        <v>161</v>
      </c>
      <c r="B56" s="6">
        <v>45942</v>
      </c>
      <c r="C56" t="s">
        <v>26</v>
      </c>
      <c r="D56" t="s">
        <v>69</v>
      </c>
      <c r="E56" t="s">
        <v>28</v>
      </c>
      <c r="F56" t="s">
        <v>162</v>
      </c>
      <c r="G56" t="s">
        <v>22</v>
      </c>
      <c r="J56" s="9">
        <v>0</v>
      </c>
      <c r="K56" s="7">
        <v>0</v>
      </c>
      <c r="L56" s="7">
        <v>0</v>
      </c>
      <c r="M56" s="9">
        <v>1</v>
      </c>
      <c r="N56" s="7">
        <v>6.1</v>
      </c>
      <c r="O56" s="7">
        <v>12</v>
      </c>
      <c r="P56" s="7">
        <v>3.3</v>
      </c>
      <c r="Q56" t="s">
        <v>31</v>
      </c>
      <c r="R56" s="7" t="str">
        <f>TEXT(Table1[[#This Row],[Date]],"mmm yyyy")</f>
        <v>Oct 2025</v>
      </c>
      <c r="S56" s="9">
        <f>YEAR(Table1[[#This Row],[Date]])</f>
        <v>2025</v>
      </c>
      <c r="T56" s="9"/>
      <c r="U56" s="9"/>
    </row>
    <row r="57" spans="1:21" hidden="1" x14ac:dyDescent="0.3">
      <c r="A57" t="s">
        <v>163</v>
      </c>
      <c r="B57" s="6">
        <v>46224</v>
      </c>
      <c r="C57" t="s">
        <v>26</v>
      </c>
      <c r="D57" t="s">
        <v>72</v>
      </c>
      <c r="E57" t="s">
        <v>20</v>
      </c>
      <c r="F57" t="s">
        <v>164</v>
      </c>
      <c r="G57" t="s">
        <v>22</v>
      </c>
      <c r="J57" s="9">
        <v>0</v>
      </c>
      <c r="K57" s="7">
        <v>0</v>
      </c>
      <c r="L57" s="7">
        <v>0</v>
      </c>
      <c r="M57" s="9">
        <v>1</v>
      </c>
      <c r="N57" s="7">
        <v>5.4</v>
      </c>
      <c r="O57" s="7">
        <v>33.700000000000003</v>
      </c>
      <c r="P57" s="7">
        <v>3.9</v>
      </c>
      <c r="Q57" t="s">
        <v>39</v>
      </c>
      <c r="R57" s="7" t="str">
        <f>TEXT(Table1[[#This Row],[Date]],"mmm yyyy")</f>
        <v>Jul 2026</v>
      </c>
      <c r="S57" s="9">
        <f>YEAR(Table1[[#This Row],[Date]])</f>
        <v>2026</v>
      </c>
      <c r="T57" s="9"/>
      <c r="U57" s="9"/>
    </row>
    <row r="58" spans="1:21" x14ac:dyDescent="0.3">
      <c r="A58" t="s">
        <v>165</v>
      </c>
      <c r="B58" s="6">
        <v>46173</v>
      </c>
      <c r="C58" t="s">
        <v>18</v>
      </c>
      <c r="D58" t="s">
        <v>19</v>
      </c>
      <c r="E58" t="s">
        <v>37</v>
      </c>
      <c r="F58" t="s">
        <v>166</v>
      </c>
      <c r="G58" t="s">
        <v>30</v>
      </c>
      <c r="H58" t="s">
        <v>54</v>
      </c>
      <c r="I58" t="s">
        <v>89</v>
      </c>
      <c r="J58" s="9">
        <v>1</v>
      </c>
      <c r="K58" s="7">
        <v>15500</v>
      </c>
      <c r="L58" s="7">
        <v>0</v>
      </c>
      <c r="M58" s="9"/>
      <c r="N58" s="7">
        <v>11.7</v>
      </c>
      <c r="O58" s="7"/>
      <c r="P58" s="7"/>
      <c r="Q58" t="s">
        <v>89</v>
      </c>
      <c r="R58" s="7" t="str">
        <f>TEXT(Table1[[#This Row],[Date]],"mmm yyyy")</f>
        <v>May 2026</v>
      </c>
      <c r="S58" s="9">
        <f>YEAR(Table1[[#This Row],[Date]])</f>
        <v>2026</v>
      </c>
      <c r="T58" s="9"/>
      <c r="U58" s="9"/>
    </row>
    <row r="59" spans="1:21" x14ac:dyDescent="0.3">
      <c r="A59" t="s">
        <v>167</v>
      </c>
      <c r="B59" s="6">
        <v>46064</v>
      </c>
      <c r="C59" t="s">
        <v>18</v>
      </c>
      <c r="D59" t="s">
        <v>64</v>
      </c>
      <c r="E59" t="s">
        <v>42</v>
      </c>
      <c r="F59" t="s">
        <v>168</v>
      </c>
      <c r="G59" t="s">
        <v>44</v>
      </c>
      <c r="H59" t="s">
        <v>66</v>
      </c>
      <c r="I59" t="s">
        <v>67</v>
      </c>
      <c r="J59" s="9">
        <v>1</v>
      </c>
      <c r="K59" s="7">
        <v>20300</v>
      </c>
      <c r="L59" s="7">
        <v>0</v>
      </c>
      <c r="M59" s="9"/>
      <c r="N59" s="7">
        <v>20.9</v>
      </c>
      <c r="O59" s="7"/>
      <c r="P59" s="7"/>
      <c r="Q59" t="s">
        <v>67</v>
      </c>
      <c r="R59" s="7" t="str">
        <f>TEXT(Table1[[#This Row],[Date]],"mmm yyyy")</f>
        <v>Feb 2026</v>
      </c>
      <c r="S59" s="9">
        <f>YEAR(Table1[[#This Row],[Date]])</f>
        <v>2026</v>
      </c>
      <c r="T59" s="9"/>
      <c r="U59" s="9"/>
    </row>
    <row r="60" spans="1:21" x14ac:dyDescent="0.3">
      <c r="A60" t="s">
        <v>169</v>
      </c>
      <c r="B60" s="6">
        <v>46049</v>
      </c>
      <c r="C60" t="s">
        <v>18</v>
      </c>
      <c r="D60" t="s">
        <v>95</v>
      </c>
      <c r="E60" t="s">
        <v>37</v>
      </c>
      <c r="F60" t="s">
        <v>170</v>
      </c>
      <c r="G60" t="s">
        <v>44</v>
      </c>
      <c r="H60" t="s">
        <v>23</v>
      </c>
      <c r="I60" t="s">
        <v>45</v>
      </c>
      <c r="J60" s="9">
        <v>1</v>
      </c>
      <c r="K60" s="7">
        <v>22300</v>
      </c>
      <c r="L60" s="7">
        <v>0</v>
      </c>
      <c r="M60" s="9"/>
      <c r="N60" s="7">
        <v>2.7</v>
      </c>
      <c r="O60" s="7"/>
      <c r="P60" s="7"/>
      <c r="Q60" t="s">
        <v>45</v>
      </c>
      <c r="R60" s="7" t="str">
        <f>TEXT(Table1[[#This Row],[Date]],"mmm yyyy")</f>
        <v>Jan 2026</v>
      </c>
      <c r="S60" s="9">
        <f>YEAR(Table1[[#This Row],[Date]])</f>
        <v>2026</v>
      </c>
      <c r="T60" s="9"/>
      <c r="U60" s="9"/>
    </row>
    <row r="61" spans="1:21" x14ac:dyDescent="0.3">
      <c r="A61" t="s">
        <v>171</v>
      </c>
      <c r="B61" s="6">
        <v>46208</v>
      </c>
      <c r="C61" t="s">
        <v>18</v>
      </c>
      <c r="D61" t="s">
        <v>52</v>
      </c>
      <c r="E61" t="s">
        <v>28</v>
      </c>
      <c r="F61" t="s">
        <v>172</v>
      </c>
      <c r="G61" t="s">
        <v>30</v>
      </c>
      <c r="H61" t="s">
        <v>78</v>
      </c>
      <c r="I61" t="s">
        <v>67</v>
      </c>
      <c r="J61" s="9">
        <v>1</v>
      </c>
      <c r="K61" s="7">
        <v>36000</v>
      </c>
      <c r="L61" s="7">
        <v>0</v>
      </c>
      <c r="M61" s="9"/>
      <c r="N61" s="7">
        <v>10.9</v>
      </c>
      <c r="O61" s="7"/>
      <c r="P61" s="7"/>
      <c r="Q61" t="s">
        <v>67</v>
      </c>
      <c r="R61" s="7" t="str">
        <f>TEXT(Table1[[#This Row],[Date]],"mmm yyyy")</f>
        <v>Jul 2026</v>
      </c>
      <c r="S61" s="9">
        <f>YEAR(Table1[[#This Row],[Date]])</f>
        <v>2026</v>
      </c>
      <c r="T61" s="9"/>
      <c r="U61" s="9"/>
    </row>
    <row r="62" spans="1:21" x14ac:dyDescent="0.3">
      <c r="A62" t="s">
        <v>173</v>
      </c>
      <c r="B62" s="6">
        <v>46103</v>
      </c>
      <c r="C62" t="s">
        <v>18</v>
      </c>
      <c r="D62" t="s">
        <v>52</v>
      </c>
      <c r="E62" t="s">
        <v>42</v>
      </c>
      <c r="F62" t="s">
        <v>174</v>
      </c>
      <c r="G62" t="s">
        <v>50</v>
      </c>
      <c r="H62" t="s">
        <v>86</v>
      </c>
      <c r="I62" t="s">
        <v>45</v>
      </c>
      <c r="J62" s="9">
        <v>1</v>
      </c>
      <c r="K62" s="7">
        <v>107200</v>
      </c>
      <c r="L62" s="7">
        <v>0</v>
      </c>
      <c r="M62" s="9"/>
      <c r="N62" s="7">
        <v>14.4</v>
      </c>
      <c r="O62" s="7"/>
      <c r="P62" s="7"/>
      <c r="Q62" t="s">
        <v>45</v>
      </c>
      <c r="R62" s="7" t="str">
        <f>TEXT(Table1[[#This Row],[Date]],"mmm yyyy")</f>
        <v>Mar 2026</v>
      </c>
      <c r="S62" s="9">
        <f>YEAR(Table1[[#This Row],[Date]])</f>
        <v>2026</v>
      </c>
      <c r="T62" s="9"/>
      <c r="U62" s="9"/>
    </row>
    <row r="63" spans="1:21" x14ac:dyDescent="0.3">
      <c r="A63" t="s">
        <v>175</v>
      </c>
      <c r="B63" s="6">
        <v>46265</v>
      </c>
      <c r="C63" t="s">
        <v>18</v>
      </c>
      <c r="D63" t="s">
        <v>41</v>
      </c>
      <c r="E63" t="s">
        <v>20</v>
      </c>
      <c r="F63" t="s">
        <v>176</v>
      </c>
      <c r="G63" t="s">
        <v>22</v>
      </c>
      <c r="H63" t="s">
        <v>23</v>
      </c>
      <c r="I63" t="s">
        <v>24</v>
      </c>
      <c r="J63" s="9">
        <v>1</v>
      </c>
      <c r="K63" s="7">
        <v>9200</v>
      </c>
      <c r="L63" s="7">
        <v>9200</v>
      </c>
      <c r="M63" s="9"/>
      <c r="N63" s="7">
        <v>7.5</v>
      </c>
      <c r="O63" s="7"/>
      <c r="P63" s="7"/>
      <c r="Q63" t="s">
        <v>24</v>
      </c>
      <c r="R63" s="7" t="str">
        <f>TEXT(Table1[[#This Row],[Date]],"mmm yyyy")</f>
        <v>Aug 2026</v>
      </c>
      <c r="S63" s="9">
        <f>YEAR(Table1[[#This Row],[Date]])</f>
        <v>2026</v>
      </c>
      <c r="T63" s="9"/>
      <c r="U63" s="9"/>
    </row>
    <row r="64" spans="1:21" hidden="1" x14ac:dyDescent="0.3">
      <c r="A64" t="s">
        <v>177</v>
      </c>
      <c r="B64" s="6">
        <v>46228</v>
      </c>
      <c r="C64" t="s">
        <v>26</v>
      </c>
      <c r="D64" t="s">
        <v>69</v>
      </c>
      <c r="E64" t="s">
        <v>20</v>
      </c>
      <c r="F64" t="s">
        <v>178</v>
      </c>
      <c r="G64" t="s">
        <v>22</v>
      </c>
      <c r="J64" s="9">
        <v>0</v>
      </c>
      <c r="K64" s="7">
        <v>0</v>
      </c>
      <c r="L64" s="7">
        <v>0</v>
      </c>
      <c r="M64" s="9">
        <v>1</v>
      </c>
      <c r="N64" s="7">
        <v>11.7</v>
      </c>
      <c r="O64" s="7">
        <v>4.2</v>
      </c>
      <c r="P64" s="7">
        <v>4.5999999999999996</v>
      </c>
      <c r="Q64" t="s">
        <v>31</v>
      </c>
      <c r="R64" s="7" t="str">
        <f>TEXT(Table1[[#This Row],[Date]],"mmm yyyy")</f>
        <v>Jul 2026</v>
      </c>
      <c r="S64" s="9">
        <f>YEAR(Table1[[#This Row],[Date]])</f>
        <v>2026</v>
      </c>
      <c r="T64" s="9"/>
      <c r="U64" s="9"/>
    </row>
    <row r="65" spans="1:21" x14ac:dyDescent="0.3">
      <c r="A65" t="s">
        <v>179</v>
      </c>
      <c r="B65" s="6">
        <v>45922</v>
      </c>
      <c r="C65" t="s">
        <v>18</v>
      </c>
      <c r="D65" t="s">
        <v>64</v>
      </c>
      <c r="E65" t="s">
        <v>37</v>
      </c>
      <c r="F65" t="s">
        <v>180</v>
      </c>
      <c r="G65" t="s">
        <v>22</v>
      </c>
      <c r="H65" t="s">
        <v>54</v>
      </c>
      <c r="I65" t="s">
        <v>89</v>
      </c>
      <c r="J65" s="9">
        <v>1</v>
      </c>
      <c r="K65" s="7">
        <v>52000</v>
      </c>
      <c r="L65" s="7">
        <v>0</v>
      </c>
      <c r="M65" s="9"/>
      <c r="N65" s="7">
        <v>7.1</v>
      </c>
      <c r="O65" s="7"/>
      <c r="P65" s="7"/>
      <c r="Q65" t="s">
        <v>89</v>
      </c>
      <c r="R65" s="7" t="str">
        <f>TEXT(Table1[[#This Row],[Date]],"mmm yyyy")</f>
        <v>Sep 2025</v>
      </c>
      <c r="S65" s="9">
        <f>YEAR(Table1[[#This Row],[Date]])</f>
        <v>2025</v>
      </c>
      <c r="T65" s="9"/>
      <c r="U65" s="9"/>
    </row>
    <row r="66" spans="1:21" x14ac:dyDescent="0.3">
      <c r="A66" t="s">
        <v>181</v>
      </c>
      <c r="B66" s="6">
        <v>46084</v>
      </c>
      <c r="C66" t="s">
        <v>18</v>
      </c>
      <c r="D66" t="s">
        <v>64</v>
      </c>
      <c r="E66" t="s">
        <v>48</v>
      </c>
      <c r="F66" t="s">
        <v>182</v>
      </c>
      <c r="G66" t="s">
        <v>44</v>
      </c>
      <c r="H66" t="s">
        <v>66</v>
      </c>
      <c r="I66" t="s">
        <v>24</v>
      </c>
      <c r="J66" s="9">
        <v>1</v>
      </c>
      <c r="K66" s="7">
        <v>14800</v>
      </c>
      <c r="L66" s="7">
        <v>14800</v>
      </c>
      <c r="M66" s="9"/>
      <c r="N66" s="7">
        <v>7.4</v>
      </c>
      <c r="O66" s="7"/>
      <c r="P66" s="7"/>
      <c r="Q66" t="s">
        <v>24</v>
      </c>
      <c r="R66" s="7" t="str">
        <f>TEXT(Table1[[#This Row],[Date]],"mmm yyyy")</f>
        <v>Mar 2026</v>
      </c>
      <c r="S66" s="9">
        <f>YEAR(Table1[[#This Row],[Date]])</f>
        <v>2026</v>
      </c>
      <c r="T66" s="9"/>
      <c r="U66" s="9"/>
    </row>
    <row r="67" spans="1:21" x14ac:dyDescent="0.3">
      <c r="A67" t="s">
        <v>183</v>
      </c>
      <c r="B67" s="6">
        <v>46035</v>
      </c>
      <c r="C67" t="s">
        <v>18</v>
      </c>
      <c r="D67" t="s">
        <v>41</v>
      </c>
      <c r="E67" t="s">
        <v>20</v>
      </c>
      <c r="F67" t="s">
        <v>184</v>
      </c>
      <c r="G67" t="s">
        <v>22</v>
      </c>
      <c r="H67" t="s">
        <v>54</v>
      </c>
      <c r="I67" t="s">
        <v>55</v>
      </c>
      <c r="J67" s="9">
        <v>1</v>
      </c>
      <c r="K67" s="7">
        <v>25200</v>
      </c>
      <c r="L67" s="7">
        <v>0</v>
      </c>
      <c r="M67" s="9"/>
      <c r="N67" s="7">
        <v>17</v>
      </c>
      <c r="O67" s="7"/>
      <c r="P67" s="7"/>
      <c r="Q67" t="s">
        <v>55</v>
      </c>
      <c r="R67" s="7" t="str">
        <f>TEXT(Table1[[#This Row],[Date]],"mmm yyyy")</f>
        <v>Jan 2026</v>
      </c>
      <c r="S67" s="9">
        <f>YEAR(Table1[[#This Row],[Date]])</f>
        <v>2026</v>
      </c>
      <c r="T67" s="9"/>
      <c r="U67" s="9"/>
    </row>
    <row r="68" spans="1:21" x14ac:dyDescent="0.3">
      <c r="A68" t="s">
        <v>185</v>
      </c>
      <c r="B68" s="6">
        <v>46091</v>
      </c>
      <c r="C68" t="s">
        <v>18</v>
      </c>
      <c r="D68" t="s">
        <v>52</v>
      </c>
      <c r="E68" t="s">
        <v>20</v>
      </c>
      <c r="F68" t="s">
        <v>186</v>
      </c>
      <c r="G68" t="s">
        <v>30</v>
      </c>
      <c r="H68" t="s">
        <v>23</v>
      </c>
      <c r="I68" t="s">
        <v>45</v>
      </c>
      <c r="J68" s="9">
        <v>1</v>
      </c>
      <c r="K68" s="7">
        <v>24600</v>
      </c>
      <c r="L68" s="7">
        <v>0</v>
      </c>
      <c r="M68" s="9"/>
      <c r="N68" s="7">
        <v>2.1</v>
      </c>
      <c r="O68" s="7"/>
      <c r="P68" s="7"/>
      <c r="Q68" t="s">
        <v>45</v>
      </c>
      <c r="R68" s="7" t="str">
        <f>TEXT(Table1[[#This Row],[Date]],"mmm yyyy")</f>
        <v>Mar 2026</v>
      </c>
      <c r="S68" s="9">
        <f>YEAR(Table1[[#This Row],[Date]])</f>
        <v>2026</v>
      </c>
      <c r="T68" s="9"/>
      <c r="U68" s="9"/>
    </row>
    <row r="69" spans="1:21" hidden="1" x14ac:dyDescent="0.3">
      <c r="A69" t="s">
        <v>187</v>
      </c>
      <c r="B69" s="6">
        <v>46255</v>
      </c>
      <c r="C69" t="s">
        <v>26</v>
      </c>
      <c r="D69" t="s">
        <v>36</v>
      </c>
      <c r="E69" t="s">
        <v>48</v>
      </c>
      <c r="F69" t="s">
        <v>188</v>
      </c>
      <c r="G69" t="s">
        <v>50</v>
      </c>
      <c r="J69" s="9">
        <v>0</v>
      </c>
      <c r="K69" s="7">
        <v>0</v>
      </c>
      <c r="L69" s="7">
        <v>0</v>
      </c>
      <c r="M69" s="9">
        <v>1</v>
      </c>
      <c r="N69" s="7">
        <v>1</v>
      </c>
      <c r="O69" s="7">
        <v>11</v>
      </c>
      <c r="P69" s="7">
        <v>4.0999999999999996</v>
      </c>
      <c r="Q69" t="s">
        <v>39</v>
      </c>
      <c r="R69" s="7" t="str">
        <f>TEXT(Table1[[#This Row],[Date]],"mmm yyyy")</f>
        <v>Aug 2026</v>
      </c>
      <c r="S69" s="9">
        <f>YEAR(Table1[[#This Row],[Date]])</f>
        <v>2026</v>
      </c>
      <c r="T69" s="9"/>
      <c r="U69" s="9"/>
    </row>
    <row r="70" spans="1:21" x14ac:dyDescent="0.3">
      <c r="A70" t="s">
        <v>189</v>
      </c>
      <c r="B70" s="6">
        <v>46045</v>
      </c>
      <c r="C70" t="s">
        <v>18</v>
      </c>
      <c r="D70" t="s">
        <v>47</v>
      </c>
      <c r="E70" t="s">
        <v>48</v>
      </c>
      <c r="F70" t="s">
        <v>150</v>
      </c>
      <c r="G70" t="s">
        <v>22</v>
      </c>
      <c r="H70" t="s">
        <v>78</v>
      </c>
      <c r="I70" t="s">
        <v>24</v>
      </c>
      <c r="J70" s="9">
        <v>1</v>
      </c>
      <c r="K70" s="7">
        <v>9600</v>
      </c>
      <c r="L70" s="7">
        <v>9600</v>
      </c>
      <c r="M70" s="9"/>
      <c r="N70" s="7">
        <v>20.8</v>
      </c>
      <c r="O70" s="7"/>
      <c r="P70" s="7"/>
      <c r="Q70" t="s">
        <v>24</v>
      </c>
      <c r="R70" s="7" t="str">
        <f>TEXT(Table1[[#This Row],[Date]],"mmm yyyy")</f>
        <v>Jan 2026</v>
      </c>
      <c r="S70" s="9">
        <f>YEAR(Table1[[#This Row],[Date]])</f>
        <v>2026</v>
      </c>
      <c r="T70" s="9"/>
      <c r="U70" s="9"/>
    </row>
    <row r="71" spans="1:21" hidden="1" x14ac:dyDescent="0.3">
      <c r="A71" t="s">
        <v>190</v>
      </c>
      <c r="B71" s="6">
        <v>46115</v>
      </c>
      <c r="C71" t="s">
        <v>26</v>
      </c>
      <c r="D71" t="s">
        <v>69</v>
      </c>
      <c r="E71" t="s">
        <v>42</v>
      </c>
      <c r="F71" t="s">
        <v>191</v>
      </c>
      <c r="G71" t="s">
        <v>22</v>
      </c>
      <c r="J71" s="9">
        <v>0</v>
      </c>
      <c r="K71" s="7">
        <v>0</v>
      </c>
      <c r="L71" s="7">
        <v>0</v>
      </c>
      <c r="M71" s="9">
        <v>1</v>
      </c>
      <c r="N71" s="7">
        <v>7</v>
      </c>
      <c r="O71" s="7">
        <v>8.3000000000000007</v>
      </c>
      <c r="P71" s="7">
        <v>4.5999999999999996</v>
      </c>
      <c r="Q71" t="s">
        <v>39</v>
      </c>
      <c r="R71" s="7" t="str">
        <f>TEXT(Table1[[#This Row],[Date]],"mmm yyyy")</f>
        <v>Apr 2026</v>
      </c>
      <c r="S71" s="9">
        <f>YEAR(Table1[[#This Row],[Date]])</f>
        <v>2026</v>
      </c>
      <c r="T71" s="9"/>
      <c r="U71" s="9"/>
    </row>
    <row r="72" spans="1:21" hidden="1" x14ac:dyDescent="0.3">
      <c r="A72" t="s">
        <v>192</v>
      </c>
      <c r="B72" s="6">
        <v>46169</v>
      </c>
      <c r="C72" t="s">
        <v>26</v>
      </c>
      <c r="D72" t="s">
        <v>69</v>
      </c>
      <c r="E72" t="s">
        <v>48</v>
      </c>
      <c r="F72" t="s">
        <v>193</v>
      </c>
      <c r="G72" t="s">
        <v>30</v>
      </c>
      <c r="J72" s="9">
        <v>0</v>
      </c>
      <c r="K72" s="7">
        <v>0</v>
      </c>
      <c r="L72" s="7">
        <v>0</v>
      </c>
      <c r="M72" s="9">
        <v>1</v>
      </c>
      <c r="N72" s="7">
        <v>1.6</v>
      </c>
      <c r="O72" s="7">
        <v>7.4</v>
      </c>
      <c r="P72" s="7">
        <v>5</v>
      </c>
      <c r="Q72" t="s">
        <v>39</v>
      </c>
      <c r="R72" s="7" t="str">
        <f>TEXT(Table1[[#This Row],[Date]],"mmm yyyy")</f>
        <v>May 2026</v>
      </c>
      <c r="S72" s="9">
        <f>YEAR(Table1[[#This Row],[Date]])</f>
        <v>2026</v>
      </c>
      <c r="T72" s="9"/>
      <c r="U72" s="9"/>
    </row>
    <row r="73" spans="1:21" x14ac:dyDescent="0.3">
      <c r="A73" t="s">
        <v>194</v>
      </c>
      <c r="B73" s="6">
        <v>45910</v>
      </c>
      <c r="C73" t="s">
        <v>18</v>
      </c>
      <c r="D73" t="s">
        <v>95</v>
      </c>
      <c r="E73" t="s">
        <v>28</v>
      </c>
      <c r="F73" t="s">
        <v>195</v>
      </c>
      <c r="G73" t="s">
        <v>30</v>
      </c>
      <c r="H73" t="s">
        <v>54</v>
      </c>
      <c r="I73" t="s">
        <v>45</v>
      </c>
      <c r="J73" s="9">
        <v>1</v>
      </c>
      <c r="K73" s="7">
        <v>46800</v>
      </c>
      <c r="L73" s="7">
        <v>0</v>
      </c>
      <c r="M73" s="9"/>
      <c r="N73" s="7">
        <v>6</v>
      </c>
      <c r="O73" s="7"/>
      <c r="P73" s="7"/>
      <c r="Q73" t="s">
        <v>45</v>
      </c>
      <c r="R73" s="7" t="str">
        <f>TEXT(Table1[[#This Row],[Date]],"mmm yyyy")</f>
        <v>Sep 2025</v>
      </c>
      <c r="S73" s="9">
        <f>YEAR(Table1[[#This Row],[Date]])</f>
        <v>2025</v>
      </c>
      <c r="T73" s="9"/>
      <c r="U73" s="9"/>
    </row>
    <row r="74" spans="1:21" x14ac:dyDescent="0.3">
      <c r="A74" t="s">
        <v>196</v>
      </c>
      <c r="B74" s="6">
        <v>45953</v>
      </c>
      <c r="C74" t="s">
        <v>18</v>
      </c>
      <c r="D74" t="s">
        <v>19</v>
      </c>
      <c r="E74" t="s">
        <v>28</v>
      </c>
      <c r="F74" t="s">
        <v>197</v>
      </c>
      <c r="G74" t="s">
        <v>22</v>
      </c>
      <c r="H74" t="s">
        <v>78</v>
      </c>
      <c r="I74" t="s">
        <v>24</v>
      </c>
      <c r="J74" s="9">
        <v>1</v>
      </c>
      <c r="K74" s="7">
        <v>21600</v>
      </c>
      <c r="L74" s="7">
        <v>21600</v>
      </c>
      <c r="M74" s="9"/>
      <c r="N74" s="7">
        <v>7.2</v>
      </c>
      <c r="O74" s="7"/>
      <c r="P74" s="7"/>
      <c r="Q74" t="s">
        <v>24</v>
      </c>
      <c r="R74" s="7" t="str">
        <f>TEXT(Table1[[#This Row],[Date]],"mmm yyyy")</f>
        <v>Oct 2025</v>
      </c>
      <c r="S74" s="9">
        <f>YEAR(Table1[[#This Row],[Date]])</f>
        <v>2025</v>
      </c>
      <c r="T74" s="9"/>
      <c r="U74" s="9"/>
    </row>
    <row r="75" spans="1:21" hidden="1" x14ac:dyDescent="0.3">
      <c r="A75" t="s">
        <v>198</v>
      </c>
      <c r="B75" s="6">
        <v>46238</v>
      </c>
      <c r="C75" t="s">
        <v>26</v>
      </c>
      <c r="D75" t="s">
        <v>69</v>
      </c>
      <c r="E75" t="s">
        <v>28</v>
      </c>
      <c r="F75" t="s">
        <v>199</v>
      </c>
      <c r="G75" t="s">
        <v>22</v>
      </c>
      <c r="J75" s="9">
        <v>0</v>
      </c>
      <c r="K75" s="7">
        <v>0</v>
      </c>
      <c r="L75" s="7">
        <v>0</v>
      </c>
      <c r="M75" s="9">
        <v>1</v>
      </c>
      <c r="N75" s="7">
        <v>4.9000000000000004</v>
      </c>
      <c r="O75" s="7">
        <v>11.7</v>
      </c>
      <c r="P75" s="7">
        <v>2.8</v>
      </c>
      <c r="Q75" t="s">
        <v>62</v>
      </c>
      <c r="R75" s="7" t="str">
        <f>TEXT(Table1[[#This Row],[Date]],"mmm yyyy")</f>
        <v>Aug 2026</v>
      </c>
      <c r="S75" s="9">
        <f>YEAR(Table1[[#This Row],[Date]])</f>
        <v>2026</v>
      </c>
      <c r="T75" s="9"/>
      <c r="U75" s="9"/>
    </row>
    <row r="76" spans="1:21" hidden="1" x14ac:dyDescent="0.3">
      <c r="A76" t="s">
        <v>200</v>
      </c>
      <c r="B76" s="6">
        <v>46109</v>
      </c>
      <c r="C76" t="s">
        <v>26</v>
      </c>
      <c r="D76" t="s">
        <v>36</v>
      </c>
      <c r="E76" t="s">
        <v>20</v>
      </c>
      <c r="F76" t="s">
        <v>201</v>
      </c>
      <c r="G76" t="s">
        <v>50</v>
      </c>
      <c r="J76" s="9">
        <v>0</v>
      </c>
      <c r="K76" s="7">
        <v>0</v>
      </c>
      <c r="L76" s="7">
        <v>0</v>
      </c>
      <c r="M76" s="9">
        <v>1</v>
      </c>
      <c r="N76" s="7">
        <v>1.1000000000000001</v>
      </c>
      <c r="O76" s="7">
        <v>8.3000000000000007</v>
      </c>
      <c r="P76" s="7">
        <v>4.8</v>
      </c>
      <c r="Q76" t="s">
        <v>31</v>
      </c>
      <c r="R76" s="7" t="str">
        <f>TEXT(Table1[[#This Row],[Date]],"mmm yyyy")</f>
        <v>Mar 2026</v>
      </c>
      <c r="S76" s="9">
        <f>YEAR(Table1[[#This Row],[Date]])</f>
        <v>2026</v>
      </c>
      <c r="T76" s="9"/>
      <c r="U76" s="9"/>
    </row>
    <row r="77" spans="1:21" hidden="1" x14ac:dyDescent="0.3">
      <c r="A77" t="s">
        <v>202</v>
      </c>
      <c r="B77" s="6">
        <v>46000</v>
      </c>
      <c r="C77" t="s">
        <v>26</v>
      </c>
      <c r="D77" t="s">
        <v>69</v>
      </c>
      <c r="E77" t="s">
        <v>42</v>
      </c>
      <c r="F77" t="s">
        <v>203</v>
      </c>
      <c r="G77" t="s">
        <v>50</v>
      </c>
      <c r="J77" s="9">
        <v>0</v>
      </c>
      <c r="K77" s="7">
        <v>0</v>
      </c>
      <c r="L77" s="7">
        <v>0</v>
      </c>
      <c r="M77" s="9">
        <v>1</v>
      </c>
      <c r="N77" s="7">
        <v>4.5999999999999996</v>
      </c>
      <c r="O77" s="7">
        <v>7.1</v>
      </c>
      <c r="P77" s="7">
        <v>3.3</v>
      </c>
      <c r="Q77" t="s">
        <v>39</v>
      </c>
      <c r="R77" s="7" t="str">
        <f>TEXT(Table1[[#This Row],[Date]],"mmm yyyy")</f>
        <v>Dec 2025</v>
      </c>
      <c r="S77" s="9">
        <f>YEAR(Table1[[#This Row],[Date]])</f>
        <v>2025</v>
      </c>
      <c r="T77" s="9"/>
      <c r="U77" s="9"/>
    </row>
    <row r="78" spans="1:21" hidden="1" x14ac:dyDescent="0.3">
      <c r="A78" t="s">
        <v>204</v>
      </c>
      <c r="B78" s="6">
        <v>46117</v>
      </c>
      <c r="C78" t="s">
        <v>26</v>
      </c>
      <c r="D78" t="s">
        <v>72</v>
      </c>
      <c r="E78" t="s">
        <v>37</v>
      </c>
      <c r="F78" t="s">
        <v>205</v>
      </c>
      <c r="G78" t="s">
        <v>22</v>
      </c>
      <c r="J78" s="9">
        <v>0</v>
      </c>
      <c r="K78" s="7">
        <v>0</v>
      </c>
      <c r="L78" s="7">
        <v>0</v>
      </c>
      <c r="M78" s="9">
        <v>1</v>
      </c>
      <c r="N78" s="7">
        <v>10.5</v>
      </c>
      <c r="O78" s="7">
        <v>5.0999999999999996</v>
      </c>
      <c r="P78" s="7">
        <v>5</v>
      </c>
      <c r="Q78" t="s">
        <v>39</v>
      </c>
      <c r="R78" s="7" t="str">
        <f>TEXT(Table1[[#This Row],[Date]],"mmm yyyy")</f>
        <v>Apr 2026</v>
      </c>
      <c r="S78" s="9">
        <f>YEAR(Table1[[#This Row],[Date]])</f>
        <v>2026</v>
      </c>
      <c r="T78" s="9"/>
      <c r="U78" s="9"/>
    </row>
    <row r="79" spans="1:21" x14ac:dyDescent="0.3">
      <c r="A79" t="s">
        <v>206</v>
      </c>
      <c r="B79" s="6">
        <v>46181</v>
      </c>
      <c r="C79" t="s">
        <v>18</v>
      </c>
      <c r="D79" t="s">
        <v>95</v>
      </c>
      <c r="E79" t="s">
        <v>20</v>
      </c>
      <c r="F79" t="s">
        <v>81</v>
      </c>
      <c r="G79" t="s">
        <v>30</v>
      </c>
      <c r="H79" t="s">
        <v>86</v>
      </c>
      <c r="I79" t="s">
        <v>55</v>
      </c>
      <c r="J79" s="9">
        <v>1</v>
      </c>
      <c r="K79" s="7">
        <v>11800</v>
      </c>
      <c r="L79" s="7">
        <v>0</v>
      </c>
      <c r="M79" s="9"/>
      <c r="N79" s="7">
        <v>9</v>
      </c>
      <c r="O79" s="7"/>
      <c r="P79" s="7"/>
      <c r="Q79" t="s">
        <v>55</v>
      </c>
      <c r="R79" s="7" t="str">
        <f>TEXT(Table1[[#This Row],[Date]],"mmm yyyy")</f>
        <v>Jun 2026</v>
      </c>
      <c r="S79" s="9">
        <f>YEAR(Table1[[#This Row],[Date]])</f>
        <v>2026</v>
      </c>
      <c r="T79" s="9"/>
      <c r="U79" s="9"/>
    </row>
    <row r="80" spans="1:21" x14ac:dyDescent="0.3">
      <c r="A80" t="s">
        <v>207</v>
      </c>
      <c r="B80" s="6">
        <v>46204</v>
      </c>
      <c r="C80" t="s">
        <v>18</v>
      </c>
      <c r="D80" t="s">
        <v>64</v>
      </c>
      <c r="E80" t="s">
        <v>20</v>
      </c>
      <c r="F80" t="s">
        <v>208</v>
      </c>
      <c r="G80" t="s">
        <v>22</v>
      </c>
      <c r="H80" t="s">
        <v>78</v>
      </c>
      <c r="I80" t="s">
        <v>45</v>
      </c>
      <c r="J80" s="9">
        <v>1</v>
      </c>
      <c r="K80" s="7">
        <v>15000</v>
      </c>
      <c r="L80" s="7">
        <v>0</v>
      </c>
      <c r="M80" s="9"/>
      <c r="N80" s="7">
        <v>18.5</v>
      </c>
      <c r="O80" s="7"/>
      <c r="P80" s="7"/>
      <c r="Q80" t="s">
        <v>45</v>
      </c>
      <c r="R80" s="7" t="str">
        <f>TEXT(Table1[[#This Row],[Date]],"mmm yyyy")</f>
        <v>Jul 2026</v>
      </c>
      <c r="S80" s="9">
        <f>YEAR(Table1[[#This Row],[Date]])</f>
        <v>2026</v>
      </c>
      <c r="T80" s="9"/>
      <c r="U80" s="9"/>
    </row>
    <row r="81" spans="1:21" x14ac:dyDescent="0.3">
      <c r="A81" t="s">
        <v>209</v>
      </c>
      <c r="B81" s="6">
        <v>46110</v>
      </c>
      <c r="C81" t="s">
        <v>18</v>
      </c>
      <c r="D81" t="s">
        <v>105</v>
      </c>
      <c r="E81" t="s">
        <v>48</v>
      </c>
      <c r="F81" t="s">
        <v>210</v>
      </c>
      <c r="G81" t="s">
        <v>30</v>
      </c>
      <c r="H81" t="s">
        <v>86</v>
      </c>
      <c r="I81" t="s">
        <v>79</v>
      </c>
      <c r="J81" s="9">
        <v>1</v>
      </c>
      <c r="K81" s="7">
        <v>19700</v>
      </c>
      <c r="L81" s="7">
        <v>0</v>
      </c>
      <c r="M81" s="9"/>
      <c r="N81" s="7">
        <v>17.7</v>
      </c>
      <c r="O81" s="7"/>
      <c r="P81" s="7"/>
      <c r="Q81" t="s">
        <v>79</v>
      </c>
      <c r="R81" s="7" t="str">
        <f>TEXT(Table1[[#This Row],[Date]],"mmm yyyy")</f>
        <v>Mar 2026</v>
      </c>
      <c r="S81" s="9">
        <f>YEAR(Table1[[#This Row],[Date]])</f>
        <v>2026</v>
      </c>
      <c r="T81" s="9"/>
      <c r="U81" s="9"/>
    </row>
    <row r="82" spans="1:21" hidden="1" x14ac:dyDescent="0.3">
      <c r="A82" t="s">
        <v>211</v>
      </c>
      <c r="B82" s="6">
        <v>46000</v>
      </c>
      <c r="C82" t="s">
        <v>26</v>
      </c>
      <c r="D82" t="s">
        <v>36</v>
      </c>
      <c r="E82" t="s">
        <v>37</v>
      </c>
      <c r="F82" t="s">
        <v>212</v>
      </c>
      <c r="G82" t="s">
        <v>22</v>
      </c>
      <c r="J82" s="9">
        <v>0</v>
      </c>
      <c r="K82" s="7">
        <v>0</v>
      </c>
      <c r="L82" s="7">
        <v>0</v>
      </c>
      <c r="M82" s="9">
        <v>1</v>
      </c>
      <c r="N82" s="7">
        <v>1.7</v>
      </c>
      <c r="O82" s="7">
        <v>12.5</v>
      </c>
      <c r="P82" s="7">
        <v>5</v>
      </c>
      <c r="Q82" t="s">
        <v>39</v>
      </c>
      <c r="R82" s="7" t="str">
        <f>TEXT(Table1[[#This Row],[Date]],"mmm yyyy")</f>
        <v>Dec 2025</v>
      </c>
      <c r="S82" s="9">
        <f>YEAR(Table1[[#This Row],[Date]])</f>
        <v>2025</v>
      </c>
      <c r="T82" s="9"/>
      <c r="U82" s="9"/>
    </row>
    <row r="83" spans="1:21" hidden="1" x14ac:dyDescent="0.3">
      <c r="A83" t="s">
        <v>213</v>
      </c>
      <c r="B83" s="6">
        <v>46049</v>
      </c>
      <c r="C83" t="s">
        <v>26</v>
      </c>
      <c r="D83" t="s">
        <v>114</v>
      </c>
      <c r="E83" t="s">
        <v>37</v>
      </c>
      <c r="F83" t="s">
        <v>146</v>
      </c>
      <c r="G83" t="s">
        <v>50</v>
      </c>
      <c r="J83" s="9">
        <v>0</v>
      </c>
      <c r="K83" s="7">
        <v>0</v>
      </c>
      <c r="L83" s="7">
        <v>0</v>
      </c>
      <c r="M83" s="9">
        <v>1</v>
      </c>
      <c r="N83" s="7">
        <v>3.5</v>
      </c>
      <c r="O83" s="7">
        <v>6.6</v>
      </c>
      <c r="P83" s="7">
        <v>3.7</v>
      </c>
      <c r="Q83" t="s">
        <v>39</v>
      </c>
      <c r="R83" s="7" t="str">
        <f>TEXT(Table1[[#This Row],[Date]],"mmm yyyy")</f>
        <v>Jan 2026</v>
      </c>
      <c r="S83" s="9">
        <f>YEAR(Table1[[#This Row],[Date]])</f>
        <v>2026</v>
      </c>
      <c r="T83" s="9"/>
      <c r="U83" s="9"/>
    </row>
    <row r="84" spans="1:21" x14ac:dyDescent="0.3">
      <c r="A84" t="s">
        <v>214</v>
      </c>
      <c r="B84" s="6">
        <v>46038</v>
      </c>
      <c r="C84" t="s">
        <v>18</v>
      </c>
      <c r="D84" t="s">
        <v>52</v>
      </c>
      <c r="E84" t="s">
        <v>48</v>
      </c>
      <c r="F84" t="s">
        <v>193</v>
      </c>
      <c r="G84" t="s">
        <v>30</v>
      </c>
      <c r="H84" t="s">
        <v>23</v>
      </c>
      <c r="I84" t="s">
        <v>45</v>
      </c>
      <c r="J84" s="9">
        <v>1</v>
      </c>
      <c r="K84" s="7">
        <v>18700</v>
      </c>
      <c r="L84" s="7">
        <v>0</v>
      </c>
      <c r="M84" s="9"/>
      <c r="N84" s="7">
        <v>10</v>
      </c>
      <c r="O84" s="7"/>
      <c r="P84" s="7"/>
      <c r="Q84" t="s">
        <v>45</v>
      </c>
      <c r="R84" s="7" t="str">
        <f>TEXT(Table1[[#This Row],[Date]],"mmm yyyy")</f>
        <v>Jan 2026</v>
      </c>
      <c r="S84" s="9">
        <f>YEAR(Table1[[#This Row],[Date]])</f>
        <v>2026</v>
      </c>
      <c r="T84" s="9"/>
      <c r="U84" s="9"/>
    </row>
    <row r="85" spans="1:21" x14ac:dyDescent="0.3">
      <c r="A85" t="s">
        <v>215</v>
      </c>
      <c r="B85" s="6">
        <v>45917</v>
      </c>
      <c r="C85" t="s">
        <v>18</v>
      </c>
      <c r="D85" t="s">
        <v>117</v>
      </c>
      <c r="E85" t="s">
        <v>42</v>
      </c>
      <c r="F85" t="s">
        <v>216</v>
      </c>
      <c r="G85" t="s">
        <v>50</v>
      </c>
      <c r="H85" t="s">
        <v>78</v>
      </c>
      <c r="I85" t="s">
        <v>67</v>
      </c>
      <c r="J85" s="9">
        <v>1</v>
      </c>
      <c r="K85" s="7">
        <v>5000</v>
      </c>
      <c r="L85" s="7">
        <v>0</v>
      </c>
      <c r="M85" s="9"/>
      <c r="N85" s="7">
        <v>16.399999999999999</v>
      </c>
      <c r="O85" s="7"/>
      <c r="P85" s="7"/>
      <c r="Q85" t="s">
        <v>67</v>
      </c>
      <c r="R85" s="7" t="str">
        <f>TEXT(Table1[[#This Row],[Date]],"mmm yyyy")</f>
        <v>Sep 2025</v>
      </c>
      <c r="S85" s="9">
        <f>YEAR(Table1[[#This Row],[Date]])</f>
        <v>2025</v>
      </c>
      <c r="T85" s="9"/>
      <c r="U85" s="9"/>
    </row>
    <row r="86" spans="1:21" x14ac:dyDescent="0.3">
      <c r="A86" t="s">
        <v>217</v>
      </c>
      <c r="B86" s="6">
        <v>46240</v>
      </c>
      <c r="C86" t="s">
        <v>18</v>
      </c>
      <c r="D86" t="s">
        <v>41</v>
      </c>
      <c r="E86" t="s">
        <v>20</v>
      </c>
      <c r="F86" t="s">
        <v>218</v>
      </c>
      <c r="G86" t="s">
        <v>50</v>
      </c>
      <c r="H86" t="s">
        <v>78</v>
      </c>
      <c r="I86" t="s">
        <v>55</v>
      </c>
      <c r="J86" s="9">
        <v>1</v>
      </c>
      <c r="K86" s="7">
        <v>18400</v>
      </c>
      <c r="L86" s="7">
        <v>0</v>
      </c>
      <c r="M86" s="9"/>
      <c r="N86" s="7">
        <v>6.7</v>
      </c>
      <c r="O86" s="7"/>
      <c r="P86" s="7"/>
      <c r="Q86" t="s">
        <v>55</v>
      </c>
      <c r="R86" s="7" t="str">
        <f>TEXT(Table1[[#This Row],[Date]],"mmm yyyy")</f>
        <v>Aug 2026</v>
      </c>
      <c r="S86" s="9">
        <f>YEAR(Table1[[#This Row],[Date]])</f>
        <v>2026</v>
      </c>
      <c r="T86" s="9"/>
      <c r="U86" s="9"/>
    </row>
    <row r="87" spans="1:21" x14ac:dyDescent="0.3">
      <c r="A87" t="s">
        <v>219</v>
      </c>
      <c r="B87" s="6">
        <v>46124</v>
      </c>
      <c r="C87" t="s">
        <v>18</v>
      </c>
      <c r="D87" t="s">
        <v>105</v>
      </c>
      <c r="E87" t="s">
        <v>20</v>
      </c>
      <c r="F87" t="s">
        <v>220</v>
      </c>
      <c r="G87" t="s">
        <v>22</v>
      </c>
      <c r="H87" t="s">
        <v>78</v>
      </c>
      <c r="I87" t="s">
        <v>45</v>
      </c>
      <c r="J87" s="9">
        <v>1</v>
      </c>
      <c r="K87" s="7">
        <v>25400</v>
      </c>
      <c r="L87" s="7">
        <v>0</v>
      </c>
      <c r="M87" s="9"/>
      <c r="N87" s="7">
        <v>0.5</v>
      </c>
      <c r="O87" s="7"/>
      <c r="P87" s="7"/>
      <c r="Q87" t="s">
        <v>45</v>
      </c>
      <c r="R87" s="7" t="str">
        <f>TEXT(Table1[[#This Row],[Date]],"mmm yyyy")</f>
        <v>Apr 2026</v>
      </c>
      <c r="S87" s="9">
        <f>YEAR(Table1[[#This Row],[Date]])</f>
        <v>2026</v>
      </c>
      <c r="T87" s="9"/>
      <c r="U87" s="9"/>
    </row>
    <row r="88" spans="1:21" hidden="1" x14ac:dyDescent="0.3">
      <c r="A88" t="s">
        <v>221</v>
      </c>
      <c r="B88" s="6">
        <v>45943</v>
      </c>
      <c r="C88" t="s">
        <v>26</v>
      </c>
      <c r="D88" t="s">
        <v>27</v>
      </c>
      <c r="E88" t="s">
        <v>37</v>
      </c>
      <c r="F88" t="s">
        <v>222</v>
      </c>
      <c r="G88" t="s">
        <v>44</v>
      </c>
      <c r="J88" s="9">
        <v>0</v>
      </c>
      <c r="K88" s="7">
        <v>0</v>
      </c>
      <c r="L88" s="7">
        <v>0</v>
      </c>
      <c r="M88" s="9">
        <v>1</v>
      </c>
      <c r="N88" s="7">
        <v>0.4</v>
      </c>
      <c r="O88" s="7">
        <v>8.6999999999999993</v>
      </c>
      <c r="P88" s="7">
        <v>4.2</v>
      </c>
      <c r="Q88" t="s">
        <v>31</v>
      </c>
      <c r="R88" s="7" t="str">
        <f>TEXT(Table1[[#This Row],[Date]],"mmm yyyy")</f>
        <v>Oct 2025</v>
      </c>
      <c r="S88" s="9">
        <f>YEAR(Table1[[#This Row],[Date]])</f>
        <v>2025</v>
      </c>
      <c r="T88" s="9"/>
      <c r="U88" s="9"/>
    </row>
    <row r="89" spans="1:21" hidden="1" x14ac:dyDescent="0.3">
      <c r="A89" t="s">
        <v>223</v>
      </c>
      <c r="B89" s="6">
        <v>45945</v>
      </c>
      <c r="C89" t="s">
        <v>26</v>
      </c>
      <c r="D89" t="s">
        <v>33</v>
      </c>
      <c r="E89" t="s">
        <v>20</v>
      </c>
      <c r="F89" t="s">
        <v>224</v>
      </c>
      <c r="G89" t="s">
        <v>22</v>
      </c>
      <c r="J89" s="9">
        <v>0</v>
      </c>
      <c r="K89" s="7">
        <v>0</v>
      </c>
      <c r="L89" s="7">
        <v>0</v>
      </c>
      <c r="M89" s="9">
        <v>1</v>
      </c>
      <c r="N89" s="7">
        <v>2.8</v>
      </c>
      <c r="O89" s="7">
        <v>2.5</v>
      </c>
      <c r="P89" s="7">
        <v>4</v>
      </c>
      <c r="Q89" t="s">
        <v>225</v>
      </c>
      <c r="R89" s="7" t="str">
        <f>TEXT(Table1[[#This Row],[Date]],"mmm yyyy")</f>
        <v>Oct 2025</v>
      </c>
      <c r="S89" s="9">
        <f>YEAR(Table1[[#This Row],[Date]])</f>
        <v>2025</v>
      </c>
      <c r="T89" s="9"/>
      <c r="U89" s="9"/>
    </row>
    <row r="90" spans="1:21" hidden="1" x14ac:dyDescent="0.3">
      <c r="A90" t="s">
        <v>226</v>
      </c>
      <c r="B90" s="6">
        <v>46118</v>
      </c>
      <c r="C90" t="s">
        <v>26</v>
      </c>
      <c r="D90" t="s">
        <v>114</v>
      </c>
      <c r="E90" t="s">
        <v>48</v>
      </c>
      <c r="F90" t="s">
        <v>166</v>
      </c>
      <c r="G90" t="s">
        <v>22</v>
      </c>
      <c r="J90" s="9">
        <v>0</v>
      </c>
      <c r="K90" s="7">
        <v>0</v>
      </c>
      <c r="L90" s="7">
        <v>0</v>
      </c>
      <c r="M90" s="9">
        <v>1</v>
      </c>
      <c r="N90" s="7">
        <v>6.4</v>
      </c>
      <c r="O90" s="7">
        <v>17.8</v>
      </c>
      <c r="P90" s="7">
        <v>5</v>
      </c>
      <c r="Q90" t="s">
        <v>62</v>
      </c>
      <c r="R90" s="7" t="str">
        <f>TEXT(Table1[[#This Row],[Date]],"mmm yyyy")</f>
        <v>Apr 2026</v>
      </c>
      <c r="S90" s="9">
        <f>YEAR(Table1[[#This Row],[Date]])</f>
        <v>2026</v>
      </c>
      <c r="T90" s="9"/>
      <c r="U90" s="9"/>
    </row>
    <row r="91" spans="1:21" x14ac:dyDescent="0.3">
      <c r="A91" t="s">
        <v>227</v>
      </c>
      <c r="B91" s="6">
        <v>46178</v>
      </c>
      <c r="C91" t="s">
        <v>18</v>
      </c>
      <c r="D91" t="s">
        <v>52</v>
      </c>
      <c r="E91" t="s">
        <v>20</v>
      </c>
      <c r="F91" t="s">
        <v>131</v>
      </c>
      <c r="G91" t="s">
        <v>22</v>
      </c>
      <c r="H91" t="s">
        <v>23</v>
      </c>
      <c r="I91" t="s">
        <v>24</v>
      </c>
      <c r="J91" s="9">
        <v>1</v>
      </c>
      <c r="K91" s="7">
        <v>29600</v>
      </c>
      <c r="L91" s="7">
        <v>29600</v>
      </c>
      <c r="M91" s="9"/>
      <c r="N91" s="7">
        <v>4</v>
      </c>
      <c r="O91" s="7"/>
      <c r="P91" s="7"/>
      <c r="Q91" t="s">
        <v>24</v>
      </c>
      <c r="R91" s="7" t="str">
        <f>TEXT(Table1[[#This Row],[Date]],"mmm yyyy")</f>
        <v>Jun 2026</v>
      </c>
      <c r="S91" s="9">
        <f>YEAR(Table1[[#This Row],[Date]])</f>
        <v>2026</v>
      </c>
      <c r="T91" s="9"/>
      <c r="U91" s="9"/>
    </row>
    <row r="92" spans="1:21" x14ac:dyDescent="0.3">
      <c r="A92" t="s">
        <v>228</v>
      </c>
      <c r="B92" s="6">
        <v>46081</v>
      </c>
      <c r="C92" t="s">
        <v>18</v>
      </c>
      <c r="D92" t="s">
        <v>105</v>
      </c>
      <c r="E92" t="s">
        <v>48</v>
      </c>
      <c r="F92" t="s">
        <v>110</v>
      </c>
      <c r="G92" t="s">
        <v>30</v>
      </c>
      <c r="H92" t="s">
        <v>23</v>
      </c>
      <c r="I92" t="s">
        <v>24</v>
      </c>
      <c r="J92" s="9">
        <v>1</v>
      </c>
      <c r="K92" s="7">
        <v>63600</v>
      </c>
      <c r="L92" s="7">
        <v>63600</v>
      </c>
      <c r="M92" s="9"/>
      <c r="N92" s="7">
        <v>22.8</v>
      </c>
      <c r="O92" s="7"/>
      <c r="P92" s="7"/>
      <c r="Q92" t="s">
        <v>24</v>
      </c>
      <c r="R92" s="7" t="str">
        <f>TEXT(Table1[[#This Row],[Date]],"mmm yyyy")</f>
        <v>Feb 2026</v>
      </c>
      <c r="S92" s="9">
        <f>YEAR(Table1[[#This Row],[Date]])</f>
        <v>2026</v>
      </c>
      <c r="T92" s="9"/>
      <c r="U92" s="9"/>
    </row>
    <row r="93" spans="1:21" hidden="1" x14ac:dyDescent="0.3">
      <c r="A93" t="s">
        <v>229</v>
      </c>
      <c r="B93" s="6">
        <v>46002</v>
      </c>
      <c r="C93" t="s">
        <v>26</v>
      </c>
      <c r="D93" t="s">
        <v>114</v>
      </c>
      <c r="E93" t="s">
        <v>20</v>
      </c>
      <c r="F93" t="s">
        <v>230</v>
      </c>
      <c r="G93" t="s">
        <v>50</v>
      </c>
      <c r="J93" s="9">
        <v>0</v>
      </c>
      <c r="K93" s="7">
        <v>0</v>
      </c>
      <c r="L93" s="7">
        <v>0</v>
      </c>
      <c r="M93" s="9">
        <v>1</v>
      </c>
      <c r="N93" s="7">
        <v>8.5</v>
      </c>
      <c r="O93" s="7">
        <v>6.7</v>
      </c>
      <c r="P93" s="7">
        <v>3.3</v>
      </c>
      <c r="Q93" t="s">
        <v>31</v>
      </c>
      <c r="R93" s="7" t="str">
        <f>TEXT(Table1[[#This Row],[Date]],"mmm yyyy")</f>
        <v>Dec 2025</v>
      </c>
      <c r="S93" s="9">
        <f>YEAR(Table1[[#This Row],[Date]])</f>
        <v>2025</v>
      </c>
      <c r="T93" s="9"/>
      <c r="U93" s="9"/>
    </row>
    <row r="94" spans="1:21" hidden="1" x14ac:dyDescent="0.3">
      <c r="A94" t="s">
        <v>231</v>
      </c>
      <c r="B94" s="6">
        <v>46126</v>
      </c>
      <c r="C94" t="s">
        <v>26</v>
      </c>
      <c r="D94" t="s">
        <v>232</v>
      </c>
      <c r="E94" t="s">
        <v>20</v>
      </c>
      <c r="F94" t="s">
        <v>233</v>
      </c>
      <c r="G94" t="s">
        <v>44</v>
      </c>
      <c r="J94" s="9">
        <v>0</v>
      </c>
      <c r="K94" s="7">
        <v>0</v>
      </c>
      <c r="L94" s="7">
        <v>0</v>
      </c>
      <c r="M94" s="9">
        <v>1</v>
      </c>
      <c r="N94" s="7">
        <v>1</v>
      </c>
      <c r="O94" s="7">
        <v>4.9000000000000004</v>
      </c>
      <c r="P94" s="7">
        <v>4.7</v>
      </c>
      <c r="Q94" t="s">
        <v>39</v>
      </c>
      <c r="R94" s="7" t="str">
        <f>TEXT(Table1[[#This Row],[Date]],"mmm yyyy")</f>
        <v>Apr 2026</v>
      </c>
      <c r="S94" s="9">
        <f>YEAR(Table1[[#This Row],[Date]])</f>
        <v>2026</v>
      </c>
      <c r="T94" s="9"/>
      <c r="U94" s="9"/>
    </row>
    <row r="95" spans="1:21" hidden="1" x14ac:dyDescent="0.3">
      <c r="A95" t="s">
        <v>234</v>
      </c>
      <c r="B95" s="6">
        <v>46102</v>
      </c>
      <c r="C95" t="s">
        <v>26</v>
      </c>
      <c r="D95" t="s">
        <v>126</v>
      </c>
      <c r="E95" t="s">
        <v>20</v>
      </c>
      <c r="F95" t="s">
        <v>235</v>
      </c>
      <c r="G95" t="s">
        <v>30</v>
      </c>
      <c r="J95" s="9">
        <v>0</v>
      </c>
      <c r="K95" s="7">
        <v>0</v>
      </c>
      <c r="L95" s="7">
        <v>0</v>
      </c>
      <c r="M95" s="9">
        <v>1</v>
      </c>
      <c r="N95" s="7">
        <v>10.4</v>
      </c>
      <c r="O95" s="7">
        <v>7.2</v>
      </c>
      <c r="P95" s="7">
        <v>4.8</v>
      </c>
      <c r="Q95" t="s">
        <v>225</v>
      </c>
      <c r="R95" s="7" t="str">
        <f>TEXT(Table1[[#This Row],[Date]],"mmm yyyy")</f>
        <v>Mar 2026</v>
      </c>
      <c r="S95" s="9">
        <f>YEAR(Table1[[#This Row],[Date]])</f>
        <v>2026</v>
      </c>
      <c r="T95" s="9"/>
      <c r="U95" s="9"/>
    </row>
    <row r="96" spans="1:21" hidden="1" x14ac:dyDescent="0.3">
      <c r="A96" t="s">
        <v>236</v>
      </c>
      <c r="B96" s="6">
        <v>46109</v>
      </c>
      <c r="C96" t="s">
        <v>26</v>
      </c>
      <c r="D96" t="s">
        <v>232</v>
      </c>
      <c r="E96" t="s">
        <v>42</v>
      </c>
      <c r="F96" t="s">
        <v>237</v>
      </c>
      <c r="G96" t="s">
        <v>50</v>
      </c>
      <c r="J96" s="9">
        <v>0</v>
      </c>
      <c r="K96" s="7">
        <v>0</v>
      </c>
      <c r="L96" s="7">
        <v>0</v>
      </c>
      <c r="M96" s="9">
        <v>1</v>
      </c>
      <c r="N96" s="7">
        <v>3</v>
      </c>
      <c r="O96" s="7">
        <v>10</v>
      </c>
      <c r="P96" s="7">
        <v>2.9</v>
      </c>
      <c r="Q96" t="s">
        <v>39</v>
      </c>
      <c r="R96" s="7" t="str">
        <f>TEXT(Table1[[#This Row],[Date]],"mmm yyyy")</f>
        <v>Mar 2026</v>
      </c>
      <c r="S96" s="9">
        <f>YEAR(Table1[[#This Row],[Date]])</f>
        <v>2026</v>
      </c>
      <c r="T96" s="9"/>
      <c r="U96" s="9"/>
    </row>
    <row r="97" spans="1:21" x14ac:dyDescent="0.3">
      <c r="A97" t="s">
        <v>238</v>
      </c>
      <c r="B97" s="6">
        <v>45919</v>
      </c>
      <c r="C97" t="s">
        <v>18</v>
      </c>
      <c r="D97" t="s">
        <v>19</v>
      </c>
      <c r="E97" t="s">
        <v>20</v>
      </c>
      <c r="F97" t="s">
        <v>239</v>
      </c>
      <c r="G97" t="s">
        <v>44</v>
      </c>
      <c r="H97" t="s">
        <v>23</v>
      </c>
      <c r="I97" t="s">
        <v>79</v>
      </c>
      <c r="J97" s="9">
        <v>1</v>
      </c>
      <c r="K97" s="7">
        <v>30300</v>
      </c>
      <c r="L97" s="7">
        <v>0</v>
      </c>
      <c r="M97" s="9"/>
      <c r="N97" s="7">
        <v>18.3</v>
      </c>
      <c r="O97" s="7"/>
      <c r="P97" s="7"/>
      <c r="Q97" t="s">
        <v>79</v>
      </c>
      <c r="R97" s="7" t="str">
        <f>TEXT(Table1[[#This Row],[Date]],"mmm yyyy")</f>
        <v>Sep 2025</v>
      </c>
      <c r="S97" s="9">
        <f>YEAR(Table1[[#This Row],[Date]])</f>
        <v>2025</v>
      </c>
      <c r="T97" s="9"/>
      <c r="U97" s="9"/>
    </row>
    <row r="98" spans="1:21" x14ac:dyDescent="0.3">
      <c r="A98" t="s">
        <v>240</v>
      </c>
      <c r="B98" s="6">
        <v>46041</v>
      </c>
      <c r="C98" t="s">
        <v>18</v>
      </c>
      <c r="D98" t="s">
        <v>47</v>
      </c>
      <c r="E98" t="s">
        <v>28</v>
      </c>
      <c r="F98" t="s">
        <v>241</v>
      </c>
      <c r="G98" t="s">
        <v>22</v>
      </c>
      <c r="H98" t="s">
        <v>78</v>
      </c>
      <c r="I98" t="s">
        <v>45</v>
      </c>
      <c r="J98" s="9">
        <v>1</v>
      </c>
      <c r="K98" s="7">
        <v>22300</v>
      </c>
      <c r="L98" s="7">
        <v>0</v>
      </c>
      <c r="M98" s="9"/>
      <c r="N98" s="7">
        <v>18.899999999999999</v>
      </c>
      <c r="O98" s="7"/>
      <c r="P98" s="7"/>
      <c r="Q98" t="s">
        <v>45</v>
      </c>
      <c r="R98" s="7" t="str">
        <f>TEXT(Table1[[#This Row],[Date]],"mmm yyyy")</f>
        <v>Jan 2026</v>
      </c>
      <c r="S98" s="9">
        <f>YEAR(Table1[[#This Row],[Date]])</f>
        <v>2026</v>
      </c>
      <c r="T98" s="9"/>
      <c r="U98" s="9"/>
    </row>
    <row r="99" spans="1:21" x14ac:dyDescent="0.3">
      <c r="A99" t="s">
        <v>242</v>
      </c>
      <c r="B99" s="6">
        <v>45984</v>
      </c>
      <c r="C99" t="s">
        <v>18</v>
      </c>
      <c r="D99" t="s">
        <v>19</v>
      </c>
      <c r="E99" t="s">
        <v>48</v>
      </c>
      <c r="F99" t="s">
        <v>124</v>
      </c>
      <c r="G99" t="s">
        <v>44</v>
      </c>
      <c r="H99" t="s">
        <v>54</v>
      </c>
      <c r="I99" t="s">
        <v>24</v>
      </c>
      <c r="J99" s="9">
        <v>1</v>
      </c>
      <c r="K99" s="7">
        <v>43100</v>
      </c>
      <c r="L99" s="7">
        <v>43100</v>
      </c>
      <c r="M99" s="9"/>
      <c r="N99" s="7">
        <v>19.399999999999999</v>
      </c>
      <c r="O99" s="7"/>
      <c r="P99" s="7"/>
      <c r="Q99" t="s">
        <v>24</v>
      </c>
      <c r="R99" s="7" t="str">
        <f>TEXT(Table1[[#This Row],[Date]],"mmm yyyy")</f>
        <v>Nov 2025</v>
      </c>
      <c r="S99" s="9">
        <f>YEAR(Table1[[#This Row],[Date]])</f>
        <v>2025</v>
      </c>
      <c r="T99" s="9"/>
      <c r="U99" s="9"/>
    </row>
    <row r="100" spans="1:21" x14ac:dyDescent="0.3">
      <c r="A100" t="s">
        <v>243</v>
      </c>
      <c r="B100" s="6">
        <v>46116</v>
      </c>
      <c r="C100" t="s">
        <v>18</v>
      </c>
      <c r="D100" t="s">
        <v>105</v>
      </c>
      <c r="E100" t="s">
        <v>28</v>
      </c>
      <c r="F100" t="s">
        <v>244</v>
      </c>
      <c r="G100" t="s">
        <v>22</v>
      </c>
      <c r="H100" t="s">
        <v>86</v>
      </c>
      <c r="I100" t="s">
        <v>45</v>
      </c>
      <c r="J100" s="9">
        <v>1</v>
      </c>
      <c r="K100" s="7">
        <v>5000</v>
      </c>
      <c r="L100" s="7">
        <v>0</v>
      </c>
      <c r="M100" s="9"/>
      <c r="N100" s="7">
        <v>1.2</v>
      </c>
      <c r="O100" s="7"/>
      <c r="P100" s="7"/>
      <c r="Q100" t="s">
        <v>45</v>
      </c>
      <c r="R100" s="7" t="str">
        <f>TEXT(Table1[[#This Row],[Date]],"mmm yyyy")</f>
        <v>Apr 2026</v>
      </c>
      <c r="S100" s="9">
        <f>YEAR(Table1[[#This Row],[Date]])</f>
        <v>2026</v>
      </c>
      <c r="T100" s="9"/>
      <c r="U100" s="9"/>
    </row>
    <row r="101" spans="1:21" x14ac:dyDescent="0.3">
      <c r="A101" t="s">
        <v>245</v>
      </c>
      <c r="B101" s="6">
        <v>46264</v>
      </c>
      <c r="C101" t="s">
        <v>18</v>
      </c>
      <c r="D101" t="s">
        <v>95</v>
      </c>
      <c r="E101" t="s">
        <v>37</v>
      </c>
      <c r="F101" t="s">
        <v>246</v>
      </c>
      <c r="G101" t="s">
        <v>30</v>
      </c>
      <c r="H101" t="s">
        <v>23</v>
      </c>
      <c r="I101" t="s">
        <v>79</v>
      </c>
      <c r="J101" s="9">
        <v>1</v>
      </c>
      <c r="K101" s="7">
        <v>13500</v>
      </c>
      <c r="L101" s="7">
        <v>0</v>
      </c>
      <c r="M101" s="9"/>
      <c r="N101" s="7">
        <v>9.6999999999999993</v>
      </c>
      <c r="O101" s="7"/>
      <c r="P101" s="7"/>
      <c r="Q101" t="s">
        <v>79</v>
      </c>
      <c r="R101" s="7" t="str">
        <f>TEXT(Table1[[#This Row],[Date]],"mmm yyyy")</f>
        <v>Aug 2026</v>
      </c>
      <c r="S101" s="9">
        <f>YEAR(Table1[[#This Row],[Date]])</f>
        <v>2026</v>
      </c>
      <c r="T101" s="9"/>
      <c r="U101" s="9"/>
    </row>
    <row r="102" spans="1:21" x14ac:dyDescent="0.3">
      <c r="A102" t="s">
        <v>247</v>
      </c>
      <c r="B102" s="6">
        <v>46017</v>
      </c>
      <c r="C102" t="s">
        <v>18</v>
      </c>
      <c r="D102" t="s">
        <v>41</v>
      </c>
      <c r="E102" t="s">
        <v>20</v>
      </c>
      <c r="F102" t="s">
        <v>248</v>
      </c>
      <c r="G102" t="s">
        <v>22</v>
      </c>
      <c r="H102" t="s">
        <v>78</v>
      </c>
      <c r="I102" t="s">
        <v>24</v>
      </c>
      <c r="J102" s="9">
        <v>1</v>
      </c>
      <c r="K102" s="7">
        <v>59300</v>
      </c>
      <c r="L102" s="7">
        <v>59300</v>
      </c>
      <c r="M102" s="9"/>
      <c r="N102" s="7">
        <v>23.8</v>
      </c>
      <c r="O102" s="7"/>
      <c r="P102" s="7"/>
      <c r="Q102" t="s">
        <v>24</v>
      </c>
      <c r="R102" s="7" t="str">
        <f>TEXT(Table1[[#This Row],[Date]],"mmm yyyy")</f>
        <v>Dec 2025</v>
      </c>
      <c r="S102" s="9">
        <f>YEAR(Table1[[#This Row],[Date]])</f>
        <v>2025</v>
      </c>
      <c r="T102" s="9"/>
      <c r="U102" s="9"/>
    </row>
    <row r="103" spans="1:21" hidden="1" x14ac:dyDescent="0.3">
      <c r="A103" t="s">
        <v>249</v>
      </c>
      <c r="B103" s="6">
        <v>46249</v>
      </c>
      <c r="C103" t="s">
        <v>26</v>
      </c>
      <c r="D103" t="s">
        <v>232</v>
      </c>
      <c r="E103" t="s">
        <v>48</v>
      </c>
      <c r="F103" t="s">
        <v>250</v>
      </c>
      <c r="G103" t="s">
        <v>44</v>
      </c>
      <c r="J103" s="9">
        <v>0</v>
      </c>
      <c r="K103" s="7">
        <v>0</v>
      </c>
      <c r="L103" s="7">
        <v>0</v>
      </c>
      <c r="M103" s="9">
        <v>1</v>
      </c>
      <c r="N103" s="7">
        <v>3</v>
      </c>
      <c r="O103" s="7">
        <v>4</v>
      </c>
      <c r="P103" s="7">
        <v>4.0999999999999996</v>
      </c>
      <c r="Q103" t="s">
        <v>39</v>
      </c>
      <c r="R103" s="7" t="str">
        <f>TEXT(Table1[[#This Row],[Date]],"mmm yyyy")</f>
        <v>Aug 2026</v>
      </c>
      <c r="S103" s="9">
        <f>YEAR(Table1[[#This Row],[Date]])</f>
        <v>2026</v>
      </c>
      <c r="T103" s="9"/>
      <c r="U103" s="9"/>
    </row>
    <row r="104" spans="1:21" x14ac:dyDescent="0.3">
      <c r="A104" t="s">
        <v>251</v>
      </c>
      <c r="B104" s="6">
        <v>46005</v>
      </c>
      <c r="C104" t="s">
        <v>18</v>
      </c>
      <c r="D104" t="s">
        <v>41</v>
      </c>
      <c r="E104" t="s">
        <v>20</v>
      </c>
      <c r="F104" t="s">
        <v>252</v>
      </c>
      <c r="G104" t="s">
        <v>44</v>
      </c>
      <c r="H104" t="s">
        <v>23</v>
      </c>
      <c r="I104" t="s">
        <v>89</v>
      </c>
      <c r="J104" s="9">
        <v>1</v>
      </c>
      <c r="K104" s="7">
        <v>77900</v>
      </c>
      <c r="L104" s="7">
        <v>0</v>
      </c>
      <c r="M104" s="9"/>
      <c r="N104" s="7">
        <v>13.7</v>
      </c>
      <c r="O104" s="7"/>
      <c r="P104" s="7"/>
      <c r="Q104" t="s">
        <v>89</v>
      </c>
      <c r="R104" s="7" t="str">
        <f>TEXT(Table1[[#This Row],[Date]],"mmm yyyy")</f>
        <v>Dec 2025</v>
      </c>
      <c r="S104" s="9">
        <f>YEAR(Table1[[#This Row],[Date]])</f>
        <v>2025</v>
      </c>
      <c r="T104" s="9"/>
      <c r="U104" s="9"/>
    </row>
    <row r="105" spans="1:21" x14ac:dyDescent="0.3">
      <c r="A105" t="s">
        <v>253</v>
      </c>
      <c r="B105" s="6">
        <v>46049</v>
      </c>
      <c r="C105" t="s">
        <v>18</v>
      </c>
      <c r="D105" t="s">
        <v>64</v>
      </c>
      <c r="E105" t="s">
        <v>48</v>
      </c>
      <c r="F105" t="s">
        <v>254</v>
      </c>
      <c r="G105" t="s">
        <v>30</v>
      </c>
      <c r="H105" t="s">
        <v>23</v>
      </c>
      <c r="I105" t="s">
        <v>79</v>
      </c>
      <c r="J105" s="9">
        <v>1</v>
      </c>
      <c r="K105" s="7">
        <v>14800</v>
      </c>
      <c r="L105" s="7">
        <v>0</v>
      </c>
      <c r="M105" s="9"/>
      <c r="N105" s="7">
        <v>22.7</v>
      </c>
      <c r="O105" s="7"/>
      <c r="P105" s="7"/>
      <c r="Q105" t="s">
        <v>79</v>
      </c>
      <c r="R105" s="7" t="str">
        <f>TEXT(Table1[[#This Row],[Date]],"mmm yyyy")</f>
        <v>Jan 2026</v>
      </c>
      <c r="S105" s="9">
        <f>YEAR(Table1[[#This Row],[Date]])</f>
        <v>2026</v>
      </c>
      <c r="T105" s="9"/>
      <c r="U105" s="9"/>
    </row>
    <row r="106" spans="1:21" hidden="1" x14ac:dyDescent="0.3">
      <c r="A106" t="s">
        <v>255</v>
      </c>
      <c r="B106" s="6">
        <v>45940</v>
      </c>
      <c r="C106" t="s">
        <v>26</v>
      </c>
      <c r="D106" t="s">
        <v>27</v>
      </c>
      <c r="E106" t="s">
        <v>20</v>
      </c>
      <c r="F106" t="s">
        <v>256</v>
      </c>
      <c r="G106" t="s">
        <v>44</v>
      </c>
      <c r="J106" s="9">
        <v>0</v>
      </c>
      <c r="K106" s="7">
        <v>0</v>
      </c>
      <c r="L106" s="7">
        <v>0</v>
      </c>
      <c r="M106" s="9">
        <v>1</v>
      </c>
      <c r="N106" s="7">
        <v>10.7</v>
      </c>
      <c r="O106" s="7">
        <v>8.5</v>
      </c>
      <c r="P106" s="7">
        <v>3</v>
      </c>
      <c r="Q106" t="s">
        <v>39</v>
      </c>
      <c r="R106" s="7" t="str">
        <f>TEXT(Table1[[#This Row],[Date]],"mmm yyyy")</f>
        <v>Oct 2025</v>
      </c>
      <c r="S106" s="9">
        <f>YEAR(Table1[[#This Row],[Date]])</f>
        <v>2025</v>
      </c>
      <c r="T106" s="9"/>
      <c r="U106" s="9"/>
    </row>
    <row r="107" spans="1:21" x14ac:dyDescent="0.3">
      <c r="A107" t="s">
        <v>257</v>
      </c>
      <c r="B107" s="6">
        <v>46047</v>
      </c>
      <c r="C107" t="s">
        <v>18</v>
      </c>
      <c r="D107" t="s">
        <v>95</v>
      </c>
      <c r="E107" t="s">
        <v>48</v>
      </c>
      <c r="F107" t="s">
        <v>258</v>
      </c>
      <c r="G107" t="s">
        <v>30</v>
      </c>
      <c r="H107" t="s">
        <v>54</v>
      </c>
      <c r="I107" t="s">
        <v>89</v>
      </c>
      <c r="J107" s="9">
        <v>1</v>
      </c>
      <c r="K107" s="7">
        <v>20300</v>
      </c>
      <c r="L107" s="7">
        <v>0</v>
      </c>
      <c r="M107" s="9"/>
      <c r="N107" s="7">
        <v>2.7</v>
      </c>
      <c r="O107" s="7"/>
      <c r="P107" s="7"/>
      <c r="Q107" t="s">
        <v>89</v>
      </c>
      <c r="R107" s="7" t="str">
        <f>TEXT(Table1[[#This Row],[Date]],"mmm yyyy")</f>
        <v>Jan 2026</v>
      </c>
      <c r="S107" s="9">
        <f>YEAR(Table1[[#This Row],[Date]])</f>
        <v>2026</v>
      </c>
      <c r="T107" s="9"/>
      <c r="U107" s="9"/>
    </row>
    <row r="108" spans="1:21" x14ac:dyDescent="0.3">
      <c r="A108" t="s">
        <v>259</v>
      </c>
      <c r="B108" s="6">
        <v>46183</v>
      </c>
      <c r="C108" t="s">
        <v>18</v>
      </c>
      <c r="D108" t="s">
        <v>95</v>
      </c>
      <c r="E108" t="s">
        <v>28</v>
      </c>
      <c r="F108" t="s">
        <v>260</v>
      </c>
      <c r="G108" t="s">
        <v>44</v>
      </c>
      <c r="H108" t="s">
        <v>54</v>
      </c>
      <c r="I108" t="s">
        <v>24</v>
      </c>
      <c r="J108" s="9">
        <v>1</v>
      </c>
      <c r="K108" s="7">
        <v>47800</v>
      </c>
      <c r="L108" s="7">
        <v>47800</v>
      </c>
      <c r="M108" s="9"/>
      <c r="N108" s="7">
        <v>4.0999999999999996</v>
      </c>
      <c r="O108" s="7"/>
      <c r="P108" s="7"/>
      <c r="Q108" t="s">
        <v>24</v>
      </c>
      <c r="R108" s="7" t="str">
        <f>TEXT(Table1[[#This Row],[Date]],"mmm yyyy")</f>
        <v>Jun 2026</v>
      </c>
      <c r="S108" s="9">
        <f>YEAR(Table1[[#This Row],[Date]])</f>
        <v>2026</v>
      </c>
      <c r="T108" s="9"/>
      <c r="U108" s="9"/>
    </row>
    <row r="109" spans="1:21" hidden="1" x14ac:dyDescent="0.3">
      <c r="A109" t="s">
        <v>261</v>
      </c>
      <c r="B109" s="6">
        <v>46081</v>
      </c>
      <c r="C109" t="s">
        <v>26</v>
      </c>
      <c r="D109" t="s">
        <v>36</v>
      </c>
      <c r="E109" t="s">
        <v>20</v>
      </c>
      <c r="F109" t="s">
        <v>262</v>
      </c>
      <c r="G109" t="s">
        <v>22</v>
      </c>
      <c r="J109" s="9">
        <v>0</v>
      </c>
      <c r="K109" s="7">
        <v>0</v>
      </c>
      <c r="L109" s="7">
        <v>0</v>
      </c>
      <c r="M109" s="9">
        <v>1</v>
      </c>
      <c r="N109" s="7">
        <v>1.6</v>
      </c>
      <c r="O109" s="7">
        <v>1.4</v>
      </c>
      <c r="P109" s="7">
        <v>4.5999999999999996</v>
      </c>
      <c r="Q109" t="s">
        <v>39</v>
      </c>
      <c r="R109" s="7" t="str">
        <f>TEXT(Table1[[#This Row],[Date]],"mmm yyyy")</f>
        <v>Feb 2026</v>
      </c>
      <c r="S109" s="9">
        <f>YEAR(Table1[[#This Row],[Date]])</f>
        <v>2026</v>
      </c>
      <c r="T109" s="9"/>
      <c r="U109" s="9"/>
    </row>
    <row r="110" spans="1:21" x14ac:dyDescent="0.3">
      <c r="A110" t="s">
        <v>263</v>
      </c>
      <c r="B110" s="6">
        <v>46038</v>
      </c>
      <c r="C110" t="s">
        <v>18</v>
      </c>
      <c r="D110" t="s">
        <v>19</v>
      </c>
      <c r="E110" t="s">
        <v>20</v>
      </c>
      <c r="F110" t="s">
        <v>264</v>
      </c>
      <c r="G110" t="s">
        <v>30</v>
      </c>
      <c r="H110" t="s">
        <v>23</v>
      </c>
      <c r="I110" t="s">
        <v>79</v>
      </c>
      <c r="J110" s="9">
        <v>1</v>
      </c>
      <c r="K110" s="7">
        <v>50500</v>
      </c>
      <c r="L110" s="7">
        <v>0</v>
      </c>
      <c r="M110" s="9"/>
      <c r="N110" s="7">
        <v>15.6</v>
      </c>
      <c r="O110" s="7"/>
      <c r="P110" s="7"/>
      <c r="Q110" t="s">
        <v>79</v>
      </c>
      <c r="R110" s="7" t="str">
        <f>TEXT(Table1[[#This Row],[Date]],"mmm yyyy")</f>
        <v>Jan 2026</v>
      </c>
      <c r="S110" s="9">
        <f>YEAR(Table1[[#This Row],[Date]])</f>
        <v>2026</v>
      </c>
      <c r="T110" s="9"/>
      <c r="U110" s="9"/>
    </row>
    <row r="111" spans="1:21" x14ac:dyDescent="0.3">
      <c r="A111" t="s">
        <v>265</v>
      </c>
      <c r="B111" s="6">
        <v>46069</v>
      </c>
      <c r="C111" t="s">
        <v>18</v>
      </c>
      <c r="D111" t="s">
        <v>52</v>
      </c>
      <c r="E111" t="s">
        <v>28</v>
      </c>
      <c r="F111" t="s">
        <v>266</v>
      </c>
      <c r="G111" t="s">
        <v>22</v>
      </c>
      <c r="H111" t="s">
        <v>78</v>
      </c>
      <c r="I111" t="s">
        <v>24</v>
      </c>
      <c r="J111" s="9">
        <v>1</v>
      </c>
      <c r="K111" s="7">
        <v>11200</v>
      </c>
      <c r="L111" s="7">
        <v>11200</v>
      </c>
      <c r="M111" s="9"/>
      <c r="N111" s="7">
        <v>19.7</v>
      </c>
      <c r="O111" s="7"/>
      <c r="P111" s="7"/>
      <c r="Q111" t="s">
        <v>24</v>
      </c>
      <c r="R111" s="7" t="str">
        <f>TEXT(Table1[[#This Row],[Date]],"mmm yyyy")</f>
        <v>Feb 2026</v>
      </c>
      <c r="S111" s="9">
        <f>YEAR(Table1[[#This Row],[Date]])</f>
        <v>2026</v>
      </c>
      <c r="T111" s="9"/>
      <c r="U111" s="9"/>
    </row>
    <row r="112" spans="1:21" x14ac:dyDescent="0.3">
      <c r="A112" t="s">
        <v>267</v>
      </c>
      <c r="B112" s="6">
        <v>46106</v>
      </c>
      <c r="C112" t="s">
        <v>18</v>
      </c>
      <c r="D112" t="s">
        <v>64</v>
      </c>
      <c r="E112" t="s">
        <v>20</v>
      </c>
      <c r="F112" t="s">
        <v>268</v>
      </c>
      <c r="G112" t="s">
        <v>30</v>
      </c>
      <c r="H112" t="s">
        <v>66</v>
      </c>
      <c r="I112" t="s">
        <v>89</v>
      </c>
      <c r="J112" s="9">
        <v>1</v>
      </c>
      <c r="K112" s="7">
        <v>26600</v>
      </c>
      <c r="L112" s="7">
        <v>0</v>
      </c>
      <c r="M112" s="9"/>
      <c r="N112" s="7">
        <v>4</v>
      </c>
      <c r="O112" s="7"/>
      <c r="P112" s="7"/>
      <c r="Q112" t="s">
        <v>89</v>
      </c>
      <c r="R112" s="7" t="str">
        <f>TEXT(Table1[[#This Row],[Date]],"mmm yyyy")</f>
        <v>Mar 2026</v>
      </c>
      <c r="S112" s="9">
        <f>YEAR(Table1[[#This Row],[Date]])</f>
        <v>2026</v>
      </c>
      <c r="T112" s="9"/>
      <c r="U112" s="9"/>
    </row>
    <row r="113" spans="1:21" x14ac:dyDescent="0.3">
      <c r="A113" t="s">
        <v>269</v>
      </c>
      <c r="B113" s="6">
        <v>46172</v>
      </c>
      <c r="C113" t="s">
        <v>18</v>
      </c>
      <c r="D113" t="s">
        <v>47</v>
      </c>
      <c r="E113" t="s">
        <v>20</v>
      </c>
      <c r="F113" t="s">
        <v>270</v>
      </c>
      <c r="G113" t="s">
        <v>44</v>
      </c>
      <c r="H113" t="s">
        <v>23</v>
      </c>
      <c r="I113" t="s">
        <v>67</v>
      </c>
      <c r="J113" s="9">
        <v>1</v>
      </c>
      <c r="K113" s="7">
        <v>71400</v>
      </c>
      <c r="L113" s="7">
        <v>0</v>
      </c>
      <c r="M113" s="9"/>
      <c r="N113" s="7">
        <v>22.9</v>
      </c>
      <c r="O113" s="7"/>
      <c r="P113" s="7"/>
      <c r="Q113" t="s">
        <v>67</v>
      </c>
      <c r="R113" s="7" t="str">
        <f>TEXT(Table1[[#This Row],[Date]],"mmm yyyy")</f>
        <v>May 2026</v>
      </c>
      <c r="S113" s="9">
        <f>YEAR(Table1[[#This Row],[Date]])</f>
        <v>2026</v>
      </c>
      <c r="T113" s="9"/>
      <c r="U113" s="9"/>
    </row>
    <row r="114" spans="1:21" hidden="1" x14ac:dyDescent="0.3">
      <c r="A114" t="s">
        <v>271</v>
      </c>
      <c r="B114" s="6">
        <v>45910</v>
      </c>
      <c r="C114" t="s">
        <v>26</v>
      </c>
      <c r="D114" t="s">
        <v>27</v>
      </c>
      <c r="E114" t="s">
        <v>48</v>
      </c>
      <c r="F114" t="s">
        <v>272</v>
      </c>
      <c r="G114" t="s">
        <v>30</v>
      </c>
      <c r="J114" s="9">
        <v>0</v>
      </c>
      <c r="K114" s="7">
        <v>0</v>
      </c>
      <c r="L114" s="7">
        <v>0</v>
      </c>
      <c r="M114" s="9">
        <v>1</v>
      </c>
      <c r="N114" s="7">
        <v>1.6</v>
      </c>
      <c r="O114" s="7">
        <v>9</v>
      </c>
      <c r="P114" s="7">
        <v>5</v>
      </c>
      <c r="Q114" t="s">
        <v>225</v>
      </c>
      <c r="R114" s="7" t="str">
        <f>TEXT(Table1[[#This Row],[Date]],"mmm yyyy")</f>
        <v>Sep 2025</v>
      </c>
      <c r="S114" s="9">
        <f>YEAR(Table1[[#This Row],[Date]])</f>
        <v>2025</v>
      </c>
      <c r="T114" s="9"/>
      <c r="U114" s="9"/>
    </row>
    <row r="115" spans="1:21" hidden="1" x14ac:dyDescent="0.3">
      <c r="A115" t="s">
        <v>273</v>
      </c>
      <c r="B115" s="6">
        <v>45951</v>
      </c>
      <c r="C115" t="s">
        <v>26</v>
      </c>
      <c r="D115" t="s">
        <v>72</v>
      </c>
      <c r="E115" t="s">
        <v>20</v>
      </c>
      <c r="F115" t="s">
        <v>274</v>
      </c>
      <c r="G115" t="s">
        <v>44</v>
      </c>
      <c r="J115" s="9">
        <v>0</v>
      </c>
      <c r="K115" s="7">
        <v>0</v>
      </c>
      <c r="L115" s="7">
        <v>0</v>
      </c>
      <c r="M115" s="9">
        <v>1</v>
      </c>
      <c r="N115" s="7">
        <v>8.4</v>
      </c>
      <c r="O115" s="7">
        <v>23.7</v>
      </c>
      <c r="P115" s="7">
        <v>3.9</v>
      </c>
      <c r="Q115" t="s">
        <v>31</v>
      </c>
      <c r="R115" s="7" t="str">
        <f>TEXT(Table1[[#This Row],[Date]],"mmm yyyy")</f>
        <v>Oct 2025</v>
      </c>
      <c r="S115" s="9">
        <f>YEAR(Table1[[#This Row],[Date]])</f>
        <v>2025</v>
      </c>
      <c r="T115" s="9"/>
      <c r="U115" s="9"/>
    </row>
    <row r="116" spans="1:21" hidden="1" x14ac:dyDescent="0.3">
      <c r="A116" t="s">
        <v>275</v>
      </c>
      <c r="B116" s="6">
        <v>46067</v>
      </c>
      <c r="C116" t="s">
        <v>26</v>
      </c>
      <c r="D116" t="s">
        <v>114</v>
      </c>
      <c r="E116" t="s">
        <v>28</v>
      </c>
      <c r="F116" t="s">
        <v>276</v>
      </c>
      <c r="G116" t="s">
        <v>22</v>
      </c>
      <c r="J116" s="9">
        <v>0</v>
      </c>
      <c r="K116" s="7">
        <v>0</v>
      </c>
      <c r="L116" s="7">
        <v>0</v>
      </c>
      <c r="M116" s="9">
        <v>1</v>
      </c>
      <c r="N116" s="7">
        <v>0.7</v>
      </c>
      <c r="O116" s="7">
        <v>5.5</v>
      </c>
      <c r="P116" s="7">
        <v>3.8</v>
      </c>
      <c r="Q116" t="s">
        <v>225</v>
      </c>
      <c r="R116" s="7" t="str">
        <f>TEXT(Table1[[#This Row],[Date]],"mmm yyyy")</f>
        <v>Feb 2026</v>
      </c>
      <c r="S116" s="9">
        <f>YEAR(Table1[[#This Row],[Date]])</f>
        <v>2026</v>
      </c>
      <c r="T116" s="9"/>
      <c r="U116" s="9"/>
    </row>
    <row r="117" spans="1:21" hidden="1" x14ac:dyDescent="0.3">
      <c r="A117" t="s">
        <v>277</v>
      </c>
      <c r="B117" s="6">
        <v>46145</v>
      </c>
      <c r="C117" t="s">
        <v>26</v>
      </c>
      <c r="D117" t="s">
        <v>114</v>
      </c>
      <c r="E117" t="s">
        <v>28</v>
      </c>
      <c r="F117" t="s">
        <v>278</v>
      </c>
      <c r="G117" t="s">
        <v>44</v>
      </c>
      <c r="J117" s="9">
        <v>0</v>
      </c>
      <c r="K117" s="7">
        <v>0</v>
      </c>
      <c r="L117" s="7">
        <v>0</v>
      </c>
      <c r="M117" s="9">
        <v>1</v>
      </c>
      <c r="N117" s="7">
        <v>6.8</v>
      </c>
      <c r="O117" s="7">
        <v>11.4</v>
      </c>
      <c r="P117" s="7">
        <v>4.0999999999999996</v>
      </c>
      <c r="Q117" t="s">
        <v>39</v>
      </c>
      <c r="R117" s="7" t="str">
        <f>TEXT(Table1[[#This Row],[Date]],"mmm yyyy")</f>
        <v>May 2026</v>
      </c>
      <c r="S117" s="9">
        <f>YEAR(Table1[[#This Row],[Date]])</f>
        <v>2026</v>
      </c>
      <c r="T117" s="9"/>
      <c r="U117" s="9"/>
    </row>
    <row r="118" spans="1:21" hidden="1" x14ac:dyDescent="0.3">
      <c r="A118" t="s">
        <v>279</v>
      </c>
      <c r="B118" s="6">
        <v>46171</v>
      </c>
      <c r="C118" t="s">
        <v>26</v>
      </c>
      <c r="D118" t="s">
        <v>27</v>
      </c>
      <c r="E118" t="s">
        <v>48</v>
      </c>
      <c r="F118" t="s">
        <v>280</v>
      </c>
      <c r="G118" t="s">
        <v>30</v>
      </c>
      <c r="J118" s="9">
        <v>0</v>
      </c>
      <c r="K118" s="7">
        <v>0</v>
      </c>
      <c r="L118" s="7">
        <v>0</v>
      </c>
      <c r="M118" s="9">
        <v>1</v>
      </c>
      <c r="N118" s="7">
        <v>0.4</v>
      </c>
      <c r="O118" s="7">
        <v>5.9</v>
      </c>
      <c r="P118" s="7">
        <v>3</v>
      </c>
      <c r="Q118" t="s">
        <v>225</v>
      </c>
      <c r="R118" s="7" t="str">
        <f>TEXT(Table1[[#This Row],[Date]],"mmm yyyy")</f>
        <v>May 2026</v>
      </c>
      <c r="S118" s="9">
        <f>YEAR(Table1[[#This Row],[Date]])</f>
        <v>2026</v>
      </c>
      <c r="T118" s="9"/>
      <c r="U118" s="9"/>
    </row>
    <row r="119" spans="1:21" x14ac:dyDescent="0.3">
      <c r="A119" t="s">
        <v>281</v>
      </c>
      <c r="B119" s="6">
        <v>46239</v>
      </c>
      <c r="C119" t="s">
        <v>18</v>
      </c>
      <c r="D119" t="s">
        <v>64</v>
      </c>
      <c r="E119" t="s">
        <v>37</v>
      </c>
      <c r="F119" t="s">
        <v>282</v>
      </c>
      <c r="G119" t="s">
        <v>22</v>
      </c>
      <c r="H119" t="s">
        <v>78</v>
      </c>
      <c r="I119" t="s">
        <v>45</v>
      </c>
      <c r="J119" s="9">
        <v>1</v>
      </c>
      <c r="K119" s="7">
        <v>30200</v>
      </c>
      <c r="L119" s="7">
        <v>0</v>
      </c>
      <c r="M119" s="9"/>
      <c r="N119" s="7">
        <v>19.5</v>
      </c>
      <c r="O119" s="7"/>
      <c r="P119" s="7"/>
      <c r="Q119" t="s">
        <v>45</v>
      </c>
      <c r="R119" s="7" t="str">
        <f>TEXT(Table1[[#This Row],[Date]],"mmm yyyy")</f>
        <v>Aug 2026</v>
      </c>
      <c r="S119" s="9">
        <f>YEAR(Table1[[#This Row],[Date]])</f>
        <v>2026</v>
      </c>
      <c r="T119" s="9"/>
      <c r="U119" s="9"/>
    </row>
    <row r="120" spans="1:21" hidden="1" x14ac:dyDescent="0.3">
      <c r="A120" t="s">
        <v>283</v>
      </c>
      <c r="B120" s="6">
        <v>45995</v>
      </c>
      <c r="C120" t="s">
        <v>26</v>
      </c>
      <c r="D120" t="s">
        <v>232</v>
      </c>
      <c r="E120" t="s">
        <v>20</v>
      </c>
      <c r="F120" t="s">
        <v>284</v>
      </c>
      <c r="G120" t="s">
        <v>50</v>
      </c>
      <c r="J120" s="9">
        <v>0</v>
      </c>
      <c r="K120" s="7">
        <v>0</v>
      </c>
      <c r="L120" s="7">
        <v>0</v>
      </c>
      <c r="M120" s="9">
        <v>1</v>
      </c>
      <c r="N120" s="7">
        <v>8.1</v>
      </c>
      <c r="O120" s="7">
        <v>4.8</v>
      </c>
      <c r="P120" s="7">
        <v>3.9</v>
      </c>
      <c r="Q120" t="s">
        <v>62</v>
      </c>
      <c r="R120" s="7" t="str">
        <f>TEXT(Table1[[#This Row],[Date]],"mmm yyyy")</f>
        <v>Dec 2025</v>
      </c>
      <c r="S120" s="9">
        <f>YEAR(Table1[[#This Row],[Date]])</f>
        <v>2025</v>
      </c>
      <c r="T120" s="9"/>
      <c r="U120" s="9"/>
    </row>
    <row r="121" spans="1:21" x14ac:dyDescent="0.3">
      <c r="A121" t="s">
        <v>285</v>
      </c>
      <c r="B121" s="6">
        <v>46014</v>
      </c>
      <c r="C121" t="s">
        <v>18</v>
      </c>
      <c r="D121" t="s">
        <v>64</v>
      </c>
      <c r="E121" t="s">
        <v>28</v>
      </c>
      <c r="F121" t="s">
        <v>286</v>
      </c>
      <c r="G121" t="s">
        <v>44</v>
      </c>
      <c r="H121" t="s">
        <v>23</v>
      </c>
      <c r="I121" t="s">
        <v>55</v>
      </c>
      <c r="J121" s="9">
        <v>1</v>
      </c>
      <c r="K121" s="7">
        <v>39300</v>
      </c>
      <c r="L121" s="7">
        <v>0</v>
      </c>
      <c r="M121" s="9"/>
      <c r="N121" s="7">
        <v>13.4</v>
      </c>
      <c r="O121" s="7"/>
      <c r="P121" s="7"/>
      <c r="Q121" t="s">
        <v>55</v>
      </c>
      <c r="R121" s="7" t="str">
        <f>TEXT(Table1[[#This Row],[Date]],"mmm yyyy")</f>
        <v>Dec 2025</v>
      </c>
      <c r="S121" s="9">
        <f>YEAR(Table1[[#This Row],[Date]])</f>
        <v>2025</v>
      </c>
      <c r="T121" s="9"/>
      <c r="U121" s="9"/>
    </row>
    <row r="122" spans="1:21" hidden="1" x14ac:dyDescent="0.3">
      <c r="A122" t="s">
        <v>287</v>
      </c>
      <c r="B122" s="6">
        <v>46026</v>
      </c>
      <c r="C122" t="s">
        <v>26</v>
      </c>
      <c r="D122" t="s">
        <v>27</v>
      </c>
      <c r="E122" t="s">
        <v>20</v>
      </c>
      <c r="F122" t="s">
        <v>288</v>
      </c>
      <c r="G122" t="s">
        <v>30</v>
      </c>
      <c r="J122" s="9">
        <v>0</v>
      </c>
      <c r="K122" s="7">
        <v>0</v>
      </c>
      <c r="L122" s="7">
        <v>0</v>
      </c>
      <c r="M122" s="9">
        <v>1</v>
      </c>
      <c r="N122" s="7">
        <v>4.0999999999999996</v>
      </c>
      <c r="O122" s="7">
        <v>20</v>
      </c>
      <c r="P122" s="7">
        <v>3.6</v>
      </c>
      <c r="Q122" t="s">
        <v>39</v>
      </c>
      <c r="R122" s="7" t="str">
        <f>TEXT(Table1[[#This Row],[Date]],"mmm yyyy")</f>
        <v>Jan 2026</v>
      </c>
      <c r="S122" s="9">
        <f>YEAR(Table1[[#This Row],[Date]])</f>
        <v>2026</v>
      </c>
      <c r="T122" s="9"/>
      <c r="U122" s="9"/>
    </row>
    <row r="123" spans="1:21" hidden="1" x14ac:dyDescent="0.3">
      <c r="A123" t="s">
        <v>289</v>
      </c>
      <c r="B123" s="6">
        <v>45959</v>
      </c>
      <c r="C123" t="s">
        <v>26</v>
      </c>
      <c r="D123" t="s">
        <v>33</v>
      </c>
      <c r="E123" t="s">
        <v>20</v>
      </c>
      <c r="F123" t="s">
        <v>290</v>
      </c>
      <c r="G123" t="s">
        <v>22</v>
      </c>
      <c r="J123" s="9">
        <v>0</v>
      </c>
      <c r="K123" s="7">
        <v>0</v>
      </c>
      <c r="L123" s="7">
        <v>0</v>
      </c>
      <c r="M123" s="9">
        <v>1</v>
      </c>
      <c r="N123" s="7">
        <v>8.1999999999999993</v>
      </c>
      <c r="O123" s="7">
        <v>7.2</v>
      </c>
      <c r="P123" s="7">
        <v>4.2</v>
      </c>
      <c r="Q123" t="s">
        <v>31</v>
      </c>
      <c r="R123" s="7" t="str">
        <f>TEXT(Table1[[#This Row],[Date]],"mmm yyyy")</f>
        <v>Oct 2025</v>
      </c>
      <c r="S123" s="9">
        <f>YEAR(Table1[[#This Row],[Date]])</f>
        <v>2025</v>
      </c>
      <c r="T123" s="9"/>
      <c r="U123" s="9"/>
    </row>
    <row r="124" spans="1:21" x14ac:dyDescent="0.3">
      <c r="A124" t="s">
        <v>291</v>
      </c>
      <c r="B124" s="6">
        <v>45979</v>
      </c>
      <c r="C124" t="s">
        <v>18</v>
      </c>
      <c r="D124" t="s">
        <v>64</v>
      </c>
      <c r="E124" t="s">
        <v>20</v>
      </c>
      <c r="F124" t="s">
        <v>292</v>
      </c>
      <c r="G124" t="s">
        <v>30</v>
      </c>
      <c r="H124" t="s">
        <v>86</v>
      </c>
      <c r="I124" t="s">
        <v>79</v>
      </c>
      <c r="J124" s="9">
        <v>1</v>
      </c>
      <c r="K124" s="7">
        <v>30300</v>
      </c>
      <c r="L124" s="7">
        <v>0</v>
      </c>
      <c r="M124" s="9"/>
      <c r="N124" s="7">
        <v>22</v>
      </c>
      <c r="O124" s="7"/>
      <c r="P124" s="7"/>
      <c r="Q124" t="s">
        <v>79</v>
      </c>
      <c r="R124" s="7" t="str">
        <f>TEXT(Table1[[#This Row],[Date]],"mmm yyyy")</f>
        <v>Nov 2025</v>
      </c>
      <c r="S124" s="9">
        <f>YEAR(Table1[[#This Row],[Date]])</f>
        <v>2025</v>
      </c>
      <c r="T124" s="9"/>
      <c r="U124" s="9"/>
    </row>
    <row r="125" spans="1:21" x14ac:dyDescent="0.3">
      <c r="A125" t="s">
        <v>293</v>
      </c>
      <c r="B125" s="6">
        <v>46118</v>
      </c>
      <c r="C125" t="s">
        <v>18</v>
      </c>
      <c r="D125" t="s">
        <v>41</v>
      </c>
      <c r="E125" t="s">
        <v>20</v>
      </c>
      <c r="F125" t="s">
        <v>270</v>
      </c>
      <c r="G125" t="s">
        <v>30</v>
      </c>
      <c r="H125" t="s">
        <v>23</v>
      </c>
      <c r="I125" t="s">
        <v>79</v>
      </c>
      <c r="J125" s="9">
        <v>1</v>
      </c>
      <c r="K125" s="7">
        <v>19400</v>
      </c>
      <c r="L125" s="7">
        <v>0</v>
      </c>
      <c r="M125" s="9"/>
      <c r="N125" s="7">
        <v>13.6</v>
      </c>
      <c r="O125" s="7"/>
      <c r="P125" s="7"/>
      <c r="Q125" t="s">
        <v>79</v>
      </c>
      <c r="R125" s="7" t="str">
        <f>TEXT(Table1[[#This Row],[Date]],"mmm yyyy")</f>
        <v>Apr 2026</v>
      </c>
      <c r="S125" s="9">
        <f>YEAR(Table1[[#This Row],[Date]])</f>
        <v>2026</v>
      </c>
      <c r="T125" s="9"/>
      <c r="U125" s="9"/>
    </row>
    <row r="126" spans="1:21" x14ac:dyDescent="0.3">
      <c r="A126" t="s">
        <v>294</v>
      </c>
      <c r="B126" s="6">
        <v>45982</v>
      </c>
      <c r="C126" t="s">
        <v>18</v>
      </c>
      <c r="D126" t="s">
        <v>41</v>
      </c>
      <c r="E126" t="s">
        <v>37</v>
      </c>
      <c r="F126" t="s">
        <v>295</v>
      </c>
      <c r="G126" t="s">
        <v>30</v>
      </c>
      <c r="H126" t="s">
        <v>78</v>
      </c>
      <c r="I126" t="s">
        <v>89</v>
      </c>
      <c r="J126" s="9">
        <v>1</v>
      </c>
      <c r="K126" s="7">
        <v>20700</v>
      </c>
      <c r="L126" s="7">
        <v>0</v>
      </c>
      <c r="M126" s="9"/>
      <c r="N126" s="7">
        <v>6.8</v>
      </c>
      <c r="O126" s="7"/>
      <c r="P126" s="7"/>
      <c r="Q126" t="s">
        <v>89</v>
      </c>
      <c r="R126" s="7" t="str">
        <f>TEXT(Table1[[#This Row],[Date]],"mmm yyyy")</f>
        <v>Nov 2025</v>
      </c>
      <c r="S126" s="9">
        <f>YEAR(Table1[[#This Row],[Date]])</f>
        <v>2025</v>
      </c>
      <c r="T126" s="9"/>
      <c r="U126" s="9"/>
    </row>
    <row r="127" spans="1:21" x14ac:dyDescent="0.3">
      <c r="A127" t="s">
        <v>296</v>
      </c>
      <c r="B127" s="6">
        <v>46024</v>
      </c>
      <c r="C127" t="s">
        <v>18</v>
      </c>
      <c r="D127" t="s">
        <v>19</v>
      </c>
      <c r="E127" t="s">
        <v>48</v>
      </c>
      <c r="F127" t="s">
        <v>297</v>
      </c>
      <c r="G127" t="s">
        <v>30</v>
      </c>
      <c r="H127" t="s">
        <v>23</v>
      </c>
      <c r="I127" t="s">
        <v>89</v>
      </c>
      <c r="J127" s="9">
        <v>1</v>
      </c>
      <c r="K127" s="7">
        <v>7400</v>
      </c>
      <c r="L127" s="7">
        <v>0</v>
      </c>
      <c r="M127" s="9"/>
      <c r="N127" s="7">
        <v>22.2</v>
      </c>
      <c r="O127" s="7"/>
      <c r="P127" s="7"/>
      <c r="Q127" t="s">
        <v>89</v>
      </c>
      <c r="R127" s="7" t="str">
        <f>TEXT(Table1[[#This Row],[Date]],"mmm yyyy")</f>
        <v>Jan 2026</v>
      </c>
      <c r="S127" s="9">
        <f>YEAR(Table1[[#This Row],[Date]])</f>
        <v>2026</v>
      </c>
      <c r="T127" s="9"/>
      <c r="U127" s="9"/>
    </row>
    <row r="128" spans="1:21" hidden="1" x14ac:dyDescent="0.3">
      <c r="A128" t="s">
        <v>298</v>
      </c>
      <c r="B128" s="6">
        <v>45920</v>
      </c>
      <c r="C128" t="s">
        <v>26</v>
      </c>
      <c r="D128" t="s">
        <v>27</v>
      </c>
      <c r="E128" t="s">
        <v>20</v>
      </c>
      <c r="F128" t="s">
        <v>299</v>
      </c>
      <c r="G128" t="s">
        <v>30</v>
      </c>
      <c r="J128" s="9">
        <v>0</v>
      </c>
      <c r="K128" s="7">
        <v>0</v>
      </c>
      <c r="L128" s="7">
        <v>0</v>
      </c>
      <c r="M128" s="9">
        <v>1</v>
      </c>
      <c r="N128" s="7">
        <v>1.2</v>
      </c>
      <c r="O128" s="7">
        <v>12.2</v>
      </c>
      <c r="P128" s="7">
        <v>5</v>
      </c>
      <c r="Q128" t="s">
        <v>225</v>
      </c>
      <c r="R128" s="7" t="str">
        <f>TEXT(Table1[[#This Row],[Date]],"mmm yyyy")</f>
        <v>Sep 2025</v>
      </c>
      <c r="S128" s="9">
        <f>YEAR(Table1[[#This Row],[Date]])</f>
        <v>2025</v>
      </c>
      <c r="T128" s="9"/>
      <c r="U128" s="9"/>
    </row>
    <row r="129" spans="1:21" hidden="1" x14ac:dyDescent="0.3">
      <c r="A129" t="s">
        <v>300</v>
      </c>
      <c r="B129" s="6">
        <v>46034</v>
      </c>
      <c r="C129" t="s">
        <v>26</v>
      </c>
      <c r="D129" t="s">
        <v>114</v>
      </c>
      <c r="E129" t="s">
        <v>20</v>
      </c>
      <c r="F129" t="s">
        <v>301</v>
      </c>
      <c r="G129" t="s">
        <v>44</v>
      </c>
      <c r="J129" s="9">
        <v>0</v>
      </c>
      <c r="K129" s="7">
        <v>0</v>
      </c>
      <c r="L129" s="7">
        <v>0</v>
      </c>
      <c r="M129" s="9">
        <v>1</v>
      </c>
      <c r="N129" s="7">
        <v>7</v>
      </c>
      <c r="O129" s="7">
        <v>8.1999999999999993</v>
      </c>
      <c r="P129" s="7">
        <v>2.9</v>
      </c>
      <c r="Q129" t="s">
        <v>39</v>
      </c>
      <c r="R129" s="7" t="str">
        <f>TEXT(Table1[[#This Row],[Date]],"mmm yyyy")</f>
        <v>Jan 2026</v>
      </c>
      <c r="S129" s="9">
        <f>YEAR(Table1[[#This Row],[Date]])</f>
        <v>2026</v>
      </c>
      <c r="T129" s="9"/>
      <c r="U129" s="9"/>
    </row>
    <row r="130" spans="1:21" x14ac:dyDescent="0.3">
      <c r="A130" t="s">
        <v>302</v>
      </c>
      <c r="B130" s="6">
        <v>45965</v>
      </c>
      <c r="C130" t="s">
        <v>18</v>
      </c>
      <c r="D130" t="s">
        <v>117</v>
      </c>
      <c r="E130" t="s">
        <v>20</v>
      </c>
      <c r="F130" t="s">
        <v>140</v>
      </c>
      <c r="G130" t="s">
        <v>44</v>
      </c>
      <c r="H130" t="s">
        <v>66</v>
      </c>
      <c r="I130" t="s">
        <v>79</v>
      </c>
      <c r="J130" s="9">
        <v>1</v>
      </c>
      <c r="K130" s="7">
        <v>29500</v>
      </c>
      <c r="L130" s="7">
        <v>0</v>
      </c>
      <c r="M130" s="9"/>
      <c r="N130" s="7">
        <v>17</v>
      </c>
      <c r="O130" s="7"/>
      <c r="P130" s="7"/>
      <c r="Q130" t="s">
        <v>79</v>
      </c>
      <c r="R130" s="7" t="str">
        <f>TEXT(Table1[[#This Row],[Date]],"mmm yyyy")</f>
        <v>Nov 2025</v>
      </c>
      <c r="S130" s="9">
        <f>YEAR(Table1[[#This Row],[Date]])</f>
        <v>2025</v>
      </c>
      <c r="T130" s="9"/>
      <c r="U130" s="9"/>
    </row>
    <row r="131" spans="1:21" x14ac:dyDescent="0.3">
      <c r="A131" t="s">
        <v>303</v>
      </c>
      <c r="B131" s="6">
        <v>45925</v>
      </c>
      <c r="C131" t="s">
        <v>18</v>
      </c>
      <c r="D131" t="s">
        <v>41</v>
      </c>
      <c r="E131" t="s">
        <v>20</v>
      </c>
      <c r="F131" t="s">
        <v>304</v>
      </c>
      <c r="G131" t="s">
        <v>50</v>
      </c>
      <c r="H131" t="s">
        <v>78</v>
      </c>
      <c r="I131" t="s">
        <v>67</v>
      </c>
      <c r="J131" s="9">
        <v>1</v>
      </c>
      <c r="K131" s="7">
        <v>8100</v>
      </c>
      <c r="L131" s="7">
        <v>0</v>
      </c>
      <c r="M131" s="9"/>
      <c r="N131" s="7">
        <v>22.6</v>
      </c>
      <c r="O131" s="7"/>
      <c r="P131" s="7"/>
      <c r="Q131" t="s">
        <v>67</v>
      </c>
      <c r="R131" s="7" t="str">
        <f>TEXT(Table1[[#This Row],[Date]],"mmm yyyy")</f>
        <v>Sep 2025</v>
      </c>
      <c r="S131" s="9">
        <f>YEAR(Table1[[#This Row],[Date]])</f>
        <v>2025</v>
      </c>
      <c r="T131" s="9"/>
      <c r="U131" s="9"/>
    </row>
    <row r="132" spans="1:21" x14ac:dyDescent="0.3">
      <c r="A132" t="s">
        <v>305</v>
      </c>
      <c r="B132" s="6">
        <v>46038</v>
      </c>
      <c r="C132" t="s">
        <v>18</v>
      </c>
      <c r="D132" t="s">
        <v>19</v>
      </c>
      <c r="E132" t="s">
        <v>20</v>
      </c>
      <c r="F132" t="s">
        <v>306</v>
      </c>
      <c r="G132" t="s">
        <v>44</v>
      </c>
      <c r="H132" t="s">
        <v>23</v>
      </c>
      <c r="I132" t="s">
        <v>79</v>
      </c>
      <c r="J132" s="9">
        <v>1</v>
      </c>
      <c r="K132" s="7">
        <v>11500</v>
      </c>
      <c r="L132" s="7">
        <v>0</v>
      </c>
      <c r="M132" s="9"/>
      <c r="N132" s="7">
        <v>18.100000000000001</v>
      </c>
      <c r="O132" s="7"/>
      <c r="P132" s="7"/>
      <c r="Q132" t="s">
        <v>79</v>
      </c>
      <c r="R132" s="7" t="str">
        <f>TEXT(Table1[[#This Row],[Date]],"mmm yyyy")</f>
        <v>Jan 2026</v>
      </c>
      <c r="S132" s="9">
        <f>YEAR(Table1[[#This Row],[Date]])</f>
        <v>2026</v>
      </c>
      <c r="T132" s="9"/>
      <c r="U132" s="9"/>
    </row>
    <row r="133" spans="1:21" x14ac:dyDescent="0.3">
      <c r="A133" t="s">
        <v>307</v>
      </c>
      <c r="B133" s="6">
        <v>46027</v>
      </c>
      <c r="C133" t="s">
        <v>18</v>
      </c>
      <c r="D133" t="s">
        <v>105</v>
      </c>
      <c r="E133" t="s">
        <v>28</v>
      </c>
      <c r="F133" t="s">
        <v>308</v>
      </c>
      <c r="G133" t="s">
        <v>30</v>
      </c>
      <c r="H133" t="s">
        <v>86</v>
      </c>
      <c r="I133" t="s">
        <v>45</v>
      </c>
      <c r="J133" s="9">
        <v>1</v>
      </c>
      <c r="K133" s="7">
        <v>19800</v>
      </c>
      <c r="L133" s="7">
        <v>0</v>
      </c>
      <c r="M133" s="9"/>
      <c r="N133" s="7">
        <v>23.9</v>
      </c>
      <c r="O133" s="7"/>
      <c r="P133" s="7"/>
      <c r="Q133" t="s">
        <v>45</v>
      </c>
      <c r="R133" s="7" t="str">
        <f>TEXT(Table1[[#This Row],[Date]],"mmm yyyy")</f>
        <v>Jan 2026</v>
      </c>
      <c r="S133" s="9">
        <f>YEAR(Table1[[#This Row],[Date]])</f>
        <v>2026</v>
      </c>
      <c r="T133" s="9"/>
      <c r="U133" s="9"/>
    </row>
    <row r="134" spans="1:21" x14ac:dyDescent="0.3">
      <c r="A134" t="s">
        <v>309</v>
      </c>
      <c r="B134" s="6">
        <v>46248</v>
      </c>
      <c r="C134" t="s">
        <v>18</v>
      </c>
      <c r="D134" t="s">
        <v>41</v>
      </c>
      <c r="E134" t="s">
        <v>48</v>
      </c>
      <c r="F134" t="s">
        <v>310</v>
      </c>
      <c r="G134" t="s">
        <v>44</v>
      </c>
      <c r="H134" t="s">
        <v>23</v>
      </c>
      <c r="I134" t="s">
        <v>55</v>
      </c>
      <c r="J134" s="9">
        <v>1</v>
      </c>
      <c r="K134" s="7">
        <v>27500</v>
      </c>
      <c r="L134" s="7">
        <v>0</v>
      </c>
      <c r="M134" s="9"/>
      <c r="N134" s="7">
        <v>17.899999999999999</v>
      </c>
      <c r="O134" s="7"/>
      <c r="P134" s="7"/>
      <c r="Q134" t="s">
        <v>55</v>
      </c>
      <c r="R134" s="7" t="str">
        <f>TEXT(Table1[[#This Row],[Date]],"mmm yyyy")</f>
        <v>Aug 2026</v>
      </c>
      <c r="S134" s="9">
        <f>YEAR(Table1[[#This Row],[Date]])</f>
        <v>2026</v>
      </c>
      <c r="T134" s="9"/>
      <c r="U134" s="9"/>
    </row>
    <row r="135" spans="1:21" x14ac:dyDescent="0.3">
      <c r="A135" t="s">
        <v>311</v>
      </c>
      <c r="B135" s="6">
        <v>45947</v>
      </c>
      <c r="C135" t="s">
        <v>18</v>
      </c>
      <c r="D135" t="s">
        <v>117</v>
      </c>
      <c r="E135" t="s">
        <v>20</v>
      </c>
      <c r="F135" t="s">
        <v>312</v>
      </c>
      <c r="G135" t="s">
        <v>50</v>
      </c>
      <c r="H135" t="s">
        <v>23</v>
      </c>
      <c r="I135" t="s">
        <v>45</v>
      </c>
      <c r="J135" s="9">
        <v>1</v>
      </c>
      <c r="K135" s="7">
        <v>18500</v>
      </c>
      <c r="L135" s="7">
        <v>0</v>
      </c>
      <c r="M135" s="9"/>
      <c r="N135" s="7">
        <v>10.5</v>
      </c>
      <c r="O135" s="7"/>
      <c r="P135" s="7"/>
      <c r="Q135" t="s">
        <v>45</v>
      </c>
      <c r="R135" s="7" t="str">
        <f>TEXT(Table1[[#This Row],[Date]],"mmm yyyy")</f>
        <v>Oct 2025</v>
      </c>
      <c r="S135" s="9">
        <f>YEAR(Table1[[#This Row],[Date]])</f>
        <v>2025</v>
      </c>
      <c r="T135" s="9"/>
      <c r="U135" s="9"/>
    </row>
    <row r="136" spans="1:21" hidden="1" x14ac:dyDescent="0.3">
      <c r="A136" t="s">
        <v>313</v>
      </c>
      <c r="B136" s="6">
        <v>46218</v>
      </c>
      <c r="C136" t="s">
        <v>26</v>
      </c>
      <c r="D136" t="s">
        <v>33</v>
      </c>
      <c r="E136" t="s">
        <v>48</v>
      </c>
      <c r="F136" t="s">
        <v>314</v>
      </c>
      <c r="G136" t="s">
        <v>22</v>
      </c>
      <c r="J136" s="9">
        <v>0</v>
      </c>
      <c r="K136" s="7">
        <v>0</v>
      </c>
      <c r="L136" s="7">
        <v>0</v>
      </c>
      <c r="M136" s="9">
        <v>1</v>
      </c>
      <c r="N136" s="7">
        <v>11.4</v>
      </c>
      <c r="O136" s="7">
        <v>9.9</v>
      </c>
      <c r="P136" s="7">
        <v>4.4000000000000004</v>
      </c>
      <c r="Q136" t="s">
        <v>31</v>
      </c>
      <c r="R136" s="7" t="str">
        <f>TEXT(Table1[[#This Row],[Date]],"mmm yyyy")</f>
        <v>Jul 2026</v>
      </c>
      <c r="S136" s="9">
        <f>YEAR(Table1[[#This Row],[Date]])</f>
        <v>2026</v>
      </c>
      <c r="T136" s="9"/>
      <c r="U136" s="9"/>
    </row>
    <row r="137" spans="1:21" x14ac:dyDescent="0.3">
      <c r="A137" t="s">
        <v>315</v>
      </c>
      <c r="B137" s="6">
        <v>46219</v>
      </c>
      <c r="C137" t="s">
        <v>18</v>
      </c>
      <c r="D137" t="s">
        <v>64</v>
      </c>
      <c r="E137" t="s">
        <v>48</v>
      </c>
      <c r="F137" t="s">
        <v>316</v>
      </c>
      <c r="G137" t="s">
        <v>44</v>
      </c>
      <c r="H137" t="s">
        <v>54</v>
      </c>
      <c r="I137" t="s">
        <v>24</v>
      </c>
      <c r="J137" s="9">
        <v>1</v>
      </c>
      <c r="K137" s="7">
        <v>12400</v>
      </c>
      <c r="L137" s="7">
        <v>12400</v>
      </c>
      <c r="M137" s="9"/>
      <c r="N137" s="7">
        <v>9.1999999999999993</v>
      </c>
      <c r="O137" s="7"/>
      <c r="P137" s="7"/>
      <c r="Q137" t="s">
        <v>24</v>
      </c>
      <c r="R137" s="7" t="str">
        <f>TEXT(Table1[[#This Row],[Date]],"mmm yyyy")</f>
        <v>Jul 2026</v>
      </c>
      <c r="S137" s="9">
        <f>YEAR(Table1[[#This Row],[Date]])</f>
        <v>2026</v>
      </c>
      <c r="T137" s="9"/>
      <c r="U137" s="9"/>
    </row>
    <row r="138" spans="1:21" x14ac:dyDescent="0.3">
      <c r="A138" t="s">
        <v>317</v>
      </c>
      <c r="B138" s="6">
        <v>45973</v>
      </c>
      <c r="C138" t="s">
        <v>18</v>
      </c>
      <c r="D138" t="s">
        <v>41</v>
      </c>
      <c r="E138" t="s">
        <v>20</v>
      </c>
      <c r="F138" t="s">
        <v>29</v>
      </c>
      <c r="G138" t="s">
        <v>50</v>
      </c>
      <c r="H138" t="s">
        <v>78</v>
      </c>
      <c r="I138" t="s">
        <v>79</v>
      </c>
      <c r="J138" s="9">
        <v>1</v>
      </c>
      <c r="K138" s="7">
        <v>22700</v>
      </c>
      <c r="L138" s="7">
        <v>0</v>
      </c>
      <c r="M138" s="9"/>
      <c r="N138" s="7">
        <v>20.7</v>
      </c>
      <c r="O138" s="7"/>
      <c r="P138" s="7"/>
      <c r="Q138" t="s">
        <v>79</v>
      </c>
      <c r="R138" s="7" t="str">
        <f>TEXT(Table1[[#This Row],[Date]],"mmm yyyy")</f>
        <v>Nov 2025</v>
      </c>
      <c r="S138" s="9">
        <f>YEAR(Table1[[#This Row],[Date]])</f>
        <v>2025</v>
      </c>
      <c r="T138" s="9"/>
      <c r="U138" s="9"/>
    </row>
    <row r="139" spans="1:21" hidden="1" x14ac:dyDescent="0.3">
      <c r="A139" t="s">
        <v>318</v>
      </c>
      <c r="B139" s="6">
        <v>46238</v>
      </c>
      <c r="C139" t="s">
        <v>26</v>
      </c>
      <c r="D139" t="s">
        <v>232</v>
      </c>
      <c r="E139" t="s">
        <v>28</v>
      </c>
      <c r="F139" t="s">
        <v>43</v>
      </c>
      <c r="G139" t="s">
        <v>22</v>
      </c>
      <c r="J139" s="9">
        <v>0</v>
      </c>
      <c r="K139" s="7">
        <v>0</v>
      </c>
      <c r="L139" s="7">
        <v>0</v>
      </c>
      <c r="M139" s="9">
        <v>1</v>
      </c>
      <c r="N139" s="7">
        <v>8.5</v>
      </c>
      <c r="O139" s="7">
        <v>2</v>
      </c>
      <c r="P139" s="7">
        <v>2.9</v>
      </c>
      <c r="Q139" t="s">
        <v>62</v>
      </c>
      <c r="R139" s="7" t="str">
        <f>TEXT(Table1[[#This Row],[Date]],"mmm yyyy")</f>
        <v>Aug 2026</v>
      </c>
      <c r="S139" s="9">
        <f>YEAR(Table1[[#This Row],[Date]])</f>
        <v>2026</v>
      </c>
      <c r="T139" s="9"/>
      <c r="U139" s="9"/>
    </row>
    <row r="140" spans="1:21" x14ac:dyDescent="0.3">
      <c r="A140" t="s">
        <v>319</v>
      </c>
      <c r="B140" s="6">
        <v>45937</v>
      </c>
      <c r="C140" t="s">
        <v>18</v>
      </c>
      <c r="D140" t="s">
        <v>52</v>
      </c>
      <c r="E140" t="s">
        <v>28</v>
      </c>
      <c r="F140" t="s">
        <v>320</v>
      </c>
      <c r="G140" t="s">
        <v>44</v>
      </c>
      <c r="H140" t="s">
        <v>78</v>
      </c>
      <c r="I140" t="s">
        <v>67</v>
      </c>
      <c r="J140" s="9">
        <v>1</v>
      </c>
      <c r="K140" s="7">
        <v>29700</v>
      </c>
      <c r="L140" s="7">
        <v>0</v>
      </c>
      <c r="M140" s="9"/>
      <c r="N140" s="7">
        <v>10.1</v>
      </c>
      <c r="O140" s="7"/>
      <c r="P140" s="7"/>
      <c r="Q140" t="s">
        <v>67</v>
      </c>
      <c r="R140" s="7" t="str">
        <f>TEXT(Table1[[#This Row],[Date]],"mmm yyyy")</f>
        <v>Oct 2025</v>
      </c>
      <c r="S140" s="9">
        <f>YEAR(Table1[[#This Row],[Date]])</f>
        <v>2025</v>
      </c>
      <c r="T140" s="9"/>
      <c r="U140" s="9"/>
    </row>
    <row r="141" spans="1:21" hidden="1" x14ac:dyDescent="0.3">
      <c r="A141" t="s">
        <v>321</v>
      </c>
      <c r="B141" s="6">
        <v>46263</v>
      </c>
      <c r="C141" t="s">
        <v>26</v>
      </c>
      <c r="D141" t="s">
        <v>114</v>
      </c>
      <c r="E141" t="s">
        <v>48</v>
      </c>
      <c r="F141" t="s">
        <v>99</v>
      </c>
      <c r="G141" t="s">
        <v>44</v>
      </c>
      <c r="J141" s="9">
        <v>0</v>
      </c>
      <c r="K141" s="7">
        <v>0</v>
      </c>
      <c r="L141" s="7">
        <v>0</v>
      </c>
      <c r="M141" s="9">
        <v>1</v>
      </c>
      <c r="N141" s="7">
        <v>5</v>
      </c>
      <c r="O141" s="7">
        <v>3.3</v>
      </c>
      <c r="P141" s="7">
        <v>3.1</v>
      </c>
      <c r="Q141" t="s">
        <v>39</v>
      </c>
      <c r="R141" s="7" t="str">
        <f>TEXT(Table1[[#This Row],[Date]],"mmm yyyy")</f>
        <v>Aug 2026</v>
      </c>
      <c r="S141" s="9">
        <f>YEAR(Table1[[#This Row],[Date]])</f>
        <v>2026</v>
      </c>
      <c r="T141" s="9"/>
      <c r="U141" s="9"/>
    </row>
    <row r="142" spans="1:21" hidden="1" x14ac:dyDescent="0.3">
      <c r="A142" t="s">
        <v>322</v>
      </c>
      <c r="B142" s="6">
        <v>46033</v>
      </c>
      <c r="C142" t="s">
        <v>26</v>
      </c>
      <c r="D142" t="s">
        <v>232</v>
      </c>
      <c r="E142" t="s">
        <v>28</v>
      </c>
      <c r="F142" t="s">
        <v>323</v>
      </c>
      <c r="G142" t="s">
        <v>50</v>
      </c>
      <c r="J142" s="9">
        <v>0</v>
      </c>
      <c r="K142" s="7">
        <v>0</v>
      </c>
      <c r="L142" s="7">
        <v>0</v>
      </c>
      <c r="M142" s="9">
        <v>1</v>
      </c>
      <c r="N142" s="7">
        <v>9.8000000000000007</v>
      </c>
      <c r="O142" s="7">
        <v>4.7</v>
      </c>
      <c r="P142" s="7">
        <v>4.7</v>
      </c>
      <c r="Q142" t="s">
        <v>39</v>
      </c>
      <c r="R142" s="7" t="str">
        <f>TEXT(Table1[[#This Row],[Date]],"mmm yyyy")</f>
        <v>Jan 2026</v>
      </c>
      <c r="S142" s="9">
        <f>YEAR(Table1[[#This Row],[Date]])</f>
        <v>2026</v>
      </c>
      <c r="T142" s="9"/>
      <c r="U142" s="9"/>
    </row>
    <row r="143" spans="1:21" x14ac:dyDescent="0.3">
      <c r="A143" t="s">
        <v>324</v>
      </c>
      <c r="B143" s="6">
        <v>46096</v>
      </c>
      <c r="C143" t="s">
        <v>18</v>
      </c>
      <c r="D143" t="s">
        <v>47</v>
      </c>
      <c r="E143" t="s">
        <v>42</v>
      </c>
      <c r="F143" t="s">
        <v>288</v>
      </c>
      <c r="G143" t="s">
        <v>22</v>
      </c>
      <c r="H143" t="s">
        <v>54</v>
      </c>
      <c r="I143" t="s">
        <v>24</v>
      </c>
      <c r="J143" s="9">
        <v>1</v>
      </c>
      <c r="K143" s="7">
        <v>28200</v>
      </c>
      <c r="L143" s="7">
        <v>28200</v>
      </c>
      <c r="M143" s="9"/>
      <c r="N143" s="7">
        <v>2.2999999999999998</v>
      </c>
      <c r="O143" s="7"/>
      <c r="P143" s="7"/>
      <c r="Q143" t="s">
        <v>24</v>
      </c>
      <c r="R143" s="7" t="str">
        <f>TEXT(Table1[[#This Row],[Date]],"mmm yyyy")</f>
        <v>Mar 2026</v>
      </c>
      <c r="S143" s="9">
        <f>YEAR(Table1[[#This Row],[Date]])</f>
        <v>2026</v>
      </c>
      <c r="T143" s="9"/>
      <c r="U143" s="9"/>
    </row>
    <row r="144" spans="1:21" x14ac:dyDescent="0.3">
      <c r="A144" t="s">
        <v>325</v>
      </c>
      <c r="B144" s="6">
        <v>46244</v>
      </c>
      <c r="C144" t="s">
        <v>18</v>
      </c>
      <c r="D144" t="s">
        <v>19</v>
      </c>
      <c r="E144" t="s">
        <v>28</v>
      </c>
      <c r="F144" t="s">
        <v>326</v>
      </c>
      <c r="G144" t="s">
        <v>50</v>
      </c>
      <c r="H144" t="s">
        <v>66</v>
      </c>
      <c r="I144" t="s">
        <v>45</v>
      </c>
      <c r="J144" s="9">
        <v>1</v>
      </c>
      <c r="K144" s="7">
        <v>23500</v>
      </c>
      <c r="L144" s="7">
        <v>0</v>
      </c>
      <c r="M144" s="9"/>
      <c r="N144" s="7">
        <v>22.6</v>
      </c>
      <c r="O144" s="7"/>
      <c r="P144" s="7"/>
      <c r="Q144" t="s">
        <v>45</v>
      </c>
      <c r="R144" s="7" t="str">
        <f>TEXT(Table1[[#This Row],[Date]],"mmm yyyy")</f>
        <v>Aug 2026</v>
      </c>
      <c r="S144" s="9">
        <f>YEAR(Table1[[#This Row],[Date]])</f>
        <v>2026</v>
      </c>
      <c r="T144" s="9"/>
      <c r="U144" s="9"/>
    </row>
    <row r="145" spans="1:21" x14ac:dyDescent="0.3">
      <c r="A145" t="s">
        <v>327</v>
      </c>
      <c r="B145" s="6">
        <v>45997</v>
      </c>
      <c r="C145" t="s">
        <v>18</v>
      </c>
      <c r="D145" t="s">
        <v>19</v>
      </c>
      <c r="E145" t="s">
        <v>20</v>
      </c>
      <c r="F145" t="s">
        <v>328</v>
      </c>
      <c r="G145" t="s">
        <v>30</v>
      </c>
      <c r="H145" t="s">
        <v>54</v>
      </c>
      <c r="I145" t="s">
        <v>89</v>
      </c>
      <c r="J145" s="9">
        <v>1</v>
      </c>
      <c r="K145" s="7">
        <v>5000</v>
      </c>
      <c r="L145" s="7">
        <v>0</v>
      </c>
      <c r="M145" s="9"/>
      <c r="N145" s="7">
        <v>20.7</v>
      </c>
      <c r="O145" s="7"/>
      <c r="P145" s="7"/>
      <c r="Q145" t="s">
        <v>89</v>
      </c>
      <c r="R145" s="7" t="str">
        <f>TEXT(Table1[[#This Row],[Date]],"mmm yyyy")</f>
        <v>Dec 2025</v>
      </c>
      <c r="S145" s="9">
        <f>YEAR(Table1[[#This Row],[Date]])</f>
        <v>2025</v>
      </c>
      <c r="T145" s="9"/>
      <c r="U145" s="9"/>
    </row>
    <row r="146" spans="1:21" x14ac:dyDescent="0.3">
      <c r="A146" t="s">
        <v>329</v>
      </c>
      <c r="B146" s="6">
        <v>45987</v>
      </c>
      <c r="C146" t="s">
        <v>18</v>
      </c>
      <c r="D146" t="s">
        <v>47</v>
      </c>
      <c r="E146" t="s">
        <v>28</v>
      </c>
      <c r="F146" t="s">
        <v>330</v>
      </c>
      <c r="G146" t="s">
        <v>30</v>
      </c>
      <c r="H146" t="s">
        <v>86</v>
      </c>
      <c r="I146" t="s">
        <v>24</v>
      </c>
      <c r="J146" s="9">
        <v>1</v>
      </c>
      <c r="K146" s="7">
        <v>31400</v>
      </c>
      <c r="L146" s="7">
        <v>31400</v>
      </c>
      <c r="M146" s="9"/>
      <c r="N146" s="7">
        <v>4.7</v>
      </c>
      <c r="O146" s="7"/>
      <c r="P146" s="7"/>
      <c r="Q146" t="s">
        <v>24</v>
      </c>
      <c r="R146" s="7" t="str">
        <f>TEXT(Table1[[#This Row],[Date]],"mmm yyyy")</f>
        <v>Nov 2025</v>
      </c>
      <c r="S146" s="9">
        <f>YEAR(Table1[[#This Row],[Date]])</f>
        <v>2025</v>
      </c>
      <c r="T146" s="9"/>
      <c r="U146" s="9"/>
    </row>
    <row r="147" spans="1:21" x14ac:dyDescent="0.3">
      <c r="A147" t="s">
        <v>331</v>
      </c>
      <c r="B147" s="6">
        <v>45946</v>
      </c>
      <c r="C147" t="s">
        <v>18</v>
      </c>
      <c r="D147" t="s">
        <v>105</v>
      </c>
      <c r="E147" t="s">
        <v>20</v>
      </c>
      <c r="F147" t="s">
        <v>332</v>
      </c>
      <c r="G147" t="s">
        <v>44</v>
      </c>
      <c r="H147" t="s">
        <v>78</v>
      </c>
      <c r="I147" t="s">
        <v>79</v>
      </c>
      <c r="J147" s="9">
        <v>1</v>
      </c>
      <c r="K147" s="7">
        <v>11000</v>
      </c>
      <c r="L147" s="7">
        <v>0</v>
      </c>
      <c r="M147" s="9"/>
      <c r="N147" s="7">
        <v>13</v>
      </c>
      <c r="O147" s="7"/>
      <c r="P147" s="7"/>
      <c r="Q147" t="s">
        <v>79</v>
      </c>
      <c r="R147" s="7" t="str">
        <f>TEXT(Table1[[#This Row],[Date]],"mmm yyyy")</f>
        <v>Oct 2025</v>
      </c>
      <c r="S147" s="9">
        <f>YEAR(Table1[[#This Row],[Date]])</f>
        <v>2025</v>
      </c>
      <c r="T147" s="9"/>
      <c r="U147" s="9"/>
    </row>
    <row r="148" spans="1:21" hidden="1" x14ac:dyDescent="0.3">
      <c r="A148" t="s">
        <v>333</v>
      </c>
      <c r="B148" s="6">
        <v>46008</v>
      </c>
      <c r="C148" t="s">
        <v>26</v>
      </c>
      <c r="D148" t="s">
        <v>126</v>
      </c>
      <c r="E148" t="s">
        <v>48</v>
      </c>
      <c r="F148" t="s">
        <v>334</v>
      </c>
      <c r="G148" t="s">
        <v>22</v>
      </c>
      <c r="J148" s="9">
        <v>0</v>
      </c>
      <c r="K148" s="7">
        <v>0</v>
      </c>
      <c r="L148" s="7">
        <v>0</v>
      </c>
      <c r="M148" s="9">
        <v>1</v>
      </c>
      <c r="N148" s="7">
        <v>0.3</v>
      </c>
      <c r="O148" s="7">
        <v>3.3</v>
      </c>
      <c r="P148" s="7">
        <v>3.6</v>
      </c>
      <c r="Q148" t="s">
        <v>39</v>
      </c>
      <c r="R148" s="7" t="str">
        <f>TEXT(Table1[[#This Row],[Date]],"mmm yyyy")</f>
        <v>Dec 2025</v>
      </c>
      <c r="S148" s="9">
        <f>YEAR(Table1[[#This Row],[Date]])</f>
        <v>2025</v>
      </c>
      <c r="T148" s="9"/>
      <c r="U148" s="9"/>
    </row>
    <row r="149" spans="1:21" x14ac:dyDescent="0.3">
      <c r="A149" t="s">
        <v>335</v>
      </c>
      <c r="B149" s="6">
        <v>46062</v>
      </c>
      <c r="C149" t="s">
        <v>18</v>
      </c>
      <c r="D149" t="s">
        <v>64</v>
      </c>
      <c r="E149" t="s">
        <v>48</v>
      </c>
      <c r="F149" t="s">
        <v>336</v>
      </c>
      <c r="G149" t="s">
        <v>22</v>
      </c>
      <c r="H149" t="s">
        <v>23</v>
      </c>
      <c r="I149" t="s">
        <v>45</v>
      </c>
      <c r="J149" s="9">
        <v>1</v>
      </c>
      <c r="K149" s="7">
        <v>12700</v>
      </c>
      <c r="L149" s="7">
        <v>0</v>
      </c>
      <c r="M149" s="9"/>
      <c r="N149" s="7">
        <v>23.1</v>
      </c>
      <c r="O149" s="7"/>
      <c r="P149" s="7"/>
      <c r="Q149" t="s">
        <v>45</v>
      </c>
      <c r="R149" s="7" t="str">
        <f>TEXT(Table1[[#This Row],[Date]],"mmm yyyy")</f>
        <v>Feb 2026</v>
      </c>
      <c r="S149" s="9">
        <f>YEAR(Table1[[#This Row],[Date]])</f>
        <v>2026</v>
      </c>
      <c r="T149" s="9"/>
      <c r="U149" s="9"/>
    </row>
    <row r="150" spans="1:21" x14ac:dyDescent="0.3">
      <c r="A150" t="s">
        <v>337</v>
      </c>
      <c r="B150" s="6">
        <v>45972</v>
      </c>
      <c r="C150" t="s">
        <v>18</v>
      </c>
      <c r="D150" t="s">
        <v>105</v>
      </c>
      <c r="E150" t="s">
        <v>42</v>
      </c>
      <c r="F150" t="s">
        <v>328</v>
      </c>
      <c r="G150" t="s">
        <v>50</v>
      </c>
      <c r="H150" t="s">
        <v>86</v>
      </c>
      <c r="I150" t="s">
        <v>24</v>
      </c>
      <c r="J150" s="9">
        <v>1</v>
      </c>
      <c r="K150" s="7">
        <v>13000</v>
      </c>
      <c r="L150" s="7">
        <v>13000</v>
      </c>
      <c r="M150" s="9"/>
      <c r="N150" s="7">
        <v>10.199999999999999</v>
      </c>
      <c r="O150" s="7"/>
      <c r="P150" s="7"/>
      <c r="Q150" t="s">
        <v>24</v>
      </c>
      <c r="R150" s="7" t="str">
        <f>TEXT(Table1[[#This Row],[Date]],"mmm yyyy")</f>
        <v>Nov 2025</v>
      </c>
      <c r="S150" s="9">
        <f>YEAR(Table1[[#This Row],[Date]])</f>
        <v>2025</v>
      </c>
      <c r="T150" s="9"/>
      <c r="U150" s="9"/>
    </row>
    <row r="151" spans="1:21" x14ac:dyDescent="0.3">
      <c r="A151" t="s">
        <v>338</v>
      </c>
      <c r="B151" s="6">
        <v>46254</v>
      </c>
      <c r="C151" t="s">
        <v>18</v>
      </c>
      <c r="D151" t="s">
        <v>47</v>
      </c>
      <c r="E151" t="s">
        <v>20</v>
      </c>
      <c r="F151" t="s">
        <v>124</v>
      </c>
      <c r="G151" t="s">
        <v>44</v>
      </c>
      <c r="H151" t="s">
        <v>66</v>
      </c>
      <c r="I151" t="s">
        <v>67</v>
      </c>
      <c r="J151" s="9">
        <v>1</v>
      </c>
      <c r="K151" s="7">
        <v>20400</v>
      </c>
      <c r="L151" s="7">
        <v>0</v>
      </c>
      <c r="M151" s="9"/>
      <c r="N151" s="7">
        <v>23.5</v>
      </c>
      <c r="O151" s="7"/>
      <c r="P151" s="7"/>
      <c r="Q151" t="s">
        <v>67</v>
      </c>
      <c r="R151" s="7" t="str">
        <f>TEXT(Table1[[#This Row],[Date]],"mmm yyyy")</f>
        <v>Aug 2026</v>
      </c>
      <c r="S151" s="9">
        <f>YEAR(Table1[[#This Row],[Date]])</f>
        <v>2026</v>
      </c>
      <c r="T151" s="9"/>
      <c r="U151" s="9"/>
    </row>
    <row r="152" spans="1:21" hidden="1" x14ac:dyDescent="0.3">
      <c r="A152" t="s">
        <v>339</v>
      </c>
      <c r="B152" s="6">
        <v>45917</v>
      </c>
      <c r="C152" t="s">
        <v>26</v>
      </c>
      <c r="D152" t="s">
        <v>232</v>
      </c>
      <c r="E152" t="s">
        <v>20</v>
      </c>
      <c r="F152" t="s">
        <v>340</v>
      </c>
      <c r="G152" t="s">
        <v>50</v>
      </c>
      <c r="J152" s="9">
        <v>0</v>
      </c>
      <c r="K152" s="7">
        <v>0</v>
      </c>
      <c r="L152" s="7">
        <v>0</v>
      </c>
      <c r="M152" s="9">
        <v>1</v>
      </c>
      <c r="N152" s="7">
        <v>2.5</v>
      </c>
      <c r="O152" s="7">
        <v>1.3</v>
      </c>
      <c r="P152" s="7">
        <v>4.5999999999999996</v>
      </c>
      <c r="Q152" t="s">
        <v>39</v>
      </c>
      <c r="R152" s="7" t="str">
        <f>TEXT(Table1[[#This Row],[Date]],"mmm yyyy")</f>
        <v>Sep 2025</v>
      </c>
      <c r="S152" s="9">
        <f>YEAR(Table1[[#This Row],[Date]])</f>
        <v>2025</v>
      </c>
      <c r="T152" s="9"/>
      <c r="U152" s="9"/>
    </row>
    <row r="153" spans="1:21" x14ac:dyDescent="0.3">
      <c r="A153" t="s">
        <v>341</v>
      </c>
      <c r="B153" s="6">
        <v>45917</v>
      </c>
      <c r="C153" t="s">
        <v>18</v>
      </c>
      <c r="D153" t="s">
        <v>117</v>
      </c>
      <c r="E153" t="s">
        <v>28</v>
      </c>
      <c r="F153" t="s">
        <v>342</v>
      </c>
      <c r="G153" t="s">
        <v>50</v>
      </c>
      <c r="H153" t="s">
        <v>78</v>
      </c>
      <c r="I153" t="s">
        <v>89</v>
      </c>
      <c r="J153" s="9">
        <v>1</v>
      </c>
      <c r="K153" s="7">
        <v>26800</v>
      </c>
      <c r="L153" s="7">
        <v>0</v>
      </c>
      <c r="M153" s="9"/>
      <c r="N153" s="7">
        <v>17.3</v>
      </c>
      <c r="O153" s="7"/>
      <c r="P153" s="7"/>
      <c r="Q153" t="s">
        <v>89</v>
      </c>
      <c r="R153" s="7" t="str">
        <f>TEXT(Table1[[#This Row],[Date]],"mmm yyyy")</f>
        <v>Sep 2025</v>
      </c>
      <c r="S153" s="9">
        <f>YEAR(Table1[[#This Row],[Date]])</f>
        <v>2025</v>
      </c>
      <c r="T153" s="9"/>
      <c r="U153" s="9"/>
    </row>
    <row r="154" spans="1:21" x14ac:dyDescent="0.3">
      <c r="A154" t="s">
        <v>343</v>
      </c>
      <c r="B154" s="6">
        <v>46044</v>
      </c>
      <c r="C154" t="s">
        <v>18</v>
      </c>
      <c r="D154" t="s">
        <v>41</v>
      </c>
      <c r="E154" t="s">
        <v>20</v>
      </c>
      <c r="F154" t="s">
        <v>344</v>
      </c>
      <c r="G154" t="s">
        <v>44</v>
      </c>
      <c r="H154" t="s">
        <v>78</v>
      </c>
      <c r="I154" t="s">
        <v>24</v>
      </c>
      <c r="J154" s="9">
        <v>1</v>
      </c>
      <c r="K154" s="7">
        <v>21200</v>
      </c>
      <c r="L154" s="7">
        <v>21200</v>
      </c>
      <c r="M154" s="9"/>
      <c r="N154" s="7">
        <v>8.3000000000000007</v>
      </c>
      <c r="O154" s="7"/>
      <c r="P154" s="7"/>
      <c r="Q154" t="s">
        <v>24</v>
      </c>
      <c r="R154" s="7" t="str">
        <f>TEXT(Table1[[#This Row],[Date]],"mmm yyyy")</f>
        <v>Jan 2026</v>
      </c>
      <c r="S154" s="9">
        <f>YEAR(Table1[[#This Row],[Date]])</f>
        <v>2026</v>
      </c>
      <c r="T154" s="9"/>
      <c r="U154" s="9"/>
    </row>
    <row r="155" spans="1:21" x14ac:dyDescent="0.3">
      <c r="A155" t="s">
        <v>345</v>
      </c>
      <c r="B155" s="6">
        <v>46133</v>
      </c>
      <c r="C155" t="s">
        <v>18</v>
      </c>
      <c r="D155" t="s">
        <v>64</v>
      </c>
      <c r="E155" t="s">
        <v>48</v>
      </c>
      <c r="F155" t="s">
        <v>346</v>
      </c>
      <c r="G155" t="s">
        <v>30</v>
      </c>
      <c r="H155" t="s">
        <v>86</v>
      </c>
      <c r="I155" t="s">
        <v>45</v>
      </c>
      <c r="J155" s="9">
        <v>1</v>
      </c>
      <c r="K155" s="7">
        <v>55100</v>
      </c>
      <c r="L155" s="7">
        <v>0</v>
      </c>
      <c r="M155" s="9"/>
      <c r="N155" s="7">
        <v>0.8</v>
      </c>
      <c r="O155" s="7"/>
      <c r="P155" s="7"/>
      <c r="Q155" t="s">
        <v>45</v>
      </c>
      <c r="R155" s="7" t="str">
        <f>TEXT(Table1[[#This Row],[Date]],"mmm yyyy")</f>
        <v>Apr 2026</v>
      </c>
      <c r="S155" s="9">
        <f>YEAR(Table1[[#This Row],[Date]])</f>
        <v>2026</v>
      </c>
      <c r="T155" s="9"/>
      <c r="U155" s="9"/>
    </row>
    <row r="156" spans="1:21" hidden="1" x14ac:dyDescent="0.3">
      <c r="A156" t="s">
        <v>347</v>
      </c>
      <c r="B156" s="6">
        <v>45930</v>
      </c>
      <c r="C156" t="s">
        <v>26</v>
      </c>
      <c r="D156" t="s">
        <v>69</v>
      </c>
      <c r="E156" t="s">
        <v>37</v>
      </c>
      <c r="F156" t="s">
        <v>136</v>
      </c>
      <c r="G156" t="s">
        <v>22</v>
      </c>
      <c r="J156" s="9">
        <v>0</v>
      </c>
      <c r="K156" s="7">
        <v>0</v>
      </c>
      <c r="L156" s="7">
        <v>0</v>
      </c>
      <c r="M156" s="9">
        <v>1</v>
      </c>
      <c r="N156" s="7">
        <v>2.6</v>
      </c>
      <c r="O156" s="7">
        <v>5</v>
      </c>
      <c r="P156" s="7">
        <v>4.0999999999999996</v>
      </c>
      <c r="Q156" t="s">
        <v>39</v>
      </c>
      <c r="R156" s="7" t="str">
        <f>TEXT(Table1[[#This Row],[Date]],"mmm yyyy")</f>
        <v>Sep 2025</v>
      </c>
      <c r="S156" s="9">
        <f>YEAR(Table1[[#This Row],[Date]])</f>
        <v>2025</v>
      </c>
      <c r="T156" s="9"/>
      <c r="U156" s="9"/>
    </row>
    <row r="157" spans="1:21" x14ac:dyDescent="0.3">
      <c r="A157" t="s">
        <v>348</v>
      </c>
      <c r="B157" s="6">
        <v>46260</v>
      </c>
      <c r="C157" t="s">
        <v>18</v>
      </c>
      <c r="D157" t="s">
        <v>41</v>
      </c>
      <c r="E157" t="s">
        <v>42</v>
      </c>
      <c r="F157" t="s">
        <v>349</v>
      </c>
      <c r="G157" t="s">
        <v>30</v>
      </c>
      <c r="H157" t="s">
        <v>66</v>
      </c>
      <c r="I157" t="s">
        <v>67</v>
      </c>
      <c r="J157" s="9">
        <v>1</v>
      </c>
      <c r="K157" s="7">
        <v>12500</v>
      </c>
      <c r="L157" s="7">
        <v>0</v>
      </c>
      <c r="M157" s="9"/>
      <c r="N157" s="7">
        <v>17.600000000000001</v>
      </c>
      <c r="O157" s="7"/>
      <c r="P157" s="7"/>
      <c r="Q157" t="s">
        <v>67</v>
      </c>
      <c r="R157" s="7" t="str">
        <f>TEXT(Table1[[#This Row],[Date]],"mmm yyyy")</f>
        <v>Aug 2026</v>
      </c>
      <c r="S157" s="9">
        <f>YEAR(Table1[[#This Row],[Date]])</f>
        <v>2026</v>
      </c>
      <c r="T157" s="9"/>
      <c r="U157" s="9"/>
    </row>
    <row r="158" spans="1:21" hidden="1" x14ac:dyDescent="0.3">
      <c r="A158" t="s">
        <v>350</v>
      </c>
      <c r="B158" s="6">
        <v>45940</v>
      </c>
      <c r="C158" t="s">
        <v>26</v>
      </c>
      <c r="D158" t="s">
        <v>27</v>
      </c>
      <c r="E158" t="s">
        <v>20</v>
      </c>
      <c r="F158" t="s">
        <v>351</v>
      </c>
      <c r="G158" t="s">
        <v>30</v>
      </c>
      <c r="J158" s="9">
        <v>0</v>
      </c>
      <c r="K158" s="7">
        <v>0</v>
      </c>
      <c r="L158" s="7">
        <v>0</v>
      </c>
      <c r="M158" s="9">
        <v>1</v>
      </c>
      <c r="N158" s="7">
        <v>8.6999999999999993</v>
      </c>
      <c r="O158" s="7">
        <v>17.100000000000001</v>
      </c>
      <c r="P158" s="7">
        <v>4</v>
      </c>
      <c r="Q158" t="s">
        <v>39</v>
      </c>
      <c r="R158" s="7" t="str">
        <f>TEXT(Table1[[#This Row],[Date]],"mmm yyyy")</f>
        <v>Oct 2025</v>
      </c>
      <c r="S158" s="9">
        <f>YEAR(Table1[[#This Row],[Date]])</f>
        <v>2025</v>
      </c>
      <c r="T158" s="9"/>
      <c r="U158" s="9"/>
    </row>
    <row r="159" spans="1:21" hidden="1" x14ac:dyDescent="0.3">
      <c r="A159" t="s">
        <v>352</v>
      </c>
      <c r="B159" s="6">
        <v>46135</v>
      </c>
      <c r="C159" t="s">
        <v>26</v>
      </c>
      <c r="D159" t="s">
        <v>114</v>
      </c>
      <c r="E159" t="s">
        <v>28</v>
      </c>
      <c r="F159" t="s">
        <v>353</v>
      </c>
      <c r="G159" t="s">
        <v>30</v>
      </c>
      <c r="J159" s="9">
        <v>0</v>
      </c>
      <c r="K159" s="7">
        <v>0</v>
      </c>
      <c r="L159" s="7">
        <v>0</v>
      </c>
      <c r="M159" s="9">
        <v>1</v>
      </c>
      <c r="N159" s="7">
        <v>7.6</v>
      </c>
      <c r="O159" s="7">
        <v>7.9</v>
      </c>
      <c r="P159" s="7">
        <v>4.8</v>
      </c>
      <c r="Q159" t="s">
        <v>39</v>
      </c>
      <c r="R159" s="7" t="str">
        <f>TEXT(Table1[[#This Row],[Date]],"mmm yyyy")</f>
        <v>Apr 2026</v>
      </c>
      <c r="S159" s="9">
        <f>YEAR(Table1[[#This Row],[Date]])</f>
        <v>2026</v>
      </c>
      <c r="T159" s="9"/>
      <c r="U159" s="9"/>
    </row>
    <row r="160" spans="1:21" x14ac:dyDescent="0.3">
      <c r="A160" t="s">
        <v>354</v>
      </c>
      <c r="B160" s="6">
        <v>46214</v>
      </c>
      <c r="C160" t="s">
        <v>18</v>
      </c>
      <c r="D160" t="s">
        <v>19</v>
      </c>
      <c r="E160" t="s">
        <v>28</v>
      </c>
      <c r="F160" t="s">
        <v>355</v>
      </c>
      <c r="G160" t="s">
        <v>30</v>
      </c>
      <c r="H160" t="s">
        <v>86</v>
      </c>
      <c r="I160" t="s">
        <v>55</v>
      </c>
      <c r="J160" s="9">
        <v>1</v>
      </c>
      <c r="K160" s="7">
        <v>14300</v>
      </c>
      <c r="L160" s="7">
        <v>0</v>
      </c>
      <c r="M160" s="9"/>
      <c r="N160" s="7">
        <v>16.3</v>
      </c>
      <c r="O160" s="7"/>
      <c r="P160" s="7"/>
      <c r="Q160" t="s">
        <v>55</v>
      </c>
      <c r="R160" s="7" t="str">
        <f>TEXT(Table1[[#This Row],[Date]],"mmm yyyy")</f>
        <v>Jul 2026</v>
      </c>
      <c r="S160" s="9">
        <f>YEAR(Table1[[#This Row],[Date]])</f>
        <v>2026</v>
      </c>
      <c r="T160" s="9"/>
      <c r="U160" s="9"/>
    </row>
    <row r="161" spans="1:21" hidden="1" x14ac:dyDescent="0.3">
      <c r="A161" t="s">
        <v>356</v>
      </c>
      <c r="B161" s="6">
        <v>46092</v>
      </c>
      <c r="C161" t="s">
        <v>26</v>
      </c>
      <c r="D161" t="s">
        <v>72</v>
      </c>
      <c r="E161" t="s">
        <v>37</v>
      </c>
      <c r="F161" t="s">
        <v>131</v>
      </c>
      <c r="G161" t="s">
        <v>44</v>
      </c>
      <c r="J161" s="9">
        <v>0</v>
      </c>
      <c r="K161" s="7">
        <v>0</v>
      </c>
      <c r="L161" s="7">
        <v>0</v>
      </c>
      <c r="M161" s="9">
        <v>1</v>
      </c>
      <c r="N161" s="7">
        <v>4.2</v>
      </c>
      <c r="O161" s="7">
        <v>5.9</v>
      </c>
      <c r="P161" s="7">
        <v>3.3</v>
      </c>
      <c r="Q161" t="s">
        <v>39</v>
      </c>
      <c r="R161" s="7" t="str">
        <f>TEXT(Table1[[#This Row],[Date]],"mmm yyyy")</f>
        <v>Mar 2026</v>
      </c>
      <c r="S161" s="9">
        <f>YEAR(Table1[[#This Row],[Date]])</f>
        <v>2026</v>
      </c>
      <c r="T161" s="9"/>
      <c r="U161" s="9"/>
    </row>
    <row r="162" spans="1:21" x14ac:dyDescent="0.3">
      <c r="A162" t="s">
        <v>357</v>
      </c>
      <c r="B162" s="6">
        <v>46177</v>
      </c>
      <c r="C162" t="s">
        <v>18</v>
      </c>
      <c r="D162" t="s">
        <v>117</v>
      </c>
      <c r="E162" t="s">
        <v>37</v>
      </c>
      <c r="F162" t="s">
        <v>358</v>
      </c>
      <c r="G162" t="s">
        <v>44</v>
      </c>
      <c r="H162" t="s">
        <v>78</v>
      </c>
      <c r="I162" t="s">
        <v>89</v>
      </c>
      <c r="J162" s="9">
        <v>1</v>
      </c>
      <c r="K162" s="7">
        <v>75400</v>
      </c>
      <c r="L162" s="7">
        <v>0</v>
      </c>
      <c r="M162" s="9"/>
      <c r="N162" s="7">
        <v>9.6</v>
      </c>
      <c r="O162" s="7"/>
      <c r="P162" s="7"/>
      <c r="Q162" t="s">
        <v>89</v>
      </c>
      <c r="R162" s="7" t="str">
        <f>TEXT(Table1[[#This Row],[Date]],"mmm yyyy")</f>
        <v>Jun 2026</v>
      </c>
      <c r="S162" s="9">
        <f>YEAR(Table1[[#This Row],[Date]])</f>
        <v>2026</v>
      </c>
      <c r="T162" s="9"/>
      <c r="U162" s="9"/>
    </row>
    <row r="163" spans="1:21" hidden="1" x14ac:dyDescent="0.3">
      <c r="A163" t="s">
        <v>359</v>
      </c>
      <c r="B163" s="6">
        <v>46004</v>
      </c>
      <c r="C163" t="s">
        <v>26</v>
      </c>
      <c r="D163" t="s">
        <v>36</v>
      </c>
      <c r="E163" t="s">
        <v>20</v>
      </c>
      <c r="F163" t="s">
        <v>360</v>
      </c>
      <c r="G163" t="s">
        <v>22</v>
      </c>
      <c r="J163" s="9">
        <v>0</v>
      </c>
      <c r="K163" s="7">
        <v>0</v>
      </c>
      <c r="L163" s="7">
        <v>0</v>
      </c>
      <c r="M163" s="9">
        <v>1</v>
      </c>
      <c r="N163" s="7">
        <v>5.2</v>
      </c>
      <c r="O163" s="7">
        <v>7.5</v>
      </c>
      <c r="P163" s="7">
        <v>3.6</v>
      </c>
      <c r="Q163" t="s">
        <v>39</v>
      </c>
      <c r="R163" s="7" t="str">
        <f>TEXT(Table1[[#This Row],[Date]],"mmm yyyy")</f>
        <v>Dec 2025</v>
      </c>
      <c r="S163" s="9">
        <f>YEAR(Table1[[#This Row],[Date]])</f>
        <v>2025</v>
      </c>
      <c r="T163" s="9"/>
      <c r="U163" s="9"/>
    </row>
    <row r="164" spans="1:21" hidden="1" x14ac:dyDescent="0.3">
      <c r="A164" t="s">
        <v>361</v>
      </c>
      <c r="B164" s="6">
        <v>45981</v>
      </c>
      <c r="C164" t="s">
        <v>26</v>
      </c>
      <c r="D164" t="s">
        <v>27</v>
      </c>
      <c r="E164" t="s">
        <v>48</v>
      </c>
      <c r="F164" t="s">
        <v>362</v>
      </c>
      <c r="G164" t="s">
        <v>30</v>
      </c>
      <c r="J164" s="9">
        <v>0</v>
      </c>
      <c r="K164" s="7">
        <v>0</v>
      </c>
      <c r="L164" s="7">
        <v>0</v>
      </c>
      <c r="M164" s="9">
        <v>1</v>
      </c>
      <c r="N164" s="7">
        <v>5.5</v>
      </c>
      <c r="O164" s="7">
        <v>7</v>
      </c>
      <c r="P164" s="7">
        <v>4.8</v>
      </c>
      <c r="Q164" t="s">
        <v>62</v>
      </c>
      <c r="R164" s="7" t="str">
        <f>TEXT(Table1[[#This Row],[Date]],"mmm yyyy")</f>
        <v>Nov 2025</v>
      </c>
      <c r="S164" s="9">
        <f>YEAR(Table1[[#This Row],[Date]])</f>
        <v>2025</v>
      </c>
      <c r="T164" s="9"/>
      <c r="U164" s="9"/>
    </row>
    <row r="165" spans="1:21" x14ac:dyDescent="0.3">
      <c r="A165" t="s">
        <v>363</v>
      </c>
      <c r="B165" s="6">
        <v>46139</v>
      </c>
      <c r="C165" t="s">
        <v>18</v>
      </c>
      <c r="D165" t="s">
        <v>117</v>
      </c>
      <c r="E165" t="s">
        <v>37</v>
      </c>
      <c r="F165" t="s">
        <v>364</v>
      </c>
      <c r="G165" t="s">
        <v>22</v>
      </c>
      <c r="H165" t="s">
        <v>78</v>
      </c>
      <c r="I165" t="s">
        <v>89</v>
      </c>
      <c r="J165" s="9">
        <v>1</v>
      </c>
      <c r="K165" s="7">
        <v>33100</v>
      </c>
      <c r="L165" s="7">
        <v>0</v>
      </c>
      <c r="M165" s="9"/>
      <c r="N165" s="7">
        <v>16.8</v>
      </c>
      <c r="O165" s="7"/>
      <c r="P165" s="7"/>
      <c r="Q165" t="s">
        <v>89</v>
      </c>
      <c r="R165" s="7" t="str">
        <f>TEXT(Table1[[#This Row],[Date]],"mmm yyyy")</f>
        <v>Apr 2026</v>
      </c>
      <c r="S165" s="9">
        <f>YEAR(Table1[[#This Row],[Date]])</f>
        <v>2026</v>
      </c>
      <c r="T165" s="9"/>
      <c r="U165" s="9"/>
    </row>
    <row r="166" spans="1:21" x14ac:dyDescent="0.3">
      <c r="A166" t="s">
        <v>365</v>
      </c>
      <c r="B166" s="6">
        <v>46169</v>
      </c>
      <c r="C166" t="s">
        <v>18</v>
      </c>
      <c r="D166" t="s">
        <v>105</v>
      </c>
      <c r="E166" t="s">
        <v>37</v>
      </c>
      <c r="F166" t="s">
        <v>366</v>
      </c>
      <c r="G166" t="s">
        <v>44</v>
      </c>
      <c r="H166" t="s">
        <v>86</v>
      </c>
      <c r="I166" t="s">
        <v>45</v>
      </c>
      <c r="J166" s="9">
        <v>1</v>
      </c>
      <c r="K166" s="7">
        <v>38300</v>
      </c>
      <c r="L166" s="7">
        <v>0</v>
      </c>
      <c r="M166" s="9"/>
      <c r="N166" s="7">
        <v>4</v>
      </c>
      <c r="O166" s="7"/>
      <c r="P166" s="7"/>
      <c r="Q166" t="s">
        <v>45</v>
      </c>
      <c r="R166" s="7" t="str">
        <f>TEXT(Table1[[#This Row],[Date]],"mmm yyyy")</f>
        <v>May 2026</v>
      </c>
      <c r="S166" s="9">
        <f>YEAR(Table1[[#This Row],[Date]])</f>
        <v>2026</v>
      </c>
      <c r="T166" s="9"/>
      <c r="U166" s="9"/>
    </row>
    <row r="167" spans="1:21" hidden="1" x14ac:dyDescent="0.3">
      <c r="A167" t="s">
        <v>367</v>
      </c>
      <c r="B167" s="6">
        <v>46157</v>
      </c>
      <c r="C167" t="s">
        <v>26</v>
      </c>
      <c r="D167" t="s">
        <v>126</v>
      </c>
      <c r="E167" t="s">
        <v>20</v>
      </c>
      <c r="F167" t="s">
        <v>368</v>
      </c>
      <c r="G167" t="s">
        <v>30</v>
      </c>
      <c r="J167" s="9">
        <v>0</v>
      </c>
      <c r="K167" s="7">
        <v>0</v>
      </c>
      <c r="L167" s="7">
        <v>0</v>
      </c>
      <c r="M167" s="9">
        <v>1</v>
      </c>
      <c r="N167" s="7">
        <v>10.7</v>
      </c>
      <c r="O167" s="7">
        <v>9.9</v>
      </c>
      <c r="P167" s="7">
        <v>4.7</v>
      </c>
      <c r="Q167" t="s">
        <v>31</v>
      </c>
      <c r="R167" s="7" t="str">
        <f>TEXT(Table1[[#This Row],[Date]],"mmm yyyy")</f>
        <v>May 2026</v>
      </c>
      <c r="S167" s="9">
        <f>YEAR(Table1[[#This Row],[Date]])</f>
        <v>2026</v>
      </c>
      <c r="T167" s="9"/>
      <c r="U167" s="9"/>
    </row>
    <row r="168" spans="1:21" x14ac:dyDescent="0.3">
      <c r="A168" t="s">
        <v>369</v>
      </c>
      <c r="B168" s="6">
        <v>46076</v>
      </c>
      <c r="C168" t="s">
        <v>18</v>
      </c>
      <c r="D168" t="s">
        <v>19</v>
      </c>
      <c r="E168" t="s">
        <v>20</v>
      </c>
      <c r="F168" t="s">
        <v>370</v>
      </c>
      <c r="G168" t="s">
        <v>22</v>
      </c>
      <c r="H168" t="s">
        <v>86</v>
      </c>
      <c r="I168" t="s">
        <v>79</v>
      </c>
      <c r="J168" s="9">
        <v>1</v>
      </c>
      <c r="K168" s="7">
        <v>50700</v>
      </c>
      <c r="L168" s="7">
        <v>0</v>
      </c>
      <c r="M168" s="9"/>
      <c r="N168" s="7">
        <v>23.9</v>
      </c>
      <c r="O168" s="7"/>
      <c r="P168" s="7"/>
      <c r="Q168" t="s">
        <v>79</v>
      </c>
      <c r="R168" s="7" t="str">
        <f>TEXT(Table1[[#This Row],[Date]],"mmm yyyy")</f>
        <v>Feb 2026</v>
      </c>
      <c r="S168" s="9">
        <f>YEAR(Table1[[#This Row],[Date]])</f>
        <v>2026</v>
      </c>
      <c r="T168" s="9"/>
      <c r="U168" s="9"/>
    </row>
    <row r="169" spans="1:21" x14ac:dyDescent="0.3">
      <c r="A169" t="s">
        <v>371</v>
      </c>
      <c r="B169" s="6">
        <v>46130</v>
      </c>
      <c r="C169" t="s">
        <v>18</v>
      </c>
      <c r="D169" t="s">
        <v>64</v>
      </c>
      <c r="E169" t="s">
        <v>20</v>
      </c>
      <c r="F169" t="s">
        <v>372</v>
      </c>
      <c r="G169" t="s">
        <v>44</v>
      </c>
      <c r="H169" t="s">
        <v>86</v>
      </c>
      <c r="I169" t="s">
        <v>79</v>
      </c>
      <c r="J169" s="9">
        <v>1</v>
      </c>
      <c r="K169" s="7">
        <v>138300</v>
      </c>
      <c r="L169" s="7">
        <v>0</v>
      </c>
      <c r="M169" s="9"/>
      <c r="N169" s="7">
        <v>7.6</v>
      </c>
      <c r="O169" s="7"/>
      <c r="P169" s="7"/>
      <c r="Q169" t="s">
        <v>79</v>
      </c>
      <c r="R169" s="7" t="str">
        <f>TEXT(Table1[[#This Row],[Date]],"mmm yyyy")</f>
        <v>Apr 2026</v>
      </c>
      <c r="S169" s="9">
        <f>YEAR(Table1[[#This Row],[Date]])</f>
        <v>2026</v>
      </c>
      <c r="T169" s="9"/>
      <c r="U169" s="9"/>
    </row>
    <row r="170" spans="1:21" x14ac:dyDescent="0.3">
      <c r="A170" t="s">
        <v>373</v>
      </c>
      <c r="B170" s="6">
        <v>46169</v>
      </c>
      <c r="C170" t="s">
        <v>18</v>
      </c>
      <c r="D170" t="s">
        <v>64</v>
      </c>
      <c r="E170" t="s">
        <v>20</v>
      </c>
      <c r="F170" t="s">
        <v>374</v>
      </c>
      <c r="G170" t="s">
        <v>30</v>
      </c>
      <c r="H170" t="s">
        <v>86</v>
      </c>
      <c r="I170" t="s">
        <v>55</v>
      </c>
      <c r="J170" s="9">
        <v>1</v>
      </c>
      <c r="K170" s="7">
        <v>9100</v>
      </c>
      <c r="L170" s="7">
        <v>0</v>
      </c>
      <c r="M170" s="9"/>
      <c r="N170" s="7">
        <v>2.4</v>
      </c>
      <c r="O170" s="7"/>
      <c r="P170" s="7"/>
      <c r="Q170" t="s">
        <v>55</v>
      </c>
      <c r="R170" s="7" t="str">
        <f>TEXT(Table1[[#This Row],[Date]],"mmm yyyy")</f>
        <v>May 2026</v>
      </c>
      <c r="S170" s="9">
        <f>YEAR(Table1[[#This Row],[Date]])</f>
        <v>2026</v>
      </c>
      <c r="T170" s="9"/>
      <c r="U170" s="9"/>
    </row>
    <row r="171" spans="1:21" hidden="1" x14ac:dyDescent="0.3">
      <c r="A171" t="s">
        <v>375</v>
      </c>
      <c r="B171" s="6">
        <v>46191</v>
      </c>
      <c r="C171" t="s">
        <v>26</v>
      </c>
      <c r="D171" t="s">
        <v>126</v>
      </c>
      <c r="E171" t="s">
        <v>20</v>
      </c>
      <c r="F171" t="s">
        <v>376</v>
      </c>
      <c r="G171" t="s">
        <v>50</v>
      </c>
      <c r="J171" s="9">
        <v>0</v>
      </c>
      <c r="K171" s="7">
        <v>0</v>
      </c>
      <c r="L171" s="7">
        <v>0</v>
      </c>
      <c r="M171" s="9">
        <v>1</v>
      </c>
      <c r="N171" s="7">
        <v>8.5</v>
      </c>
      <c r="O171" s="7">
        <v>5.7</v>
      </c>
      <c r="P171" s="7">
        <v>3.5</v>
      </c>
      <c r="Q171" t="s">
        <v>62</v>
      </c>
      <c r="R171" s="7" t="str">
        <f>TEXT(Table1[[#This Row],[Date]],"mmm yyyy")</f>
        <v>Jun 2026</v>
      </c>
      <c r="S171" s="9">
        <f>YEAR(Table1[[#This Row],[Date]])</f>
        <v>2026</v>
      </c>
      <c r="T171" s="9"/>
      <c r="U171" s="9"/>
    </row>
    <row r="172" spans="1:21" hidden="1" x14ac:dyDescent="0.3">
      <c r="A172" t="s">
        <v>377</v>
      </c>
      <c r="B172" s="6">
        <v>46255</v>
      </c>
      <c r="C172" t="s">
        <v>26</v>
      </c>
      <c r="D172" t="s">
        <v>232</v>
      </c>
      <c r="E172" t="s">
        <v>42</v>
      </c>
      <c r="F172" t="s">
        <v>378</v>
      </c>
      <c r="G172" t="s">
        <v>30</v>
      </c>
      <c r="J172" s="9">
        <v>0</v>
      </c>
      <c r="K172" s="7">
        <v>0</v>
      </c>
      <c r="L172" s="7">
        <v>0</v>
      </c>
      <c r="M172" s="9">
        <v>1</v>
      </c>
      <c r="N172" s="7">
        <v>0.9</v>
      </c>
      <c r="O172" s="7">
        <v>12.4</v>
      </c>
      <c r="P172" s="7">
        <v>5</v>
      </c>
      <c r="Q172" t="s">
        <v>225</v>
      </c>
      <c r="R172" s="7" t="str">
        <f>TEXT(Table1[[#This Row],[Date]],"mmm yyyy")</f>
        <v>Aug 2026</v>
      </c>
      <c r="S172" s="9">
        <f>YEAR(Table1[[#This Row],[Date]])</f>
        <v>2026</v>
      </c>
      <c r="T172" s="9"/>
      <c r="U172" s="9"/>
    </row>
    <row r="173" spans="1:21" x14ac:dyDescent="0.3">
      <c r="A173" t="s">
        <v>379</v>
      </c>
      <c r="B173" s="6">
        <v>45961</v>
      </c>
      <c r="C173" t="s">
        <v>18</v>
      </c>
      <c r="D173" t="s">
        <v>47</v>
      </c>
      <c r="E173" t="s">
        <v>20</v>
      </c>
      <c r="F173" t="s">
        <v>380</v>
      </c>
      <c r="G173" t="s">
        <v>50</v>
      </c>
      <c r="H173" t="s">
        <v>54</v>
      </c>
      <c r="I173" t="s">
        <v>79</v>
      </c>
      <c r="J173" s="9">
        <v>1</v>
      </c>
      <c r="K173" s="7">
        <v>29000</v>
      </c>
      <c r="L173" s="7">
        <v>0</v>
      </c>
      <c r="M173" s="9"/>
      <c r="N173" s="7">
        <v>5.5</v>
      </c>
      <c r="O173" s="7"/>
      <c r="P173" s="7"/>
      <c r="Q173" t="s">
        <v>79</v>
      </c>
      <c r="R173" s="7" t="str">
        <f>TEXT(Table1[[#This Row],[Date]],"mmm yyyy")</f>
        <v>Oct 2025</v>
      </c>
      <c r="S173" s="9">
        <f>YEAR(Table1[[#This Row],[Date]])</f>
        <v>2025</v>
      </c>
      <c r="T173" s="9"/>
      <c r="U173" s="9"/>
    </row>
    <row r="174" spans="1:21" x14ac:dyDescent="0.3">
      <c r="A174" t="s">
        <v>381</v>
      </c>
      <c r="B174" s="6">
        <v>45951</v>
      </c>
      <c r="C174" t="s">
        <v>18</v>
      </c>
      <c r="D174" t="s">
        <v>95</v>
      </c>
      <c r="E174" t="s">
        <v>20</v>
      </c>
      <c r="F174" t="s">
        <v>382</v>
      </c>
      <c r="G174" t="s">
        <v>30</v>
      </c>
      <c r="H174" t="s">
        <v>86</v>
      </c>
      <c r="I174" t="s">
        <v>79</v>
      </c>
      <c r="J174" s="9">
        <v>1</v>
      </c>
      <c r="K174" s="7">
        <v>5000</v>
      </c>
      <c r="L174" s="7">
        <v>0</v>
      </c>
      <c r="M174" s="9"/>
      <c r="N174" s="7">
        <v>12.3</v>
      </c>
      <c r="O174" s="7"/>
      <c r="P174" s="7"/>
      <c r="Q174" t="s">
        <v>79</v>
      </c>
      <c r="R174" s="7" t="str">
        <f>TEXT(Table1[[#This Row],[Date]],"mmm yyyy")</f>
        <v>Oct 2025</v>
      </c>
      <c r="S174" s="9">
        <f>YEAR(Table1[[#This Row],[Date]])</f>
        <v>2025</v>
      </c>
      <c r="T174" s="9"/>
      <c r="U174" s="9"/>
    </row>
    <row r="175" spans="1:21" x14ac:dyDescent="0.3">
      <c r="A175" t="s">
        <v>383</v>
      </c>
      <c r="B175" s="6">
        <v>46188</v>
      </c>
      <c r="C175" t="s">
        <v>18</v>
      </c>
      <c r="D175" t="s">
        <v>105</v>
      </c>
      <c r="E175" t="s">
        <v>20</v>
      </c>
      <c r="F175" t="s">
        <v>384</v>
      </c>
      <c r="G175" t="s">
        <v>22</v>
      </c>
      <c r="H175" t="s">
        <v>86</v>
      </c>
      <c r="I175" t="s">
        <v>79</v>
      </c>
      <c r="J175" s="9">
        <v>1</v>
      </c>
      <c r="K175" s="7">
        <v>14900</v>
      </c>
      <c r="L175" s="7">
        <v>0</v>
      </c>
      <c r="M175" s="9"/>
      <c r="N175" s="7">
        <v>15.6</v>
      </c>
      <c r="O175" s="7"/>
      <c r="P175" s="7"/>
      <c r="Q175" t="s">
        <v>79</v>
      </c>
      <c r="R175" s="7" t="str">
        <f>TEXT(Table1[[#This Row],[Date]],"mmm yyyy")</f>
        <v>Jun 2026</v>
      </c>
      <c r="S175" s="9">
        <f>YEAR(Table1[[#This Row],[Date]])</f>
        <v>2026</v>
      </c>
      <c r="T175" s="9"/>
      <c r="U175" s="9"/>
    </row>
    <row r="176" spans="1:21" hidden="1" x14ac:dyDescent="0.3">
      <c r="A176" t="s">
        <v>385</v>
      </c>
      <c r="B176" s="6">
        <v>46245</v>
      </c>
      <c r="C176" t="s">
        <v>26</v>
      </c>
      <c r="D176" t="s">
        <v>126</v>
      </c>
      <c r="E176" t="s">
        <v>37</v>
      </c>
      <c r="F176" t="s">
        <v>386</v>
      </c>
      <c r="G176" t="s">
        <v>22</v>
      </c>
      <c r="J176" s="9">
        <v>0</v>
      </c>
      <c r="K176" s="7">
        <v>0</v>
      </c>
      <c r="L176" s="7">
        <v>0</v>
      </c>
      <c r="M176" s="9">
        <v>1</v>
      </c>
      <c r="N176" s="7">
        <v>7.7</v>
      </c>
      <c r="O176" s="7">
        <v>3.4</v>
      </c>
      <c r="P176" s="7">
        <v>4.2</v>
      </c>
      <c r="Q176" t="s">
        <v>225</v>
      </c>
      <c r="R176" s="7" t="str">
        <f>TEXT(Table1[[#This Row],[Date]],"mmm yyyy")</f>
        <v>Aug 2026</v>
      </c>
      <c r="S176" s="9">
        <f>YEAR(Table1[[#This Row],[Date]])</f>
        <v>2026</v>
      </c>
      <c r="T176" s="9"/>
      <c r="U176" s="9"/>
    </row>
    <row r="177" spans="1:21" x14ac:dyDescent="0.3">
      <c r="A177" t="s">
        <v>387</v>
      </c>
      <c r="B177" s="6">
        <v>46114</v>
      </c>
      <c r="C177" t="s">
        <v>18</v>
      </c>
      <c r="D177" t="s">
        <v>19</v>
      </c>
      <c r="E177" t="s">
        <v>48</v>
      </c>
      <c r="F177" t="s">
        <v>124</v>
      </c>
      <c r="G177" t="s">
        <v>22</v>
      </c>
      <c r="H177" t="s">
        <v>23</v>
      </c>
      <c r="I177" t="s">
        <v>24</v>
      </c>
      <c r="J177" s="9">
        <v>1</v>
      </c>
      <c r="K177" s="7">
        <v>29100</v>
      </c>
      <c r="L177" s="7">
        <v>29100</v>
      </c>
      <c r="M177" s="9"/>
      <c r="N177" s="7">
        <v>14.8</v>
      </c>
      <c r="O177" s="7"/>
      <c r="P177" s="7"/>
      <c r="Q177" t="s">
        <v>24</v>
      </c>
      <c r="R177" s="7" t="str">
        <f>TEXT(Table1[[#This Row],[Date]],"mmm yyyy")</f>
        <v>Apr 2026</v>
      </c>
      <c r="S177" s="9">
        <f>YEAR(Table1[[#This Row],[Date]])</f>
        <v>2026</v>
      </c>
      <c r="T177" s="9"/>
      <c r="U177" s="9"/>
    </row>
    <row r="178" spans="1:21" hidden="1" x14ac:dyDescent="0.3">
      <c r="A178" t="s">
        <v>388</v>
      </c>
      <c r="B178" s="6">
        <v>45943</v>
      </c>
      <c r="C178" t="s">
        <v>26</v>
      </c>
      <c r="D178" t="s">
        <v>126</v>
      </c>
      <c r="E178" t="s">
        <v>20</v>
      </c>
      <c r="F178" t="s">
        <v>389</v>
      </c>
      <c r="G178" t="s">
        <v>44</v>
      </c>
      <c r="J178" s="9">
        <v>0</v>
      </c>
      <c r="K178" s="7">
        <v>0</v>
      </c>
      <c r="L178" s="7">
        <v>0</v>
      </c>
      <c r="M178" s="9">
        <v>1</v>
      </c>
      <c r="N178" s="7">
        <v>10.9</v>
      </c>
      <c r="O178" s="7">
        <v>8.1</v>
      </c>
      <c r="P178" s="7">
        <v>4.4000000000000004</v>
      </c>
      <c r="Q178" t="s">
        <v>31</v>
      </c>
      <c r="R178" s="7" t="str">
        <f>TEXT(Table1[[#This Row],[Date]],"mmm yyyy")</f>
        <v>Oct 2025</v>
      </c>
      <c r="S178" s="9">
        <f>YEAR(Table1[[#This Row],[Date]])</f>
        <v>2025</v>
      </c>
      <c r="T178" s="9"/>
      <c r="U178" s="9"/>
    </row>
    <row r="179" spans="1:21" x14ac:dyDescent="0.3">
      <c r="A179" t="s">
        <v>390</v>
      </c>
      <c r="B179" s="6">
        <v>46222</v>
      </c>
      <c r="C179" t="s">
        <v>18</v>
      </c>
      <c r="D179" t="s">
        <v>52</v>
      </c>
      <c r="E179" t="s">
        <v>48</v>
      </c>
      <c r="F179" t="s">
        <v>146</v>
      </c>
      <c r="G179" t="s">
        <v>22</v>
      </c>
      <c r="H179" t="s">
        <v>86</v>
      </c>
      <c r="I179" t="s">
        <v>67</v>
      </c>
      <c r="J179" s="9">
        <v>1</v>
      </c>
      <c r="K179" s="7">
        <v>16600</v>
      </c>
      <c r="L179" s="7">
        <v>0</v>
      </c>
      <c r="M179" s="9"/>
      <c r="N179" s="7">
        <v>5.9</v>
      </c>
      <c r="O179" s="7"/>
      <c r="P179" s="7"/>
      <c r="Q179" t="s">
        <v>67</v>
      </c>
      <c r="R179" s="7" t="str">
        <f>TEXT(Table1[[#This Row],[Date]],"mmm yyyy")</f>
        <v>Jul 2026</v>
      </c>
      <c r="S179" s="9">
        <f>YEAR(Table1[[#This Row],[Date]])</f>
        <v>2026</v>
      </c>
      <c r="T179" s="9"/>
      <c r="U179" s="9"/>
    </row>
    <row r="180" spans="1:21" hidden="1" x14ac:dyDescent="0.3">
      <c r="A180" t="s">
        <v>391</v>
      </c>
      <c r="B180" s="6">
        <v>46109</v>
      </c>
      <c r="C180" t="s">
        <v>26</v>
      </c>
      <c r="D180" t="s">
        <v>72</v>
      </c>
      <c r="E180" t="s">
        <v>48</v>
      </c>
      <c r="F180" t="s">
        <v>61</v>
      </c>
      <c r="G180" t="s">
        <v>50</v>
      </c>
      <c r="J180" s="9">
        <v>0</v>
      </c>
      <c r="K180" s="7">
        <v>0</v>
      </c>
      <c r="L180" s="7">
        <v>0</v>
      </c>
      <c r="M180" s="9">
        <v>1</v>
      </c>
      <c r="N180" s="7">
        <v>7.9</v>
      </c>
      <c r="O180" s="7">
        <v>9.8000000000000007</v>
      </c>
      <c r="P180" s="7">
        <v>4.2</v>
      </c>
      <c r="Q180" t="s">
        <v>31</v>
      </c>
      <c r="R180" s="7" t="str">
        <f>TEXT(Table1[[#This Row],[Date]],"mmm yyyy")</f>
        <v>Mar 2026</v>
      </c>
      <c r="S180" s="9">
        <f>YEAR(Table1[[#This Row],[Date]])</f>
        <v>2026</v>
      </c>
      <c r="T180" s="9"/>
      <c r="U180" s="9"/>
    </row>
    <row r="181" spans="1:21" x14ac:dyDescent="0.3">
      <c r="A181" t="s">
        <v>392</v>
      </c>
      <c r="B181" s="6">
        <v>46055</v>
      </c>
      <c r="C181" t="s">
        <v>18</v>
      </c>
      <c r="D181" t="s">
        <v>47</v>
      </c>
      <c r="E181" t="s">
        <v>37</v>
      </c>
      <c r="F181" t="s">
        <v>393</v>
      </c>
      <c r="G181" t="s">
        <v>50</v>
      </c>
      <c r="H181" t="s">
        <v>86</v>
      </c>
      <c r="I181" t="s">
        <v>55</v>
      </c>
      <c r="J181" s="9">
        <v>1</v>
      </c>
      <c r="K181" s="7">
        <v>17100</v>
      </c>
      <c r="L181" s="7">
        <v>0</v>
      </c>
      <c r="M181" s="9"/>
      <c r="N181" s="7">
        <v>21.6</v>
      </c>
      <c r="O181" s="7"/>
      <c r="P181" s="7"/>
      <c r="Q181" t="s">
        <v>55</v>
      </c>
      <c r="R181" s="7" t="str">
        <f>TEXT(Table1[[#This Row],[Date]],"mmm yyyy")</f>
        <v>Feb 2026</v>
      </c>
      <c r="S181" s="9">
        <f>YEAR(Table1[[#This Row],[Date]])</f>
        <v>2026</v>
      </c>
      <c r="T181" s="9"/>
      <c r="U181" s="9"/>
    </row>
    <row r="182" spans="1:21" x14ac:dyDescent="0.3">
      <c r="A182" t="s">
        <v>394</v>
      </c>
      <c r="B182" s="6">
        <v>46139</v>
      </c>
      <c r="C182" t="s">
        <v>18</v>
      </c>
      <c r="D182" t="s">
        <v>105</v>
      </c>
      <c r="E182" t="s">
        <v>48</v>
      </c>
      <c r="F182" t="s">
        <v>372</v>
      </c>
      <c r="G182" t="s">
        <v>22</v>
      </c>
      <c r="H182" t="s">
        <v>86</v>
      </c>
      <c r="I182" t="s">
        <v>45</v>
      </c>
      <c r="J182" s="9">
        <v>1</v>
      </c>
      <c r="K182" s="7">
        <v>28500</v>
      </c>
      <c r="L182" s="7">
        <v>0</v>
      </c>
      <c r="M182" s="9"/>
      <c r="N182" s="7">
        <v>22.5</v>
      </c>
      <c r="O182" s="7"/>
      <c r="P182" s="7"/>
      <c r="Q182" t="s">
        <v>45</v>
      </c>
      <c r="R182" s="7" t="str">
        <f>TEXT(Table1[[#This Row],[Date]],"mmm yyyy")</f>
        <v>Apr 2026</v>
      </c>
      <c r="S182" s="9">
        <f>YEAR(Table1[[#This Row],[Date]])</f>
        <v>2026</v>
      </c>
      <c r="T182" s="9"/>
      <c r="U182" s="9"/>
    </row>
    <row r="183" spans="1:21" x14ac:dyDescent="0.3">
      <c r="A183" t="s">
        <v>395</v>
      </c>
      <c r="B183" s="6">
        <v>45911</v>
      </c>
      <c r="C183" t="s">
        <v>18</v>
      </c>
      <c r="D183" t="s">
        <v>95</v>
      </c>
      <c r="E183" t="s">
        <v>28</v>
      </c>
      <c r="F183" t="s">
        <v>396</v>
      </c>
      <c r="G183" t="s">
        <v>30</v>
      </c>
      <c r="H183" t="s">
        <v>23</v>
      </c>
      <c r="I183" t="s">
        <v>55</v>
      </c>
      <c r="J183" s="9">
        <v>1</v>
      </c>
      <c r="K183" s="7">
        <v>27800</v>
      </c>
      <c r="L183" s="7">
        <v>0</v>
      </c>
      <c r="M183" s="9"/>
      <c r="N183" s="7">
        <v>22.6</v>
      </c>
      <c r="O183" s="7"/>
      <c r="P183" s="7"/>
      <c r="Q183" t="s">
        <v>55</v>
      </c>
      <c r="R183" s="7" t="str">
        <f>TEXT(Table1[[#This Row],[Date]],"mmm yyyy")</f>
        <v>Sep 2025</v>
      </c>
      <c r="S183" s="9">
        <f>YEAR(Table1[[#This Row],[Date]])</f>
        <v>2025</v>
      </c>
      <c r="T183" s="9"/>
      <c r="U183" s="9"/>
    </row>
    <row r="184" spans="1:21" hidden="1" x14ac:dyDescent="0.3">
      <c r="A184" t="s">
        <v>397</v>
      </c>
      <c r="B184" s="6">
        <v>45952</v>
      </c>
      <c r="C184" t="s">
        <v>26</v>
      </c>
      <c r="D184" t="s">
        <v>69</v>
      </c>
      <c r="E184" t="s">
        <v>20</v>
      </c>
      <c r="F184" t="s">
        <v>398</v>
      </c>
      <c r="G184" t="s">
        <v>50</v>
      </c>
      <c r="J184" s="9">
        <v>0</v>
      </c>
      <c r="K184" s="7">
        <v>0</v>
      </c>
      <c r="L184" s="7">
        <v>0</v>
      </c>
      <c r="M184" s="9">
        <v>1</v>
      </c>
      <c r="N184" s="7">
        <v>2.1</v>
      </c>
      <c r="O184" s="7">
        <v>5.4</v>
      </c>
      <c r="P184" s="7">
        <v>3.8</v>
      </c>
      <c r="Q184" t="s">
        <v>62</v>
      </c>
      <c r="R184" s="7" t="str">
        <f>TEXT(Table1[[#This Row],[Date]],"mmm yyyy")</f>
        <v>Oct 2025</v>
      </c>
      <c r="S184" s="9">
        <f>YEAR(Table1[[#This Row],[Date]])</f>
        <v>2025</v>
      </c>
      <c r="T184" s="9"/>
      <c r="U184" s="9"/>
    </row>
    <row r="185" spans="1:21" hidden="1" x14ac:dyDescent="0.3">
      <c r="A185" t="s">
        <v>399</v>
      </c>
      <c r="B185" s="6">
        <v>45993</v>
      </c>
      <c r="C185" t="s">
        <v>26</v>
      </c>
      <c r="D185" t="s">
        <v>232</v>
      </c>
      <c r="E185" t="s">
        <v>20</v>
      </c>
      <c r="F185" t="s">
        <v>400</v>
      </c>
      <c r="G185" t="s">
        <v>22</v>
      </c>
      <c r="J185" s="9">
        <v>0</v>
      </c>
      <c r="K185" s="7">
        <v>0</v>
      </c>
      <c r="L185" s="7">
        <v>0</v>
      </c>
      <c r="M185" s="9">
        <v>1</v>
      </c>
      <c r="N185" s="7">
        <v>4.3</v>
      </c>
      <c r="O185" s="7">
        <v>8.3000000000000007</v>
      </c>
      <c r="P185" s="7">
        <v>3.8</v>
      </c>
      <c r="Q185" t="s">
        <v>39</v>
      </c>
      <c r="R185" s="7" t="str">
        <f>TEXT(Table1[[#This Row],[Date]],"mmm yyyy")</f>
        <v>Dec 2025</v>
      </c>
      <c r="S185" s="9">
        <f>YEAR(Table1[[#This Row],[Date]])</f>
        <v>2025</v>
      </c>
      <c r="T185" s="9"/>
      <c r="U185" s="9"/>
    </row>
    <row r="186" spans="1:21" x14ac:dyDescent="0.3">
      <c r="A186" t="s">
        <v>401</v>
      </c>
      <c r="B186" s="6">
        <v>45986</v>
      </c>
      <c r="C186" t="s">
        <v>18</v>
      </c>
      <c r="D186" t="s">
        <v>47</v>
      </c>
      <c r="E186" t="s">
        <v>28</v>
      </c>
      <c r="F186" t="s">
        <v>402</v>
      </c>
      <c r="G186" t="s">
        <v>50</v>
      </c>
      <c r="H186" t="s">
        <v>23</v>
      </c>
      <c r="I186" t="s">
        <v>89</v>
      </c>
      <c r="J186" s="9">
        <v>1</v>
      </c>
      <c r="K186" s="7">
        <v>41700</v>
      </c>
      <c r="L186" s="7">
        <v>0</v>
      </c>
      <c r="M186" s="9"/>
      <c r="N186" s="7">
        <v>4.2</v>
      </c>
      <c r="O186" s="7"/>
      <c r="P186" s="7"/>
      <c r="Q186" t="s">
        <v>89</v>
      </c>
      <c r="R186" s="7" t="str">
        <f>TEXT(Table1[[#This Row],[Date]],"mmm yyyy")</f>
        <v>Nov 2025</v>
      </c>
      <c r="S186" s="9">
        <f>YEAR(Table1[[#This Row],[Date]])</f>
        <v>2025</v>
      </c>
      <c r="T186" s="9"/>
      <c r="U186" s="9"/>
    </row>
    <row r="187" spans="1:21" hidden="1" x14ac:dyDescent="0.3">
      <c r="A187" t="s">
        <v>403</v>
      </c>
      <c r="B187" s="6">
        <v>46092</v>
      </c>
      <c r="C187" t="s">
        <v>26</v>
      </c>
      <c r="D187" t="s">
        <v>33</v>
      </c>
      <c r="E187" t="s">
        <v>48</v>
      </c>
      <c r="F187" t="s">
        <v>404</v>
      </c>
      <c r="G187" t="s">
        <v>22</v>
      </c>
      <c r="J187" s="9">
        <v>0</v>
      </c>
      <c r="K187" s="7">
        <v>0</v>
      </c>
      <c r="L187" s="7">
        <v>0</v>
      </c>
      <c r="M187" s="9">
        <v>1</v>
      </c>
      <c r="N187" s="7">
        <v>7.5</v>
      </c>
      <c r="O187" s="7">
        <v>6.9</v>
      </c>
      <c r="P187" s="7">
        <v>5</v>
      </c>
      <c r="Q187" t="s">
        <v>39</v>
      </c>
      <c r="R187" s="7" t="str">
        <f>TEXT(Table1[[#This Row],[Date]],"mmm yyyy")</f>
        <v>Mar 2026</v>
      </c>
      <c r="S187" s="9">
        <f>YEAR(Table1[[#This Row],[Date]])</f>
        <v>2026</v>
      </c>
      <c r="T187" s="9"/>
      <c r="U187" s="9"/>
    </row>
    <row r="188" spans="1:21" hidden="1" x14ac:dyDescent="0.3">
      <c r="A188" t="s">
        <v>405</v>
      </c>
      <c r="B188" s="6">
        <v>46147</v>
      </c>
      <c r="C188" t="s">
        <v>26</v>
      </c>
      <c r="D188" t="s">
        <v>114</v>
      </c>
      <c r="E188" t="s">
        <v>42</v>
      </c>
      <c r="F188" t="s">
        <v>358</v>
      </c>
      <c r="G188" t="s">
        <v>44</v>
      </c>
      <c r="J188" s="9">
        <v>0</v>
      </c>
      <c r="K188" s="7">
        <v>0</v>
      </c>
      <c r="L188" s="7">
        <v>0</v>
      </c>
      <c r="M188" s="9">
        <v>1</v>
      </c>
      <c r="N188" s="7">
        <v>3.5</v>
      </c>
      <c r="O188" s="7">
        <v>3.5</v>
      </c>
      <c r="P188" s="7">
        <v>2.8</v>
      </c>
      <c r="Q188" t="s">
        <v>39</v>
      </c>
      <c r="R188" s="7" t="str">
        <f>TEXT(Table1[[#This Row],[Date]],"mmm yyyy")</f>
        <v>May 2026</v>
      </c>
      <c r="S188" s="9">
        <f>YEAR(Table1[[#This Row],[Date]])</f>
        <v>2026</v>
      </c>
      <c r="T188" s="9"/>
      <c r="U188" s="9"/>
    </row>
    <row r="189" spans="1:21" hidden="1" x14ac:dyDescent="0.3">
      <c r="A189" t="s">
        <v>406</v>
      </c>
      <c r="B189" s="6">
        <v>45918</v>
      </c>
      <c r="C189" t="s">
        <v>26</v>
      </c>
      <c r="D189" t="s">
        <v>232</v>
      </c>
      <c r="E189" t="s">
        <v>37</v>
      </c>
      <c r="F189" t="s">
        <v>407</v>
      </c>
      <c r="G189" t="s">
        <v>22</v>
      </c>
      <c r="J189" s="9">
        <v>0</v>
      </c>
      <c r="K189" s="7">
        <v>0</v>
      </c>
      <c r="L189" s="7">
        <v>0</v>
      </c>
      <c r="M189" s="9">
        <v>1</v>
      </c>
      <c r="N189" s="7">
        <v>6.5</v>
      </c>
      <c r="O189" s="7">
        <v>6.2</v>
      </c>
      <c r="P189" s="7">
        <v>3.7</v>
      </c>
      <c r="Q189" t="s">
        <v>39</v>
      </c>
      <c r="R189" s="7" t="str">
        <f>TEXT(Table1[[#This Row],[Date]],"mmm yyyy")</f>
        <v>Sep 2025</v>
      </c>
      <c r="S189" s="9">
        <f>YEAR(Table1[[#This Row],[Date]])</f>
        <v>2025</v>
      </c>
      <c r="T189" s="9"/>
      <c r="U189" s="9"/>
    </row>
    <row r="190" spans="1:21" x14ac:dyDescent="0.3">
      <c r="A190" t="s">
        <v>408</v>
      </c>
      <c r="B190" s="6">
        <v>45982</v>
      </c>
      <c r="C190" t="s">
        <v>18</v>
      </c>
      <c r="D190" t="s">
        <v>105</v>
      </c>
      <c r="E190" t="s">
        <v>20</v>
      </c>
      <c r="F190" t="s">
        <v>96</v>
      </c>
      <c r="G190" t="s">
        <v>44</v>
      </c>
      <c r="H190" t="s">
        <v>54</v>
      </c>
      <c r="I190" t="s">
        <v>24</v>
      </c>
      <c r="J190" s="9">
        <v>1</v>
      </c>
      <c r="K190" s="7">
        <v>41500</v>
      </c>
      <c r="L190" s="7">
        <v>41500</v>
      </c>
      <c r="M190" s="9"/>
      <c r="N190" s="7">
        <v>3.2</v>
      </c>
      <c r="O190" s="7"/>
      <c r="P190" s="7"/>
      <c r="Q190" t="s">
        <v>24</v>
      </c>
      <c r="R190" s="7" t="str">
        <f>TEXT(Table1[[#This Row],[Date]],"mmm yyyy")</f>
        <v>Nov 2025</v>
      </c>
      <c r="S190" s="9">
        <f>YEAR(Table1[[#This Row],[Date]])</f>
        <v>2025</v>
      </c>
      <c r="T190" s="9"/>
      <c r="U190" s="9"/>
    </row>
    <row r="191" spans="1:21" x14ac:dyDescent="0.3">
      <c r="A191" t="s">
        <v>409</v>
      </c>
      <c r="B191" s="6">
        <v>45948</v>
      </c>
      <c r="C191" t="s">
        <v>18</v>
      </c>
      <c r="D191" t="s">
        <v>105</v>
      </c>
      <c r="E191" t="s">
        <v>20</v>
      </c>
      <c r="F191" t="s">
        <v>410</v>
      </c>
      <c r="G191" t="s">
        <v>44</v>
      </c>
      <c r="H191" t="s">
        <v>78</v>
      </c>
      <c r="I191" t="s">
        <v>55</v>
      </c>
      <c r="J191" s="9">
        <v>1</v>
      </c>
      <c r="K191" s="7">
        <v>26800</v>
      </c>
      <c r="L191" s="7">
        <v>0</v>
      </c>
      <c r="M191" s="9"/>
      <c r="N191" s="7">
        <v>14.1</v>
      </c>
      <c r="O191" s="7"/>
      <c r="P191" s="7"/>
      <c r="Q191" t="s">
        <v>55</v>
      </c>
      <c r="R191" s="7" t="str">
        <f>TEXT(Table1[[#This Row],[Date]],"mmm yyyy")</f>
        <v>Oct 2025</v>
      </c>
      <c r="S191" s="9">
        <f>YEAR(Table1[[#This Row],[Date]])</f>
        <v>2025</v>
      </c>
      <c r="T191" s="9"/>
      <c r="U191" s="9"/>
    </row>
    <row r="192" spans="1:21" x14ac:dyDescent="0.3">
      <c r="A192" t="s">
        <v>411</v>
      </c>
      <c r="B192" s="6">
        <v>46246</v>
      </c>
      <c r="C192" t="s">
        <v>18</v>
      </c>
      <c r="D192" t="s">
        <v>95</v>
      </c>
      <c r="E192" t="s">
        <v>28</v>
      </c>
      <c r="F192" t="s">
        <v>412</v>
      </c>
      <c r="G192" t="s">
        <v>50</v>
      </c>
      <c r="H192" t="s">
        <v>66</v>
      </c>
      <c r="I192" t="s">
        <v>24</v>
      </c>
      <c r="J192" s="9">
        <v>1</v>
      </c>
      <c r="K192" s="7">
        <v>8600</v>
      </c>
      <c r="L192" s="7">
        <v>8600</v>
      </c>
      <c r="M192" s="9"/>
      <c r="N192" s="7">
        <v>7.1</v>
      </c>
      <c r="O192" s="7"/>
      <c r="P192" s="7"/>
      <c r="Q192" t="s">
        <v>24</v>
      </c>
      <c r="R192" s="7" t="str">
        <f>TEXT(Table1[[#This Row],[Date]],"mmm yyyy")</f>
        <v>Aug 2026</v>
      </c>
      <c r="S192" s="9">
        <f>YEAR(Table1[[#This Row],[Date]])</f>
        <v>2026</v>
      </c>
      <c r="T192" s="9"/>
      <c r="U192" s="9"/>
    </row>
    <row r="193" spans="1:21" hidden="1" x14ac:dyDescent="0.3">
      <c r="A193" t="s">
        <v>413</v>
      </c>
      <c r="B193" s="6">
        <v>46091</v>
      </c>
      <c r="C193" t="s">
        <v>26</v>
      </c>
      <c r="D193" t="s">
        <v>36</v>
      </c>
      <c r="E193" t="s">
        <v>48</v>
      </c>
      <c r="F193" t="s">
        <v>21</v>
      </c>
      <c r="G193" t="s">
        <v>22</v>
      </c>
      <c r="J193" s="9">
        <v>0</v>
      </c>
      <c r="K193" s="7">
        <v>0</v>
      </c>
      <c r="L193" s="7">
        <v>0</v>
      </c>
      <c r="M193" s="9">
        <v>1</v>
      </c>
      <c r="N193" s="7">
        <v>2.7</v>
      </c>
      <c r="O193" s="7">
        <v>5.6</v>
      </c>
      <c r="P193" s="7">
        <v>4.4000000000000004</v>
      </c>
      <c r="Q193" t="s">
        <v>39</v>
      </c>
      <c r="R193" s="7" t="str">
        <f>TEXT(Table1[[#This Row],[Date]],"mmm yyyy")</f>
        <v>Mar 2026</v>
      </c>
      <c r="S193" s="9">
        <f>YEAR(Table1[[#This Row],[Date]])</f>
        <v>2026</v>
      </c>
      <c r="T193" s="9"/>
      <c r="U193" s="9"/>
    </row>
    <row r="194" spans="1:21" hidden="1" x14ac:dyDescent="0.3">
      <c r="A194" t="s">
        <v>414</v>
      </c>
      <c r="B194" s="6">
        <v>46100</v>
      </c>
      <c r="C194" t="s">
        <v>26</v>
      </c>
      <c r="D194" t="s">
        <v>126</v>
      </c>
      <c r="E194" t="s">
        <v>48</v>
      </c>
      <c r="F194" t="s">
        <v>415</v>
      </c>
      <c r="G194" t="s">
        <v>30</v>
      </c>
      <c r="J194" s="9">
        <v>0</v>
      </c>
      <c r="K194" s="7">
        <v>0</v>
      </c>
      <c r="L194" s="7">
        <v>0</v>
      </c>
      <c r="M194" s="9">
        <v>1</v>
      </c>
      <c r="N194" s="7">
        <v>9.6</v>
      </c>
      <c r="O194" s="7">
        <v>6.4</v>
      </c>
      <c r="P194" s="7">
        <v>3.6</v>
      </c>
      <c r="Q194" t="s">
        <v>62</v>
      </c>
      <c r="R194" s="7" t="str">
        <f>TEXT(Table1[[#This Row],[Date]],"mmm yyyy")</f>
        <v>Mar 2026</v>
      </c>
      <c r="S194" s="9">
        <f>YEAR(Table1[[#This Row],[Date]])</f>
        <v>2026</v>
      </c>
      <c r="T194" s="9"/>
      <c r="U194" s="9"/>
    </row>
    <row r="195" spans="1:21" hidden="1" x14ac:dyDescent="0.3">
      <c r="A195" t="s">
        <v>416</v>
      </c>
      <c r="B195" s="6">
        <v>46187</v>
      </c>
      <c r="C195" t="s">
        <v>26</v>
      </c>
      <c r="D195" t="s">
        <v>114</v>
      </c>
      <c r="E195" t="s">
        <v>48</v>
      </c>
      <c r="F195" t="s">
        <v>417</v>
      </c>
      <c r="G195" t="s">
        <v>22</v>
      </c>
      <c r="J195" s="9">
        <v>0</v>
      </c>
      <c r="K195" s="7">
        <v>0</v>
      </c>
      <c r="L195" s="7">
        <v>0</v>
      </c>
      <c r="M195" s="9">
        <v>1</v>
      </c>
      <c r="N195" s="7">
        <v>3.1</v>
      </c>
      <c r="O195" s="7">
        <v>32.299999999999997</v>
      </c>
      <c r="P195" s="7">
        <v>5</v>
      </c>
      <c r="Q195" t="s">
        <v>62</v>
      </c>
      <c r="R195" s="7" t="str">
        <f>TEXT(Table1[[#This Row],[Date]],"mmm yyyy")</f>
        <v>Jun 2026</v>
      </c>
      <c r="S195" s="9">
        <f>YEAR(Table1[[#This Row],[Date]])</f>
        <v>2026</v>
      </c>
      <c r="T195" s="9"/>
      <c r="U195" s="9"/>
    </row>
    <row r="196" spans="1:21" x14ac:dyDescent="0.3">
      <c r="A196" t="s">
        <v>418</v>
      </c>
      <c r="B196" s="6">
        <v>45913</v>
      </c>
      <c r="C196" t="s">
        <v>18</v>
      </c>
      <c r="D196" t="s">
        <v>41</v>
      </c>
      <c r="E196" t="s">
        <v>48</v>
      </c>
      <c r="F196" t="s">
        <v>419</v>
      </c>
      <c r="G196" t="s">
        <v>44</v>
      </c>
      <c r="H196" t="s">
        <v>54</v>
      </c>
      <c r="I196" t="s">
        <v>89</v>
      </c>
      <c r="J196" s="9">
        <v>1</v>
      </c>
      <c r="K196" s="7">
        <v>5000</v>
      </c>
      <c r="L196" s="7">
        <v>0</v>
      </c>
      <c r="M196" s="9"/>
      <c r="N196" s="7">
        <v>2.7</v>
      </c>
      <c r="O196" s="7"/>
      <c r="P196" s="7"/>
      <c r="Q196" t="s">
        <v>89</v>
      </c>
      <c r="R196" s="7" t="str">
        <f>TEXT(Table1[[#This Row],[Date]],"mmm yyyy")</f>
        <v>Sep 2025</v>
      </c>
      <c r="S196" s="9">
        <f>YEAR(Table1[[#This Row],[Date]])</f>
        <v>2025</v>
      </c>
      <c r="T196" s="9"/>
      <c r="U196" s="9"/>
    </row>
    <row r="197" spans="1:21" x14ac:dyDescent="0.3">
      <c r="A197" t="s">
        <v>420</v>
      </c>
      <c r="B197" s="6">
        <v>45958</v>
      </c>
      <c r="C197" t="s">
        <v>18</v>
      </c>
      <c r="D197" t="s">
        <v>105</v>
      </c>
      <c r="E197" t="s">
        <v>20</v>
      </c>
      <c r="F197" t="s">
        <v>162</v>
      </c>
      <c r="G197" t="s">
        <v>22</v>
      </c>
      <c r="H197" t="s">
        <v>23</v>
      </c>
      <c r="I197" t="s">
        <v>89</v>
      </c>
      <c r="J197" s="9">
        <v>1</v>
      </c>
      <c r="K197" s="7">
        <v>14200</v>
      </c>
      <c r="L197" s="7">
        <v>0</v>
      </c>
      <c r="M197" s="9"/>
      <c r="N197" s="7">
        <v>21.8</v>
      </c>
      <c r="O197" s="7"/>
      <c r="P197" s="7"/>
      <c r="Q197" t="s">
        <v>89</v>
      </c>
      <c r="R197" s="7" t="str">
        <f>TEXT(Table1[[#This Row],[Date]],"mmm yyyy")</f>
        <v>Oct 2025</v>
      </c>
      <c r="S197" s="9">
        <f>YEAR(Table1[[#This Row],[Date]])</f>
        <v>2025</v>
      </c>
      <c r="T197" s="9"/>
      <c r="U197" s="9"/>
    </row>
    <row r="198" spans="1:21" hidden="1" x14ac:dyDescent="0.3">
      <c r="A198" t="s">
        <v>421</v>
      </c>
      <c r="B198" s="6">
        <v>46129</v>
      </c>
      <c r="C198" t="s">
        <v>26</v>
      </c>
      <c r="D198" t="s">
        <v>36</v>
      </c>
      <c r="E198" t="s">
        <v>20</v>
      </c>
      <c r="F198" t="s">
        <v>422</v>
      </c>
      <c r="G198" t="s">
        <v>22</v>
      </c>
      <c r="J198" s="9">
        <v>0</v>
      </c>
      <c r="K198" s="7">
        <v>0</v>
      </c>
      <c r="L198" s="7">
        <v>0</v>
      </c>
      <c r="M198" s="9">
        <v>1</v>
      </c>
      <c r="N198" s="7">
        <v>5.9</v>
      </c>
      <c r="O198" s="7">
        <v>3</v>
      </c>
      <c r="P198" s="7">
        <v>5</v>
      </c>
      <c r="Q198" t="s">
        <v>31</v>
      </c>
      <c r="R198" s="7" t="str">
        <f>TEXT(Table1[[#This Row],[Date]],"mmm yyyy")</f>
        <v>Apr 2026</v>
      </c>
      <c r="S198" s="9">
        <f>YEAR(Table1[[#This Row],[Date]])</f>
        <v>2026</v>
      </c>
      <c r="T198" s="9"/>
      <c r="U198" s="9"/>
    </row>
    <row r="199" spans="1:21" hidden="1" x14ac:dyDescent="0.3">
      <c r="A199" t="s">
        <v>423</v>
      </c>
      <c r="B199" s="6">
        <v>45996</v>
      </c>
      <c r="C199" t="s">
        <v>26</v>
      </c>
      <c r="D199" t="s">
        <v>126</v>
      </c>
      <c r="E199" t="s">
        <v>20</v>
      </c>
      <c r="F199" t="s">
        <v>424</v>
      </c>
      <c r="G199" t="s">
        <v>30</v>
      </c>
      <c r="J199" s="9">
        <v>0</v>
      </c>
      <c r="K199" s="7">
        <v>0</v>
      </c>
      <c r="L199" s="7">
        <v>0</v>
      </c>
      <c r="M199" s="9">
        <v>1</v>
      </c>
      <c r="N199" s="7">
        <v>8.1</v>
      </c>
      <c r="O199" s="7">
        <v>11.3</v>
      </c>
      <c r="P199" s="7">
        <v>3.2</v>
      </c>
      <c r="Q199" t="s">
        <v>225</v>
      </c>
      <c r="R199" s="7" t="str">
        <f>TEXT(Table1[[#This Row],[Date]],"mmm yyyy")</f>
        <v>Dec 2025</v>
      </c>
      <c r="S199" s="9">
        <f>YEAR(Table1[[#This Row],[Date]])</f>
        <v>2025</v>
      </c>
      <c r="T199" s="9"/>
      <c r="U199" s="9"/>
    </row>
    <row r="200" spans="1:21" hidden="1" x14ac:dyDescent="0.3">
      <c r="A200" t="s">
        <v>425</v>
      </c>
      <c r="B200" s="6">
        <v>46080</v>
      </c>
      <c r="C200" t="s">
        <v>26</v>
      </c>
      <c r="D200" t="s">
        <v>36</v>
      </c>
      <c r="E200" t="s">
        <v>48</v>
      </c>
      <c r="F200" t="s">
        <v>426</v>
      </c>
      <c r="G200" t="s">
        <v>22</v>
      </c>
      <c r="J200" s="9">
        <v>0</v>
      </c>
      <c r="K200" s="7">
        <v>0</v>
      </c>
      <c r="L200" s="7">
        <v>0</v>
      </c>
      <c r="M200" s="9">
        <v>1</v>
      </c>
      <c r="N200" s="7">
        <v>0.5</v>
      </c>
      <c r="O200" s="7">
        <v>22.7</v>
      </c>
      <c r="P200" s="7">
        <v>2.5</v>
      </c>
      <c r="Q200" t="s">
        <v>31</v>
      </c>
      <c r="R200" s="7" t="str">
        <f>TEXT(Table1[[#This Row],[Date]],"mmm yyyy")</f>
        <v>Feb 2026</v>
      </c>
      <c r="S200" s="9">
        <f>YEAR(Table1[[#This Row],[Date]])</f>
        <v>2026</v>
      </c>
      <c r="T200" s="9"/>
      <c r="U200" s="9"/>
    </row>
    <row r="201" spans="1:21" hidden="1" x14ac:dyDescent="0.3">
      <c r="A201" t="s">
        <v>427</v>
      </c>
      <c r="B201" s="6">
        <v>45901</v>
      </c>
      <c r="C201" t="s">
        <v>26</v>
      </c>
      <c r="D201" t="s">
        <v>33</v>
      </c>
      <c r="E201" t="s">
        <v>28</v>
      </c>
      <c r="F201" t="s">
        <v>428</v>
      </c>
      <c r="G201" t="s">
        <v>22</v>
      </c>
      <c r="J201" s="9">
        <v>0</v>
      </c>
      <c r="K201" s="7">
        <v>0</v>
      </c>
      <c r="L201" s="7">
        <v>0</v>
      </c>
      <c r="M201" s="9">
        <v>1</v>
      </c>
      <c r="N201" s="7">
        <v>0.7</v>
      </c>
      <c r="O201" s="7">
        <v>9.1999999999999993</v>
      </c>
      <c r="P201" s="7">
        <v>3.7</v>
      </c>
      <c r="Q201" t="s">
        <v>62</v>
      </c>
      <c r="R201" s="7" t="str">
        <f>TEXT(Table1[[#This Row],[Date]],"mmm yyyy")</f>
        <v>Sep 2025</v>
      </c>
      <c r="S201" s="9">
        <f>YEAR(Table1[[#This Row],[Date]])</f>
        <v>2025</v>
      </c>
      <c r="T201" s="9"/>
      <c r="U201" s="9"/>
    </row>
    <row r="202" spans="1:21" hidden="1" x14ac:dyDescent="0.3">
      <c r="A202" t="s">
        <v>429</v>
      </c>
      <c r="B202" s="6">
        <v>45972</v>
      </c>
      <c r="C202" t="s">
        <v>26</v>
      </c>
      <c r="D202" t="s">
        <v>114</v>
      </c>
      <c r="E202" t="s">
        <v>42</v>
      </c>
      <c r="F202" t="s">
        <v>430</v>
      </c>
      <c r="G202" t="s">
        <v>30</v>
      </c>
      <c r="J202" s="9">
        <v>0</v>
      </c>
      <c r="K202" s="7">
        <v>0</v>
      </c>
      <c r="L202" s="7">
        <v>0</v>
      </c>
      <c r="M202" s="9">
        <v>1</v>
      </c>
      <c r="N202" s="7">
        <v>2.5</v>
      </c>
      <c r="O202" s="7">
        <v>4.9000000000000004</v>
      </c>
      <c r="P202" s="7">
        <v>4.2</v>
      </c>
      <c r="Q202" t="s">
        <v>225</v>
      </c>
      <c r="R202" s="7" t="str">
        <f>TEXT(Table1[[#This Row],[Date]],"mmm yyyy")</f>
        <v>Nov 2025</v>
      </c>
      <c r="S202" s="9">
        <f>YEAR(Table1[[#This Row],[Date]])</f>
        <v>2025</v>
      </c>
      <c r="T202" s="9"/>
      <c r="U202" s="9"/>
    </row>
    <row r="203" spans="1:21" x14ac:dyDescent="0.3">
      <c r="A203" t="s">
        <v>431</v>
      </c>
      <c r="B203" s="6">
        <v>46121</v>
      </c>
      <c r="C203" t="s">
        <v>18</v>
      </c>
      <c r="D203" t="s">
        <v>105</v>
      </c>
      <c r="E203" t="s">
        <v>28</v>
      </c>
      <c r="F203" t="s">
        <v>404</v>
      </c>
      <c r="G203" t="s">
        <v>30</v>
      </c>
      <c r="H203" t="s">
        <v>66</v>
      </c>
      <c r="I203" t="s">
        <v>45</v>
      </c>
      <c r="J203" s="9">
        <v>1</v>
      </c>
      <c r="K203" s="7">
        <v>15900</v>
      </c>
      <c r="L203" s="7">
        <v>0</v>
      </c>
      <c r="M203" s="9"/>
      <c r="N203" s="7">
        <v>2.6</v>
      </c>
      <c r="O203" s="7"/>
      <c r="P203" s="7"/>
      <c r="Q203" t="s">
        <v>45</v>
      </c>
      <c r="R203" s="7" t="str">
        <f>TEXT(Table1[[#This Row],[Date]],"mmm yyyy")</f>
        <v>Apr 2026</v>
      </c>
      <c r="S203" s="9">
        <f>YEAR(Table1[[#This Row],[Date]])</f>
        <v>2026</v>
      </c>
      <c r="T203" s="9"/>
      <c r="U203" s="9"/>
    </row>
    <row r="204" spans="1:21" x14ac:dyDescent="0.3">
      <c r="A204" t="s">
        <v>432</v>
      </c>
      <c r="B204" s="6">
        <v>46127</v>
      </c>
      <c r="C204" t="s">
        <v>18</v>
      </c>
      <c r="D204" t="s">
        <v>64</v>
      </c>
      <c r="E204" t="s">
        <v>20</v>
      </c>
      <c r="F204" t="s">
        <v>433</v>
      </c>
      <c r="G204" t="s">
        <v>22</v>
      </c>
      <c r="H204" t="s">
        <v>23</v>
      </c>
      <c r="I204" t="s">
        <v>24</v>
      </c>
      <c r="J204" s="9">
        <v>1</v>
      </c>
      <c r="K204" s="7">
        <v>71200</v>
      </c>
      <c r="L204" s="7">
        <v>71200</v>
      </c>
      <c r="M204" s="9"/>
      <c r="N204" s="7">
        <v>14.5</v>
      </c>
      <c r="O204" s="7"/>
      <c r="P204" s="7"/>
      <c r="Q204" t="s">
        <v>24</v>
      </c>
      <c r="R204" s="7" t="str">
        <f>TEXT(Table1[[#This Row],[Date]],"mmm yyyy")</f>
        <v>Apr 2026</v>
      </c>
      <c r="S204" s="9">
        <f>YEAR(Table1[[#This Row],[Date]])</f>
        <v>2026</v>
      </c>
      <c r="T204" s="9"/>
      <c r="U204" s="9"/>
    </row>
    <row r="205" spans="1:21" hidden="1" x14ac:dyDescent="0.3">
      <c r="A205" t="s">
        <v>434</v>
      </c>
      <c r="B205" s="6">
        <v>45906</v>
      </c>
      <c r="C205" t="s">
        <v>26</v>
      </c>
      <c r="D205" t="s">
        <v>232</v>
      </c>
      <c r="E205" t="s">
        <v>37</v>
      </c>
      <c r="F205" t="s">
        <v>435</v>
      </c>
      <c r="G205" t="s">
        <v>30</v>
      </c>
      <c r="J205" s="9">
        <v>0</v>
      </c>
      <c r="K205" s="7">
        <v>0</v>
      </c>
      <c r="L205" s="7">
        <v>0</v>
      </c>
      <c r="M205" s="9">
        <v>1</v>
      </c>
      <c r="N205" s="7">
        <v>7.2</v>
      </c>
      <c r="O205" s="7">
        <v>7.8</v>
      </c>
      <c r="P205" s="7">
        <v>2.5</v>
      </c>
      <c r="Q205" t="s">
        <v>31</v>
      </c>
      <c r="R205" s="7" t="str">
        <f>TEXT(Table1[[#This Row],[Date]],"mmm yyyy")</f>
        <v>Sep 2025</v>
      </c>
      <c r="S205" s="9">
        <f>YEAR(Table1[[#This Row],[Date]])</f>
        <v>2025</v>
      </c>
      <c r="T205" s="9"/>
      <c r="U205" s="9"/>
    </row>
    <row r="206" spans="1:21" hidden="1" x14ac:dyDescent="0.3">
      <c r="A206" t="s">
        <v>436</v>
      </c>
      <c r="B206" s="6">
        <v>46064</v>
      </c>
      <c r="C206" t="s">
        <v>26</v>
      </c>
      <c r="D206" t="s">
        <v>232</v>
      </c>
      <c r="E206" t="s">
        <v>42</v>
      </c>
      <c r="F206" t="s">
        <v>417</v>
      </c>
      <c r="G206" t="s">
        <v>44</v>
      </c>
      <c r="J206" s="9">
        <v>0</v>
      </c>
      <c r="K206" s="7">
        <v>0</v>
      </c>
      <c r="L206" s="7">
        <v>0</v>
      </c>
      <c r="M206" s="9">
        <v>1</v>
      </c>
      <c r="N206" s="7">
        <v>8.5</v>
      </c>
      <c r="O206" s="7">
        <v>3.2</v>
      </c>
      <c r="P206" s="7">
        <v>3.3</v>
      </c>
      <c r="Q206" t="s">
        <v>39</v>
      </c>
      <c r="R206" s="7" t="str">
        <f>TEXT(Table1[[#This Row],[Date]],"mmm yyyy")</f>
        <v>Feb 2026</v>
      </c>
      <c r="S206" s="9">
        <f>YEAR(Table1[[#This Row],[Date]])</f>
        <v>2026</v>
      </c>
      <c r="T206" s="9"/>
      <c r="U206" s="9"/>
    </row>
    <row r="207" spans="1:21" x14ac:dyDescent="0.3">
      <c r="A207" t="s">
        <v>437</v>
      </c>
      <c r="B207" s="6">
        <v>46184</v>
      </c>
      <c r="C207" t="s">
        <v>18</v>
      </c>
      <c r="D207" t="s">
        <v>47</v>
      </c>
      <c r="E207" t="s">
        <v>20</v>
      </c>
      <c r="F207" t="s">
        <v>438</v>
      </c>
      <c r="G207" t="s">
        <v>50</v>
      </c>
      <c r="H207" t="s">
        <v>86</v>
      </c>
      <c r="I207" t="s">
        <v>89</v>
      </c>
      <c r="J207" s="9">
        <v>1</v>
      </c>
      <c r="K207" s="7">
        <v>35600</v>
      </c>
      <c r="L207" s="7">
        <v>0</v>
      </c>
      <c r="M207" s="9"/>
      <c r="N207" s="7">
        <v>2</v>
      </c>
      <c r="O207" s="7"/>
      <c r="P207" s="7"/>
      <c r="Q207" t="s">
        <v>89</v>
      </c>
      <c r="R207" s="7" t="str">
        <f>TEXT(Table1[[#This Row],[Date]],"mmm yyyy")</f>
        <v>Jun 2026</v>
      </c>
      <c r="S207" s="9">
        <f>YEAR(Table1[[#This Row],[Date]])</f>
        <v>2026</v>
      </c>
      <c r="T207" s="9"/>
      <c r="U207" s="9"/>
    </row>
    <row r="208" spans="1:21" x14ac:dyDescent="0.3">
      <c r="A208" t="s">
        <v>439</v>
      </c>
      <c r="B208" s="6">
        <v>46037</v>
      </c>
      <c r="C208" t="s">
        <v>18</v>
      </c>
      <c r="D208" t="s">
        <v>95</v>
      </c>
      <c r="E208" t="s">
        <v>20</v>
      </c>
      <c r="F208" t="s">
        <v>440</v>
      </c>
      <c r="G208" t="s">
        <v>22</v>
      </c>
      <c r="H208" t="s">
        <v>23</v>
      </c>
      <c r="I208" t="s">
        <v>45</v>
      </c>
      <c r="J208" s="9">
        <v>1</v>
      </c>
      <c r="K208" s="7">
        <v>19100</v>
      </c>
      <c r="L208" s="7">
        <v>0</v>
      </c>
      <c r="M208" s="9"/>
      <c r="N208" s="7">
        <v>22</v>
      </c>
      <c r="O208" s="7"/>
      <c r="P208" s="7"/>
      <c r="Q208" t="s">
        <v>45</v>
      </c>
      <c r="R208" s="7" t="str">
        <f>TEXT(Table1[[#This Row],[Date]],"mmm yyyy")</f>
        <v>Jan 2026</v>
      </c>
      <c r="S208" s="9">
        <f>YEAR(Table1[[#This Row],[Date]])</f>
        <v>2026</v>
      </c>
      <c r="T208" s="9"/>
      <c r="U208" s="9"/>
    </row>
    <row r="209" spans="1:21" hidden="1" x14ac:dyDescent="0.3">
      <c r="A209" t="s">
        <v>441</v>
      </c>
      <c r="B209" s="6">
        <v>45967</v>
      </c>
      <c r="C209" t="s">
        <v>26</v>
      </c>
      <c r="D209" t="s">
        <v>126</v>
      </c>
      <c r="E209" t="s">
        <v>20</v>
      </c>
      <c r="F209" t="s">
        <v>442</v>
      </c>
      <c r="G209" t="s">
        <v>44</v>
      </c>
      <c r="J209" s="9">
        <v>0</v>
      </c>
      <c r="K209" s="7">
        <v>0</v>
      </c>
      <c r="L209" s="7">
        <v>0</v>
      </c>
      <c r="M209" s="9">
        <v>1</v>
      </c>
      <c r="N209" s="7">
        <v>9</v>
      </c>
      <c r="O209" s="7">
        <v>19.899999999999999</v>
      </c>
      <c r="P209" s="7">
        <v>4.5</v>
      </c>
      <c r="Q209" t="s">
        <v>31</v>
      </c>
      <c r="R209" s="7" t="str">
        <f>TEXT(Table1[[#This Row],[Date]],"mmm yyyy")</f>
        <v>Nov 2025</v>
      </c>
      <c r="S209" s="9">
        <f>YEAR(Table1[[#This Row],[Date]])</f>
        <v>2025</v>
      </c>
      <c r="T209" s="9"/>
      <c r="U209" s="9"/>
    </row>
    <row r="210" spans="1:21" x14ac:dyDescent="0.3">
      <c r="A210" t="s">
        <v>443</v>
      </c>
      <c r="B210" s="6">
        <v>45905</v>
      </c>
      <c r="C210" t="s">
        <v>18</v>
      </c>
      <c r="D210" t="s">
        <v>47</v>
      </c>
      <c r="E210" t="s">
        <v>20</v>
      </c>
      <c r="F210" t="s">
        <v>288</v>
      </c>
      <c r="G210" t="s">
        <v>30</v>
      </c>
      <c r="H210" t="s">
        <v>86</v>
      </c>
      <c r="I210" t="s">
        <v>79</v>
      </c>
      <c r="J210" s="9">
        <v>1</v>
      </c>
      <c r="K210" s="7">
        <v>41300</v>
      </c>
      <c r="L210" s="7">
        <v>0</v>
      </c>
      <c r="M210" s="9"/>
      <c r="N210" s="7">
        <v>20.6</v>
      </c>
      <c r="O210" s="7"/>
      <c r="P210" s="7"/>
      <c r="Q210" t="s">
        <v>79</v>
      </c>
      <c r="R210" s="7" t="str">
        <f>TEXT(Table1[[#This Row],[Date]],"mmm yyyy")</f>
        <v>Sep 2025</v>
      </c>
      <c r="S210" s="9">
        <f>YEAR(Table1[[#This Row],[Date]])</f>
        <v>2025</v>
      </c>
      <c r="T210" s="9"/>
      <c r="U210" s="9"/>
    </row>
    <row r="211" spans="1:21" x14ac:dyDescent="0.3">
      <c r="A211" t="s">
        <v>444</v>
      </c>
      <c r="B211" s="6">
        <v>46240</v>
      </c>
      <c r="C211" t="s">
        <v>18</v>
      </c>
      <c r="D211" t="s">
        <v>105</v>
      </c>
      <c r="E211" t="s">
        <v>28</v>
      </c>
      <c r="F211" t="s">
        <v>445</v>
      </c>
      <c r="G211" t="s">
        <v>22</v>
      </c>
      <c r="H211" t="s">
        <v>23</v>
      </c>
      <c r="I211" t="s">
        <v>45</v>
      </c>
      <c r="J211" s="9">
        <v>1</v>
      </c>
      <c r="K211" s="7">
        <v>10700</v>
      </c>
      <c r="L211" s="7">
        <v>0</v>
      </c>
      <c r="M211" s="9"/>
      <c r="N211" s="7">
        <v>17.600000000000001</v>
      </c>
      <c r="O211" s="7"/>
      <c r="P211" s="7"/>
      <c r="Q211" t="s">
        <v>45</v>
      </c>
      <c r="R211" s="7" t="str">
        <f>TEXT(Table1[[#This Row],[Date]],"mmm yyyy")</f>
        <v>Aug 2026</v>
      </c>
      <c r="S211" s="9">
        <f>YEAR(Table1[[#This Row],[Date]])</f>
        <v>2026</v>
      </c>
      <c r="T211" s="9"/>
      <c r="U211" s="9"/>
    </row>
    <row r="212" spans="1:21" x14ac:dyDescent="0.3">
      <c r="A212" t="s">
        <v>446</v>
      </c>
      <c r="B212" s="6">
        <v>46049</v>
      </c>
      <c r="C212" t="s">
        <v>18</v>
      </c>
      <c r="D212" t="s">
        <v>95</v>
      </c>
      <c r="E212" t="s">
        <v>20</v>
      </c>
      <c r="F212" t="s">
        <v>447</v>
      </c>
      <c r="G212" t="s">
        <v>44</v>
      </c>
      <c r="H212" t="s">
        <v>23</v>
      </c>
      <c r="I212" t="s">
        <v>67</v>
      </c>
      <c r="J212" s="9">
        <v>1</v>
      </c>
      <c r="K212" s="7">
        <v>21000</v>
      </c>
      <c r="L212" s="7">
        <v>0</v>
      </c>
      <c r="M212" s="9"/>
      <c r="N212" s="7">
        <v>7.5</v>
      </c>
      <c r="O212" s="7"/>
      <c r="P212" s="7"/>
      <c r="Q212" t="s">
        <v>67</v>
      </c>
      <c r="R212" s="7" t="str">
        <f>TEXT(Table1[[#This Row],[Date]],"mmm yyyy")</f>
        <v>Jan 2026</v>
      </c>
      <c r="S212" s="9">
        <f>YEAR(Table1[[#This Row],[Date]])</f>
        <v>2026</v>
      </c>
      <c r="T212" s="9"/>
      <c r="U212" s="9"/>
    </row>
    <row r="213" spans="1:21" hidden="1" x14ac:dyDescent="0.3">
      <c r="A213" t="s">
        <v>448</v>
      </c>
      <c r="B213" s="6">
        <v>46202</v>
      </c>
      <c r="C213" t="s">
        <v>26</v>
      </c>
      <c r="D213" t="s">
        <v>114</v>
      </c>
      <c r="E213" t="s">
        <v>37</v>
      </c>
      <c r="F213" t="s">
        <v>449</v>
      </c>
      <c r="G213" t="s">
        <v>22</v>
      </c>
      <c r="J213" s="9">
        <v>0</v>
      </c>
      <c r="K213" s="7">
        <v>0</v>
      </c>
      <c r="L213" s="7">
        <v>0</v>
      </c>
      <c r="M213" s="9">
        <v>1</v>
      </c>
      <c r="N213" s="7">
        <v>2.7</v>
      </c>
      <c r="O213" s="7">
        <v>7.6</v>
      </c>
      <c r="P213" s="7">
        <v>2.7</v>
      </c>
      <c r="Q213" t="s">
        <v>39</v>
      </c>
      <c r="R213" s="7" t="str">
        <f>TEXT(Table1[[#This Row],[Date]],"mmm yyyy")</f>
        <v>Jun 2026</v>
      </c>
      <c r="S213" s="9">
        <f>YEAR(Table1[[#This Row],[Date]])</f>
        <v>2026</v>
      </c>
      <c r="T213" s="9"/>
      <c r="U213" s="9"/>
    </row>
    <row r="214" spans="1:21" hidden="1" x14ac:dyDescent="0.3">
      <c r="A214" t="s">
        <v>450</v>
      </c>
      <c r="B214" s="6">
        <v>46127</v>
      </c>
      <c r="C214" t="s">
        <v>26</v>
      </c>
      <c r="D214" t="s">
        <v>33</v>
      </c>
      <c r="E214" t="s">
        <v>48</v>
      </c>
      <c r="F214" t="s">
        <v>451</v>
      </c>
      <c r="G214" t="s">
        <v>50</v>
      </c>
      <c r="J214" s="9">
        <v>0</v>
      </c>
      <c r="K214" s="7">
        <v>0</v>
      </c>
      <c r="L214" s="7">
        <v>0</v>
      </c>
      <c r="M214" s="9">
        <v>1</v>
      </c>
      <c r="N214" s="7">
        <v>4.9000000000000004</v>
      </c>
      <c r="O214" s="7">
        <v>10</v>
      </c>
      <c r="P214" s="7">
        <v>3.9</v>
      </c>
      <c r="Q214" t="s">
        <v>39</v>
      </c>
      <c r="R214" s="7" t="str">
        <f>TEXT(Table1[[#This Row],[Date]],"mmm yyyy")</f>
        <v>Apr 2026</v>
      </c>
      <c r="S214" s="9">
        <f>YEAR(Table1[[#This Row],[Date]])</f>
        <v>2026</v>
      </c>
      <c r="T214" s="9"/>
      <c r="U214" s="9"/>
    </row>
    <row r="215" spans="1:21" x14ac:dyDescent="0.3">
      <c r="A215" t="s">
        <v>452</v>
      </c>
      <c r="B215" s="6">
        <v>46137</v>
      </c>
      <c r="C215" t="s">
        <v>18</v>
      </c>
      <c r="D215" t="s">
        <v>47</v>
      </c>
      <c r="E215" t="s">
        <v>20</v>
      </c>
      <c r="F215" t="s">
        <v>453</v>
      </c>
      <c r="G215" t="s">
        <v>30</v>
      </c>
      <c r="H215" t="s">
        <v>23</v>
      </c>
      <c r="I215" t="s">
        <v>89</v>
      </c>
      <c r="J215" s="9">
        <v>1</v>
      </c>
      <c r="K215" s="7">
        <v>32200</v>
      </c>
      <c r="L215" s="7">
        <v>0</v>
      </c>
      <c r="M215" s="9"/>
      <c r="N215" s="7">
        <v>21.5</v>
      </c>
      <c r="O215" s="7"/>
      <c r="P215" s="7"/>
      <c r="Q215" t="s">
        <v>89</v>
      </c>
      <c r="R215" s="7" t="str">
        <f>TEXT(Table1[[#This Row],[Date]],"mmm yyyy")</f>
        <v>Apr 2026</v>
      </c>
      <c r="S215" s="9">
        <f>YEAR(Table1[[#This Row],[Date]])</f>
        <v>2026</v>
      </c>
      <c r="T215" s="9"/>
      <c r="U215" s="9"/>
    </row>
    <row r="216" spans="1:21" hidden="1" x14ac:dyDescent="0.3">
      <c r="A216" t="s">
        <v>454</v>
      </c>
      <c r="B216" s="6">
        <v>45902</v>
      </c>
      <c r="C216" t="s">
        <v>26</v>
      </c>
      <c r="D216" t="s">
        <v>69</v>
      </c>
      <c r="E216" t="s">
        <v>37</v>
      </c>
      <c r="F216" t="s">
        <v>230</v>
      </c>
      <c r="G216" t="s">
        <v>44</v>
      </c>
      <c r="J216" s="9">
        <v>0</v>
      </c>
      <c r="K216" s="7">
        <v>0</v>
      </c>
      <c r="L216" s="7">
        <v>0</v>
      </c>
      <c r="M216" s="9">
        <v>1</v>
      </c>
      <c r="N216" s="7">
        <v>6.4</v>
      </c>
      <c r="O216" s="7">
        <v>10.8</v>
      </c>
      <c r="P216" s="7">
        <v>2.8</v>
      </c>
      <c r="Q216" t="s">
        <v>31</v>
      </c>
      <c r="R216" s="7" t="str">
        <f>TEXT(Table1[[#This Row],[Date]],"mmm yyyy")</f>
        <v>Sep 2025</v>
      </c>
      <c r="S216" s="9">
        <f>YEAR(Table1[[#This Row],[Date]])</f>
        <v>2025</v>
      </c>
      <c r="T216" s="9"/>
      <c r="U216" s="9"/>
    </row>
    <row r="217" spans="1:21" x14ac:dyDescent="0.3">
      <c r="A217" t="s">
        <v>455</v>
      </c>
      <c r="B217" s="6">
        <v>46120</v>
      </c>
      <c r="C217" t="s">
        <v>18</v>
      </c>
      <c r="D217" t="s">
        <v>105</v>
      </c>
      <c r="E217" t="s">
        <v>42</v>
      </c>
      <c r="F217" t="s">
        <v>456</v>
      </c>
      <c r="G217" t="s">
        <v>30</v>
      </c>
      <c r="H217" t="s">
        <v>66</v>
      </c>
      <c r="I217" t="s">
        <v>45</v>
      </c>
      <c r="J217" s="9">
        <v>1</v>
      </c>
      <c r="K217" s="7">
        <v>16200</v>
      </c>
      <c r="L217" s="7">
        <v>0</v>
      </c>
      <c r="M217" s="9"/>
      <c r="N217" s="7">
        <v>5.8</v>
      </c>
      <c r="O217" s="7"/>
      <c r="P217" s="7"/>
      <c r="Q217" t="s">
        <v>45</v>
      </c>
      <c r="R217" s="7" t="str">
        <f>TEXT(Table1[[#This Row],[Date]],"mmm yyyy")</f>
        <v>Apr 2026</v>
      </c>
      <c r="S217" s="9">
        <f>YEAR(Table1[[#This Row],[Date]])</f>
        <v>2026</v>
      </c>
      <c r="T217" s="9"/>
      <c r="U217" s="9"/>
    </row>
    <row r="218" spans="1:21" x14ac:dyDescent="0.3">
      <c r="A218" t="s">
        <v>457</v>
      </c>
      <c r="B218" s="6">
        <v>46011</v>
      </c>
      <c r="C218" t="s">
        <v>18</v>
      </c>
      <c r="D218" t="s">
        <v>52</v>
      </c>
      <c r="E218" t="s">
        <v>48</v>
      </c>
      <c r="F218" t="s">
        <v>458</v>
      </c>
      <c r="G218" t="s">
        <v>44</v>
      </c>
      <c r="H218" t="s">
        <v>78</v>
      </c>
      <c r="I218" t="s">
        <v>24</v>
      </c>
      <c r="J218" s="9">
        <v>1</v>
      </c>
      <c r="K218" s="7">
        <v>90700</v>
      </c>
      <c r="L218" s="7">
        <v>90700</v>
      </c>
      <c r="M218" s="9"/>
      <c r="N218" s="7">
        <v>11.7</v>
      </c>
      <c r="O218" s="7"/>
      <c r="P218" s="7"/>
      <c r="Q218" t="s">
        <v>24</v>
      </c>
      <c r="R218" s="7" t="str">
        <f>TEXT(Table1[[#This Row],[Date]],"mmm yyyy")</f>
        <v>Dec 2025</v>
      </c>
      <c r="S218" s="9">
        <f>YEAR(Table1[[#This Row],[Date]])</f>
        <v>2025</v>
      </c>
      <c r="T218" s="9"/>
      <c r="U218" s="9"/>
    </row>
    <row r="219" spans="1:21" hidden="1" x14ac:dyDescent="0.3">
      <c r="A219" t="s">
        <v>459</v>
      </c>
      <c r="B219" s="6">
        <v>46108</v>
      </c>
      <c r="C219" t="s">
        <v>26</v>
      </c>
      <c r="D219" t="s">
        <v>114</v>
      </c>
      <c r="E219" t="s">
        <v>20</v>
      </c>
      <c r="F219" t="s">
        <v>218</v>
      </c>
      <c r="G219" t="s">
        <v>22</v>
      </c>
      <c r="J219" s="9">
        <v>0</v>
      </c>
      <c r="K219" s="7">
        <v>0</v>
      </c>
      <c r="L219" s="7">
        <v>0</v>
      </c>
      <c r="M219" s="9">
        <v>1</v>
      </c>
      <c r="N219" s="7">
        <v>2.6</v>
      </c>
      <c r="O219" s="7">
        <v>4.2</v>
      </c>
      <c r="P219" s="7">
        <v>4</v>
      </c>
      <c r="Q219" t="s">
        <v>39</v>
      </c>
      <c r="R219" s="7" t="str">
        <f>TEXT(Table1[[#This Row],[Date]],"mmm yyyy")</f>
        <v>Mar 2026</v>
      </c>
      <c r="S219" s="9">
        <f>YEAR(Table1[[#This Row],[Date]])</f>
        <v>2026</v>
      </c>
      <c r="T219" s="9"/>
      <c r="U219" s="9"/>
    </row>
    <row r="220" spans="1:21" hidden="1" x14ac:dyDescent="0.3">
      <c r="A220" t="s">
        <v>460</v>
      </c>
      <c r="B220" s="6">
        <v>46162</v>
      </c>
      <c r="C220" t="s">
        <v>26</v>
      </c>
      <c r="D220" t="s">
        <v>72</v>
      </c>
      <c r="E220" t="s">
        <v>48</v>
      </c>
      <c r="F220" t="s">
        <v>461</v>
      </c>
      <c r="G220" t="s">
        <v>22</v>
      </c>
      <c r="J220" s="9">
        <v>0</v>
      </c>
      <c r="K220" s="7">
        <v>0</v>
      </c>
      <c r="L220" s="7">
        <v>0</v>
      </c>
      <c r="M220" s="9">
        <v>1</v>
      </c>
      <c r="N220" s="7">
        <v>7</v>
      </c>
      <c r="O220" s="7">
        <v>11.6</v>
      </c>
      <c r="P220" s="7">
        <v>4.7</v>
      </c>
      <c r="Q220" t="s">
        <v>39</v>
      </c>
      <c r="R220" s="7" t="str">
        <f>TEXT(Table1[[#This Row],[Date]],"mmm yyyy")</f>
        <v>May 2026</v>
      </c>
      <c r="S220" s="9">
        <f>YEAR(Table1[[#This Row],[Date]])</f>
        <v>2026</v>
      </c>
      <c r="T220" s="9"/>
      <c r="U220" s="9"/>
    </row>
    <row r="221" spans="1:21" hidden="1" x14ac:dyDescent="0.3">
      <c r="A221" t="s">
        <v>462</v>
      </c>
      <c r="B221" s="6">
        <v>46063</v>
      </c>
      <c r="C221" t="s">
        <v>26</v>
      </c>
      <c r="D221" t="s">
        <v>114</v>
      </c>
      <c r="E221" t="s">
        <v>20</v>
      </c>
      <c r="F221" t="s">
        <v>463</v>
      </c>
      <c r="G221" t="s">
        <v>30</v>
      </c>
      <c r="J221" s="9">
        <v>0</v>
      </c>
      <c r="K221" s="7">
        <v>0</v>
      </c>
      <c r="L221" s="7">
        <v>0</v>
      </c>
      <c r="M221" s="9">
        <v>1</v>
      </c>
      <c r="N221" s="7">
        <v>7.3</v>
      </c>
      <c r="O221" s="7">
        <v>9.6</v>
      </c>
      <c r="P221" s="7">
        <v>4</v>
      </c>
      <c r="Q221" t="s">
        <v>39</v>
      </c>
      <c r="R221" s="7" t="str">
        <f>TEXT(Table1[[#This Row],[Date]],"mmm yyyy")</f>
        <v>Feb 2026</v>
      </c>
      <c r="S221" s="9">
        <f>YEAR(Table1[[#This Row],[Date]])</f>
        <v>2026</v>
      </c>
      <c r="T221" s="9"/>
      <c r="U221" s="9"/>
    </row>
    <row r="222" spans="1:21" hidden="1" x14ac:dyDescent="0.3">
      <c r="A222" t="s">
        <v>464</v>
      </c>
      <c r="B222" s="6">
        <v>45959</v>
      </c>
      <c r="C222" t="s">
        <v>26</v>
      </c>
      <c r="D222" t="s">
        <v>27</v>
      </c>
      <c r="E222" t="s">
        <v>37</v>
      </c>
      <c r="F222" t="s">
        <v>465</v>
      </c>
      <c r="G222" t="s">
        <v>30</v>
      </c>
      <c r="J222" s="9">
        <v>0</v>
      </c>
      <c r="K222" s="7">
        <v>0</v>
      </c>
      <c r="L222" s="7">
        <v>0</v>
      </c>
      <c r="M222" s="9">
        <v>1</v>
      </c>
      <c r="N222" s="7">
        <v>8.6</v>
      </c>
      <c r="O222" s="7">
        <v>4.7</v>
      </c>
      <c r="P222" s="7">
        <v>4</v>
      </c>
      <c r="Q222" t="s">
        <v>39</v>
      </c>
      <c r="R222" s="7" t="str">
        <f>TEXT(Table1[[#This Row],[Date]],"mmm yyyy")</f>
        <v>Oct 2025</v>
      </c>
      <c r="S222" s="9">
        <f>YEAR(Table1[[#This Row],[Date]])</f>
        <v>2025</v>
      </c>
      <c r="T222" s="9"/>
      <c r="U222" s="9"/>
    </row>
    <row r="223" spans="1:21" hidden="1" x14ac:dyDescent="0.3">
      <c r="A223" t="s">
        <v>466</v>
      </c>
      <c r="B223" s="6">
        <v>45919</v>
      </c>
      <c r="C223" t="s">
        <v>26</v>
      </c>
      <c r="D223" t="s">
        <v>114</v>
      </c>
      <c r="E223" t="s">
        <v>28</v>
      </c>
      <c r="F223" t="s">
        <v>467</v>
      </c>
      <c r="G223" t="s">
        <v>30</v>
      </c>
      <c r="J223" s="9">
        <v>0</v>
      </c>
      <c r="K223" s="7">
        <v>0</v>
      </c>
      <c r="L223" s="7">
        <v>0</v>
      </c>
      <c r="M223" s="9">
        <v>1</v>
      </c>
      <c r="N223" s="7">
        <v>2.9</v>
      </c>
      <c r="O223" s="7">
        <v>8.1999999999999993</v>
      </c>
      <c r="P223" s="7">
        <v>4.4000000000000004</v>
      </c>
      <c r="Q223" t="s">
        <v>39</v>
      </c>
      <c r="R223" s="7" t="str">
        <f>TEXT(Table1[[#This Row],[Date]],"mmm yyyy")</f>
        <v>Sep 2025</v>
      </c>
      <c r="S223" s="9">
        <f>YEAR(Table1[[#This Row],[Date]])</f>
        <v>2025</v>
      </c>
      <c r="T223" s="9"/>
      <c r="U223" s="9"/>
    </row>
    <row r="224" spans="1:21" x14ac:dyDescent="0.3">
      <c r="A224" t="s">
        <v>468</v>
      </c>
      <c r="B224" s="6">
        <v>46217</v>
      </c>
      <c r="C224" t="s">
        <v>18</v>
      </c>
      <c r="D224" t="s">
        <v>64</v>
      </c>
      <c r="E224" t="s">
        <v>20</v>
      </c>
      <c r="F224" t="s">
        <v>469</v>
      </c>
      <c r="G224" t="s">
        <v>30</v>
      </c>
      <c r="H224" t="s">
        <v>66</v>
      </c>
      <c r="I224" t="s">
        <v>24</v>
      </c>
      <c r="J224" s="9">
        <v>1</v>
      </c>
      <c r="K224" s="7">
        <v>126700</v>
      </c>
      <c r="L224" s="7">
        <v>126700</v>
      </c>
      <c r="M224" s="9"/>
      <c r="N224" s="7">
        <v>7</v>
      </c>
      <c r="O224" s="7"/>
      <c r="P224" s="7"/>
      <c r="Q224" t="s">
        <v>24</v>
      </c>
      <c r="R224" s="7" t="str">
        <f>TEXT(Table1[[#This Row],[Date]],"mmm yyyy")</f>
        <v>Jul 2026</v>
      </c>
      <c r="S224" s="9">
        <f>YEAR(Table1[[#This Row],[Date]])</f>
        <v>2026</v>
      </c>
      <c r="T224" s="9"/>
      <c r="U224" s="9"/>
    </row>
    <row r="225" spans="1:21" x14ac:dyDescent="0.3">
      <c r="A225" t="s">
        <v>470</v>
      </c>
      <c r="B225" s="6">
        <v>46139</v>
      </c>
      <c r="C225" t="s">
        <v>18</v>
      </c>
      <c r="D225" t="s">
        <v>47</v>
      </c>
      <c r="E225" t="s">
        <v>20</v>
      </c>
      <c r="F225" t="s">
        <v>471</v>
      </c>
      <c r="G225" t="s">
        <v>22</v>
      </c>
      <c r="H225" t="s">
        <v>86</v>
      </c>
      <c r="I225" t="s">
        <v>45</v>
      </c>
      <c r="J225" s="9">
        <v>1</v>
      </c>
      <c r="K225" s="7">
        <v>95500</v>
      </c>
      <c r="L225" s="7">
        <v>0</v>
      </c>
      <c r="M225" s="9"/>
      <c r="N225" s="7">
        <v>4.5</v>
      </c>
      <c r="O225" s="7"/>
      <c r="P225" s="7"/>
      <c r="Q225" t="s">
        <v>45</v>
      </c>
      <c r="R225" s="7" t="str">
        <f>TEXT(Table1[[#This Row],[Date]],"mmm yyyy")</f>
        <v>Apr 2026</v>
      </c>
      <c r="S225" s="9">
        <f>YEAR(Table1[[#This Row],[Date]])</f>
        <v>2026</v>
      </c>
      <c r="T225" s="9"/>
      <c r="U225" s="9"/>
    </row>
    <row r="226" spans="1:21" x14ac:dyDescent="0.3">
      <c r="A226" t="s">
        <v>472</v>
      </c>
      <c r="B226" s="6">
        <v>46137</v>
      </c>
      <c r="C226" t="s">
        <v>18</v>
      </c>
      <c r="D226" t="s">
        <v>47</v>
      </c>
      <c r="E226" t="s">
        <v>37</v>
      </c>
      <c r="F226" t="s">
        <v>473</v>
      </c>
      <c r="G226" t="s">
        <v>22</v>
      </c>
      <c r="H226" t="s">
        <v>66</v>
      </c>
      <c r="I226" t="s">
        <v>45</v>
      </c>
      <c r="J226" s="9">
        <v>1</v>
      </c>
      <c r="K226" s="7">
        <v>5000</v>
      </c>
      <c r="L226" s="7">
        <v>0</v>
      </c>
      <c r="M226" s="9"/>
      <c r="N226" s="7">
        <v>7.9</v>
      </c>
      <c r="O226" s="7"/>
      <c r="P226" s="7"/>
      <c r="Q226" t="s">
        <v>45</v>
      </c>
      <c r="R226" s="7" t="str">
        <f>TEXT(Table1[[#This Row],[Date]],"mmm yyyy")</f>
        <v>Apr 2026</v>
      </c>
      <c r="S226" s="9">
        <f>YEAR(Table1[[#This Row],[Date]])</f>
        <v>2026</v>
      </c>
      <c r="T226" s="9"/>
      <c r="U226" s="9"/>
    </row>
    <row r="227" spans="1:21" x14ac:dyDescent="0.3">
      <c r="A227" t="s">
        <v>474</v>
      </c>
      <c r="B227" s="6">
        <v>46186</v>
      </c>
      <c r="C227" t="s">
        <v>18</v>
      </c>
      <c r="D227" t="s">
        <v>52</v>
      </c>
      <c r="E227" t="s">
        <v>28</v>
      </c>
      <c r="F227" t="s">
        <v>136</v>
      </c>
      <c r="G227" t="s">
        <v>30</v>
      </c>
      <c r="H227" t="s">
        <v>54</v>
      </c>
      <c r="I227" t="s">
        <v>24</v>
      </c>
      <c r="J227" s="9">
        <v>1</v>
      </c>
      <c r="K227" s="7">
        <v>13400</v>
      </c>
      <c r="L227" s="7">
        <v>13400</v>
      </c>
      <c r="M227" s="9"/>
      <c r="N227" s="7">
        <v>19.899999999999999</v>
      </c>
      <c r="O227" s="7"/>
      <c r="P227" s="7"/>
      <c r="Q227" t="s">
        <v>24</v>
      </c>
      <c r="R227" s="7" t="str">
        <f>TEXT(Table1[[#This Row],[Date]],"mmm yyyy")</f>
        <v>Jun 2026</v>
      </c>
      <c r="S227" s="9">
        <f>YEAR(Table1[[#This Row],[Date]])</f>
        <v>2026</v>
      </c>
      <c r="T227" s="9"/>
      <c r="U227" s="9"/>
    </row>
    <row r="228" spans="1:21" hidden="1" x14ac:dyDescent="0.3">
      <c r="A228" t="s">
        <v>475</v>
      </c>
      <c r="B228" s="6">
        <v>46073</v>
      </c>
      <c r="C228" t="s">
        <v>26</v>
      </c>
      <c r="D228" t="s">
        <v>126</v>
      </c>
      <c r="E228" t="s">
        <v>37</v>
      </c>
      <c r="F228" t="s">
        <v>476</v>
      </c>
      <c r="G228" t="s">
        <v>50</v>
      </c>
      <c r="J228" s="9">
        <v>0</v>
      </c>
      <c r="K228" s="7">
        <v>0</v>
      </c>
      <c r="L228" s="7">
        <v>0</v>
      </c>
      <c r="M228" s="9">
        <v>1</v>
      </c>
      <c r="N228" s="7">
        <v>2.9</v>
      </c>
      <c r="O228" s="7">
        <v>5.8</v>
      </c>
      <c r="P228" s="7">
        <v>4.3</v>
      </c>
      <c r="Q228" t="s">
        <v>62</v>
      </c>
      <c r="R228" s="7" t="str">
        <f>TEXT(Table1[[#This Row],[Date]],"mmm yyyy")</f>
        <v>Feb 2026</v>
      </c>
      <c r="S228" s="9">
        <f>YEAR(Table1[[#This Row],[Date]])</f>
        <v>2026</v>
      </c>
      <c r="T228" s="9"/>
      <c r="U228" s="9"/>
    </row>
    <row r="229" spans="1:21" x14ac:dyDescent="0.3">
      <c r="A229" t="s">
        <v>477</v>
      </c>
      <c r="B229" s="6">
        <v>46006</v>
      </c>
      <c r="C229" t="s">
        <v>18</v>
      </c>
      <c r="D229" t="s">
        <v>52</v>
      </c>
      <c r="E229" t="s">
        <v>28</v>
      </c>
      <c r="F229" t="s">
        <v>404</v>
      </c>
      <c r="G229" t="s">
        <v>22</v>
      </c>
      <c r="H229" t="s">
        <v>78</v>
      </c>
      <c r="I229" t="s">
        <v>67</v>
      </c>
      <c r="J229" s="9">
        <v>1</v>
      </c>
      <c r="K229" s="7">
        <v>18600</v>
      </c>
      <c r="L229" s="7">
        <v>0</v>
      </c>
      <c r="M229" s="9"/>
      <c r="N229" s="7">
        <v>6.9</v>
      </c>
      <c r="O229" s="7"/>
      <c r="P229" s="7"/>
      <c r="Q229" t="s">
        <v>67</v>
      </c>
      <c r="R229" s="7" t="str">
        <f>TEXT(Table1[[#This Row],[Date]],"mmm yyyy")</f>
        <v>Dec 2025</v>
      </c>
      <c r="S229" s="9">
        <f>YEAR(Table1[[#This Row],[Date]])</f>
        <v>2025</v>
      </c>
      <c r="T229" s="9"/>
      <c r="U229" s="9"/>
    </row>
    <row r="230" spans="1:21" hidden="1" x14ac:dyDescent="0.3">
      <c r="A230" t="s">
        <v>478</v>
      </c>
      <c r="B230" s="6">
        <v>46039</v>
      </c>
      <c r="C230" t="s">
        <v>26</v>
      </c>
      <c r="D230" t="s">
        <v>27</v>
      </c>
      <c r="E230" t="s">
        <v>37</v>
      </c>
      <c r="F230" t="s">
        <v>479</v>
      </c>
      <c r="G230" t="s">
        <v>22</v>
      </c>
      <c r="J230" s="9">
        <v>0</v>
      </c>
      <c r="K230" s="7">
        <v>0</v>
      </c>
      <c r="L230" s="7">
        <v>0</v>
      </c>
      <c r="M230" s="9">
        <v>1</v>
      </c>
      <c r="N230" s="7">
        <v>2.9</v>
      </c>
      <c r="O230" s="7">
        <v>9.9</v>
      </c>
      <c r="P230" s="7">
        <v>4</v>
      </c>
      <c r="Q230" t="s">
        <v>31</v>
      </c>
      <c r="R230" s="7" t="str">
        <f>TEXT(Table1[[#This Row],[Date]],"mmm yyyy")</f>
        <v>Jan 2026</v>
      </c>
      <c r="S230" s="9">
        <f>YEAR(Table1[[#This Row],[Date]])</f>
        <v>2026</v>
      </c>
      <c r="T230" s="9"/>
      <c r="U230" s="9"/>
    </row>
    <row r="231" spans="1:21" hidden="1" x14ac:dyDescent="0.3">
      <c r="A231" t="s">
        <v>480</v>
      </c>
      <c r="B231" s="6">
        <v>46191</v>
      </c>
      <c r="C231" t="s">
        <v>26</v>
      </c>
      <c r="D231" t="s">
        <v>33</v>
      </c>
      <c r="E231" t="s">
        <v>42</v>
      </c>
      <c r="F231" t="s">
        <v>481</v>
      </c>
      <c r="G231" t="s">
        <v>30</v>
      </c>
      <c r="J231" s="9">
        <v>0</v>
      </c>
      <c r="K231" s="7">
        <v>0</v>
      </c>
      <c r="L231" s="7">
        <v>0</v>
      </c>
      <c r="M231" s="9">
        <v>1</v>
      </c>
      <c r="N231" s="7">
        <v>5.5</v>
      </c>
      <c r="O231" s="7">
        <v>6.6</v>
      </c>
      <c r="P231" s="7">
        <v>3.8</v>
      </c>
      <c r="Q231" t="s">
        <v>39</v>
      </c>
      <c r="R231" s="7" t="str">
        <f>TEXT(Table1[[#This Row],[Date]],"mmm yyyy")</f>
        <v>Jun 2026</v>
      </c>
      <c r="S231" s="9">
        <f>YEAR(Table1[[#This Row],[Date]])</f>
        <v>2026</v>
      </c>
      <c r="T231" s="9"/>
      <c r="U231" s="9"/>
    </row>
    <row r="232" spans="1:21" hidden="1" x14ac:dyDescent="0.3">
      <c r="A232" t="s">
        <v>482</v>
      </c>
      <c r="B232" s="6">
        <v>46151</v>
      </c>
      <c r="C232" t="s">
        <v>26</v>
      </c>
      <c r="D232" t="s">
        <v>36</v>
      </c>
      <c r="E232" t="s">
        <v>42</v>
      </c>
      <c r="F232" t="s">
        <v>483</v>
      </c>
      <c r="G232" t="s">
        <v>22</v>
      </c>
      <c r="J232" s="9">
        <v>0</v>
      </c>
      <c r="K232" s="7">
        <v>0</v>
      </c>
      <c r="L232" s="7">
        <v>0</v>
      </c>
      <c r="M232" s="9">
        <v>1</v>
      </c>
      <c r="N232" s="7">
        <v>3.8</v>
      </c>
      <c r="O232" s="7">
        <v>1.7</v>
      </c>
      <c r="P232" s="7">
        <v>3.1</v>
      </c>
      <c r="Q232" t="s">
        <v>39</v>
      </c>
      <c r="R232" s="7" t="str">
        <f>TEXT(Table1[[#This Row],[Date]],"mmm yyyy")</f>
        <v>May 2026</v>
      </c>
      <c r="S232" s="9">
        <f>YEAR(Table1[[#This Row],[Date]])</f>
        <v>2026</v>
      </c>
      <c r="T232" s="9"/>
      <c r="U232" s="9"/>
    </row>
    <row r="233" spans="1:21" x14ac:dyDescent="0.3">
      <c r="A233" t="s">
        <v>484</v>
      </c>
      <c r="B233" s="6">
        <v>46137</v>
      </c>
      <c r="C233" t="s">
        <v>18</v>
      </c>
      <c r="D233" t="s">
        <v>41</v>
      </c>
      <c r="E233" t="s">
        <v>48</v>
      </c>
      <c r="F233" t="s">
        <v>485</v>
      </c>
      <c r="G233" t="s">
        <v>44</v>
      </c>
      <c r="H233" t="s">
        <v>86</v>
      </c>
      <c r="I233" t="s">
        <v>24</v>
      </c>
      <c r="J233" s="9">
        <v>1</v>
      </c>
      <c r="K233" s="7">
        <v>56700</v>
      </c>
      <c r="L233" s="7">
        <v>56700</v>
      </c>
      <c r="M233" s="9"/>
      <c r="N233" s="7">
        <v>8.5</v>
      </c>
      <c r="O233" s="7"/>
      <c r="P233" s="7"/>
      <c r="Q233" t="s">
        <v>24</v>
      </c>
      <c r="R233" s="7" t="str">
        <f>TEXT(Table1[[#This Row],[Date]],"mmm yyyy")</f>
        <v>Apr 2026</v>
      </c>
      <c r="S233" s="9">
        <f>YEAR(Table1[[#This Row],[Date]])</f>
        <v>2026</v>
      </c>
      <c r="T233" s="9"/>
      <c r="U233" s="9"/>
    </row>
    <row r="234" spans="1:21" hidden="1" x14ac:dyDescent="0.3">
      <c r="A234" t="s">
        <v>486</v>
      </c>
      <c r="B234" s="6">
        <v>46027</v>
      </c>
      <c r="C234" t="s">
        <v>26</v>
      </c>
      <c r="D234" t="s">
        <v>69</v>
      </c>
      <c r="E234" t="s">
        <v>20</v>
      </c>
      <c r="F234" t="s">
        <v>487</v>
      </c>
      <c r="G234" t="s">
        <v>30</v>
      </c>
      <c r="J234" s="9">
        <v>0</v>
      </c>
      <c r="K234" s="7">
        <v>0</v>
      </c>
      <c r="L234" s="7">
        <v>0</v>
      </c>
      <c r="M234" s="9">
        <v>1</v>
      </c>
      <c r="N234" s="7">
        <v>2</v>
      </c>
      <c r="O234" s="7">
        <v>5.3</v>
      </c>
      <c r="P234" s="7">
        <v>3.8</v>
      </c>
      <c r="Q234" t="s">
        <v>31</v>
      </c>
      <c r="R234" s="7" t="str">
        <f>TEXT(Table1[[#This Row],[Date]],"mmm yyyy")</f>
        <v>Jan 2026</v>
      </c>
      <c r="S234" s="9">
        <f>YEAR(Table1[[#This Row],[Date]])</f>
        <v>2026</v>
      </c>
      <c r="T234" s="9"/>
      <c r="U234" s="9"/>
    </row>
    <row r="235" spans="1:21" x14ac:dyDescent="0.3">
      <c r="A235" t="s">
        <v>488</v>
      </c>
      <c r="B235" s="6">
        <v>46232</v>
      </c>
      <c r="C235" t="s">
        <v>18</v>
      </c>
      <c r="D235" t="s">
        <v>64</v>
      </c>
      <c r="E235" t="s">
        <v>20</v>
      </c>
      <c r="F235" t="s">
        <v>489</v>
      </c>
      <c r="G235" t="s">
        <v>30</v>
      </c>
      <c r="H235" t="s">
        <v>23</v>
      </c>
      <c r="I235" t="s">
        <v>45</v>
      </c>
      <c r="J235" s="9">
        <v>1</v>
      </c>
      <c r="K235" s="7">
        <v>23300</v>
      </c>
      <c r="L235" s="7">
        <v>0</v>
      </c>
      <c r="M235" s="9"/>
      <c r="N235" s="7">
        <v>0.8</v>
      </c>
      <c r="O235" s="7"/>
      <c r="P235" s="7"/>
      <c r="Q235" t="s">
        <v>45</v>
      </c>
      <c r="R235" s="7" t="str">
        <f>TEXT(Table1[[#This Row],[Date]],"mmm yyyy")</f>
        <v>Jul 2026</v>
      </c>
      <c r="S235" s="9">
        <f>YEAR(Table1[[#This Row],[Date]])</f>
        <v>2026</v>
      </c>
      <c r="T235" s="9"/>
      <c r="U235" s="9"/>
    </row>
    <row r="236" spans="1:21" x14ac:dyDescent="0.3">
      <c r="A236" t="s">
        <v>490</v>
      </c>
      <c r="B236" s="6">
        <v>46264</v>
      </c>
      <c r="C236" t="s">
        <v>18</v>
      </c>
      <c r="D236" t="s">
        <v>47</v>
      </c>
      <c r="E236" t="s">
        <v>20</v>
      </c>
      <c r="F236" t="s">
        <v>491</v>
      </c>
      <c r="G236" t="s">
        <v>30</v>
      </c>
      <c r="H236" t="s">
        <v>54</v>
      </c>
      <c r="I236" t="s">
        <v>67</v>
      </c>
      <c r="J236" s="9">
        <v>1</v>
      </c>
      <c r="K236" s="7">
        <v>16200</v>
      </c>
      <c r="L236" s="7">
        <v>0</v>
      </c>
      <c r="M236" s="9"/>
      <c r="N236" s="7">
        <v>0.6</v>
      </c>
      <c r="O236" s="7"/>
      <c r="P236" s="7"/>
      <c r="Q236" t="s">
        <v>67</v>
      </c>
      <c r="R236" s="7" t="str">
        <f>TEXT(Table1[[#This Row],[Date]],"mmm yyyy")</f>
        <v>Aug 2026</v>
      </c>
      <c r="S236" s="9">
        <f>YEAR(Table1[[#This Row],[Date]])</f>
        <v>2026</v>
      </c>
      <c r="T236" s="9"/>
      <c r="U236" s="9"/>
    </row>
    <row r="237" spans="1:21" hidden="1" x14ac:dyDescent="0.3">
      <c r="A237" t="s">
        <v>492</v>
      </c>
      <c r="B237" s="6">
        <v>46215</v>
      </c>
      <c r="C237" t="s">
        <v>26</v>
      </c>
      <c r="D237" t="s">
        <v>72</v>
      </c>
      <c r="E237" t="s">
        <v>48</v>
      </c>
      <c r="F237" t="s">
        <v>493</v>
      </c>
      <c r="G237" t="s">
        <v>44</v>
      </c>
      <c r="J237" s="9">
        <v>0</v>
      </c>
      <c r="K237" s="7">
        <v>0</v>
      </c>
      <c r="L237" s="7">
        <v>0</v>
      </c>
      <c r="M237" s="9">
        <v>1</v>
      </c>
      <c r="N237" s="7">
        <v>1.7</v>
      </c>
      <c r="O237" s="7">
        <v>7.7</v>
      </c>
      <c r="P237" s="7">
        <v>3</v>
      </c>
      <c r="Q237" t="s">
        <v>39</v>
      </c>
      <c r="R237" s="7" t="str">
        <f>TEXT(Table1[[#This Row],[Date]],"mmm yyyy")</f>
        <v>Jul 2026</v>
      </c>
      <c r="S237" s="9">
        <f>YEAR(Table1[[#This Row],[Date]])</f>
        <v>2026</v>
      </c>
      <c r="T237" s="9"/>
      <c r="U237" s="9"/>
    </row>
    <row r="238" spans="1:21" x14ac:dyDescent="0.3">
      <c r="A238" t="s">
        <v>494</v>
      </c>
      <c r="B238" s="6">
        <v>46041</v>
      </c>
      <c r="C238" t="s">
        <v>18</v>
      </c>
      <c r="D238" t="s">
        <v>105</v>
      </c>
      <c r="E238" t="s">
        <v>28</v>
      </c>
      <c r="F238" t="s">
        <v>495</v>
      </c>
      <c r="G238" t="s">
        <v>22</v>
      </c>
      <c r="H238" t="s">
        <v>23</v>
      </c>
      <c r="I238" t="s">
        <v>24</v>
      </c>
      <c r="J238" s="9">
        <v>1</v>
      </c>
      <c r="K238" s="7">
        <v>5000</v>
      </c>
      <c r="L238" s="7">
        <v>5000</v>
      </c>
      <c r="M238" s="9"/>
      <c r="N238" s="7">
        <v>21</v>
      </c>
      <c r="O238" s="7"/>
      <c r="P238" s="7"/>
      <c r="Q238" t="s">
        <v>24</v>
      </c>
      <c r="R238" s="7" t="str">
        <f>TEXT(Table1[[#This Row],[Date]],"mmm yyyy")</f>
        <v>Jan 2026</v>
      </c>
      <c r="S238" s="9">
        <f>YEAR(Table1[[#This Row],[Date]])</f>
        <v>2026</v>
      </c>
      <c r="T238" s="9"/>
      <c r="U238" s="9"/>
    </row>
    <row r="239" spans="1:21" x14ac:dyDescent="0.3">
      <c r="A239" t="s">
        <v>496</v>
      </c>
      <c r="B239" s="6">
        <v>46051</v>
      </c>
      <c r="C239" t="s">
        <v>18</v>
      </c>
      <c r="D239" t="s">
        <v>117</v>
      </c>
      <c r="E239" t="s">
        <v>20</v>
      </c>
      <c r="F239" t="s">
        <v>396</v>
      </c>
      <c r="G239" t="s">
        <v>44</v>
      </c>
      <c r="H239" t="s">
        <v>86</v>
      </c>
      <c r="I239" t="s">
        <v>24</v>
      </c>
      <c r="J239" s="9">
        <v>1</v>
      </c>
      <c r="K239" s="7">
        <v>13900</v>
      </c>
      <c r="L239" s="7">
        <v>13900</v>
      </c>
      <c r="M239" s="9"/>
      <c r="N239" s="7">
        <v>11.9</v>
      </c>
      <c r="O239" s="7"/>
      <c r="P239" s="7"/>
      <c r="Q239" t="s">
        <v>24</v>
      </c>
      <c r="R239" s="7" t="str">
        <f>TEXT(Table1[[#This Row],[Date]],"mmm yyyy")</f>
        <v>Jan 2026</v>
      </c>
      <c r="S239" s="9">
        <f>YEAR(Table1[[#This Row],[Date]])</f>
        <v>2026</v>
      </c>
      <c r="T239" s="9"/>
      <c r="U239" s="9"/>
    </row>
    <row r="240" spans="1:21" hidden="1" x14ac:dyDescent="0.3">
      <c r="A240" t="s">
        <v>497</v>
      </c>
      <c r="B240" s="6">
        <v>46175</v>
      </c>
      <c r="C240" t="s">
        <v>26</v>
      </c>
      <c r="D240" t="s">
        <v>33</v>
      </c>
      <c r="E240" t="s">
        <v>20</v>
      </c>
      <c r="F240" t="s">
        <v>323</v>
      </c>
      <c r="G240" t="s">
        <v>22</v>
      </c>
      <c r="J240" s="9">
        <v>0</v>
      </c>
      <c r="K240" s="7">
        <v>0</v>
      </c>
      <c r="L240" s="7">
        <v>0</v>
      </c>
      <c r="M240" s="9">
        <v>1</v>
      </c>
      <c r="N240" s="7">
        <v>10.9</v>
      </c>
      <c r="O240" s="7">
        <v>9.1999999999999993</v>
      </c>
      <c r="P240" s="7">
        <v>5</v>
      </c>
      <c r="Q240" t="s">
        <v>39</v>
      </c>
      <c r="R240" s="7" t="str">
        <f>TEXT(Table1[[#This Row],[Date]],"mmm yyyy")</f>
        <v>Jun 2026</v>
      </c>
      <c r="S240" s="9">
        <f>YEAR(Table1[[#This Row],[Date]])</f>
        <v>2026</v>
      </c>
      <c r="T240" s="9"/>
      <c r="U240" s="9"/>
    </row>
    <row r="241" spans="1:21" x14ac:dyDescent="0.3">
      <c r="A241" t="s">
        <v>498</v>
      </c>
      <c r="B241" s="6">
        <v>46124</v>
      </c>
      <c r="C241" t="s">
        <v>18</v>
      </c>
      <c r="D241" t="s">
        <v>117</v>
      </c>
      <c r="E241" t="s">
        <v>37</v>
      </c>
      <c r="F241" t="s">
        <v>499</v>
      </c>
      <c r="G241" t="s">
        <v>44</v>
      </c>
      <c r="H241" t="s">
        <v>78</v>
      </c>
      <c r="I241" t="s">
        <v>89</v>
      </c>
      <c r="J241" s="9">
        <v>1</v>
      </c>
      <c r="K241" s="7">
        <v>8500</v>
      </c>
      <c r="L241" s="7">
        <v>0</v>
      </c>
      <c r="M241" s="9"/>
      <c r="N241" s="7">
        <v>3.4</v>
      </c>
      <c r="O241" s="7"/>
      <c r="P241" s="7"/>
      <c r="Q241" t="s">
        <v>89</v>
      </c>
      <c r="R241" s="7" t="str">
        <f>TEXT(Table1[[#This Row],[Date]],"mmm yyyy")</f>
        <v>Apr 2026</v>
      </c>
      <c r="S241" s="9">
        <f>YEAR(Table1[[#This Row],[Date]])</f>
        <v>2026</v>
      </c>
      <c r="T241" s="9"/>
      <c r="U241" s="9"/>
    </row>
    <row r="242" spans="1:21" hidden="1" x14ac:dyDescent="0.3">
      <c r="A242" t="s">
        <v>500</v>
      </c>
      <c r="B242" s="6">
        <v>45938</v>
      </c>
      <c r="C242" t="s">
        <v>26</v>
      </c>
      <c r="D242" t="s">
        <v>72</v>
      </c>
      <c r="E242" t="s">
        <v>20</v>
      </c>
      <c r="F242" t="s">
        <v>491</v>
      </c>
      <c r="G242" t="s">
        <v>44</v>
      </c>
      <c r="J242" s="9">
        <v>0</v>
      </c>
      <c r="K242" s="7">
        <v>0</v>
      </c>
      <c r="L242" s="7">
        <v>0</v>
      </c>
      <c r="M242" s="9">
        <v>1</v>
      </c>
      <c r="N242" s="7">
        <v>8.1</v>
      </c>
      <c r="O242" s="7">
        <v>5.8</v>
      </c>
      <c r="P242" s="7">
        <v>3.3</v>
      </c>
      <c r="Q242" t="s">
        <v>39</v>
      </c>
      <c r="R242" s="7" t="str">
        <f>TEXT(Table1[[#This Row],[Date]],"mmm yyyy")</f>
        <v>Oct 2025</v>
      </c>
      <c r="S242" s="9">
        <f>YEAR(Table1[[#This Row],[Date]])</f>
        <v>2025</v>
      </c>
      <c r="T242" s="9"/>
      <c r="U242" s="9"/>
    </row>
    <row r="243" spans="1:21" hidden="1" x14ac:dyDescent="0.3">
      <c r="A243" t="s">
        <v>501</v>
      </c>
      <c r="B243" s="6">
        <v>46026</v>
      </c>
      <c r="C243" t="s">
        <v>26</v>
      </c>
      <c r="D243" t="s">
        <v>232</v>
      </c>
      <c r="E243" t="s">
        <v>48</v>
      </c>
      <c r="F243" t="s">
        <v>502</v>
      </c>
      <c r="G243" t="s">
        <v>22</v>
      </c>
      <c r="J243" s="9">
        <v>0</v>
      </c>
      <c r="K243" s="7">
        <v>0</v>
      </c>
      <c r="L243" s="7">
        <v>0</v>
      </c>
      <c r="M243" s="9">
        <v>1</v>
      </c>
      <c r="N243" s="7">
        <v>11.9</v>
      </c>
      <c r="O243" s="7">
        <v>7.1</v>
      </c>
      <c r="P243" s="7">
        <v>5</v>
      </c>
      <c r="Q243" t="s">
        <v>62</v>
      </c>
      <c r="R243" s="7" t="str">
        <f>TEXT(Table1[[#This Row],[Date]],"mmm yyyy")</f>
        <v>Jan 2026</v>
      </c>
      <c r="S243" s="9">
        <f>YEAR(Table1[[#This Row],[Date]])</f>
        <v>2026</v>
      </c>
      <c r="T243" s="9"/>
      <c r="U243" s="9"/>
    </row>
    <row r="244" spans="1:21" hidden="1" x14ac:dyDescent="0.3">
      <c r="A244" t="s">
        <v>503</v>
      </c>
      <c r="B244" s="6">
        <v>45968</v>
      </c>
      <c r="C244" t="s">
        <v>26</v>
      </c>
      <c r="D244" t="s">
        <v>72</v>
      </c>
      <c r="E244" t="s">
        <v>42</v>
      </c>
      <c r="F244" t="s">
        <v>241</v>
      </c>
      <c r="G244" t="s">
        <v>44</v>
      </c>
      <c r="J244" s="9">
        <v>0</v>
      </c>
      <c r="K244" s="7">
        <v>0</v>
      </c>
      <c r="L244" s="7">
        <v>0</v>
      </c>
      <c r="M244" s="9">
        <v>1</v>
      </c>
      <c r="N244" s="7">
        <v>7</v>
      </c>
      <c r="O244" s="7">
        <v>5.7</v>
      </c>
      <c r="P244" s="7">
        <v>3.8</v>
      </c>
      <c r="Q244" t="s">
        <v>39</v>
      </c>
      <c r="R244" s="7" t="str">
        <f>TEXT(Table1[[#This Row],[Date]],"mmm yyyy")</f>
        <v>Nov 2025</v>
      </c>
      <c r="S244" s="9">
        <f>YEAR(Table1[[#This Row],[Date]])</f>
        <v>2025</v>
      </c>
      <c r="T244" s="9"/>
      <c r="U244" s="9"/>
    </row>
    <row r="245" spans="1:21" x14ac:dyDescent="0.3">
      <c r="A245" t="s">
        <v>504</v>
      </c>
      <c r="B245" s="6">
        <v>46222</v>
      </c>
      <c r="C245" t="s">
        <v>18</v>
      </c>
      <c r="D245" t="s">
        <v>52</v>
      </c>
      <c r="E245" t="s">
        <v>20</v>
      </c>
      <c r="F245" t="s">
        <v>505</v>
      </c>
      <c r="G245" t="s">
        <v>44</v>
      </c>
      <c r="H245" t="s">
        <v>54</v>
      </c>
      <c r="I245" t="s">
        <v>67</v>
      </c>
      <c r="J245" s="9">
        <v>1</v>
      </c>
      <c r="K245" s="7">
        <v>37600</v>
      </c>
      <c r="L245" s="7">
        <v>0</v>
      </c>
      <c r="M245" s="9"/>
      <c r="N245" s="7">
        <v>15.7</v>
      </c>
      <c r="O245" s="7"/>
      <c r="P245" s="7"/>
      <c r="Q245" t="s">
        <v>67</v>
      </c>
      <c r="R245" s="7" t="str">
        <f>TEXT(Table1[[#This Row],[Date]],"mmm yyyy")</f>
        <v>Jul 2026</v>
      </c>
      <c r="S245" s="9">
        <f>YEAR(Table1[[#This Row],[Date]])</f>
        <v>2026</v>
      </c>
      <c r="T245" s="9"/>
      <c r="U245" s="9"/>
    </row>
    <row r="246" spans="1:21" x14ac:dyDescent="0.3">
      <c r="A246" t="s">
        <v>506</v>
      </c>
      <c r="B246" s="6">
        <v>46145</v>
      </c>
      <c r="C246" t="s">
        <v>18</v>
      </c>
      <c r="D246" t="s">
        <v>41</v>
      </c>
      <c r="E246" t="s">
        <v>20</v>
      </c>
      <c r="F246" t="s">
        <v>393</v>
      </c>
      <c r="G246" t="s">
        <v>22</v>
      </c>
      <c r="H246" t="s">
        <v>23</v>
      </c>
      <c r="I246" t="s">
        <v>67</v>
      </c>
      <c r="J246" s="9">
        <v>1</v>
      </c>
      <c r="K246" s="7">
        <v>6300</v>
      </c>
      <c r="L246" s="7">
        <v>0</v>
      </c>
      <c r="M246" s="9"/>
      <c r="N246" s="7">
        <v>11.6</v>
      </c>
      <c r="O246" s="7"/>
      <c r="P246" s="7"/>
      <c r="Q246" t="s">
        <v>67</v>
      </c>
      <c r="R246" s="7" t="str">
        <f>TEXT(Table1[[#This Row],[Date]],"mmm yyyy")</f>
        <v>May 2026</v>
      </c>
      <c r="S246" s="9">
        <f>YEAR(Table1[[#This Row],[Date]])</f>
        <v>2026</v>
      </c>
      <c r="T246" s="9"/>
      <c r="U246" s="9"/>
    </row>
    <row r="247" spans="1:21" hidden="1" x14ac:dyDescent="0.3">
      <c r="A247" t="s">
        <v>507</v>
      </c>
      <c r="B247" s="6">
        <v>46248</v>
      </c>
      <c r="C247" t="s">
        <v>26</v>
      </c>
      <c r="D247" t="s">
        <v>27</v>
      </c>
      <c r="E247" t="s">
        <v>20</v>
      </c>
      <c r="F247" t="s">
        <v>73</v>
      </c>
      <c r="G247" t="s">
        <v>44</v>
      </c>
      <c r="J247" s="9">
        <v>0</v>
      </c>
      <c r="K247" s="7">
        <v>0</v>
      </c>
      <c r="L247" s="7">
        <v>0</v>
      </c>
      <c r="M247" s="9">
        <v>1</v>
      </c>
      <c r="N247" s="7">
        <v>9.5</v>
      </c>
      <c r="O247" s="7">
        <v>8.9</v>
      </c>
      <c r="P247" s="7">
        <v>4.2</v>
      </c>
      <c r="Q247" t="s">
        <v>39</v>
      </c>
      <c r="R247" s="7" t="str">
        <f>TEXT(Table1[[#This Row],[Date]],"mmm yyyy")</f>
        <v>Aug 2026</v>
      </c>
      <c r="S247" s="9">
        <f>YEAR(Table1[[#This Row],[Date]])</f>
        <v>2026</v>
      </c>
      <c r="T247" s="9"/>
      <c r="U247" s="9"/>
    </row>
    <row r="248" spans="1:21" x14ac:dyDescent="0.3">
      <c r="A248" t="s">
        <v>508</v>
      </c>
      <c r="B248" s="6">
        <v>46196</v>
      </c>
      <c r="C248" t="s">
        <v>18</v>
      </c>
      <c r="D248" t="s">
        <v>117</v>
      </c>
      <c r="E248" t="s">
        <v>20</v>
      </c>
      <c r="F248" t="s">
        <v>314</v>
      </c>
      <c r="G248" t="s">
        <v>22</v>
      </c>
      <c r="H248" t="s">
        <v>23</v>
      </c>
      <c r="I248" t="s">
        <v>79</v>
      </c>
      <c r="J248" s="9">
        <v>1</v>
      </c>
      <c r="K248" s="7">
        <v>143300</v>
      </c>
      <c r="L248" s="7">
        <v>0</v>
      </c>
      <c r="M248" s="9"/>
      <c r="N248" s="7">
        <v>22.7</v>
      </c>
      <c r="O248" s="7"/>
      <c r="P248" s="7"/>
      <c r="Q248" t="s">
        <v>79</v>
      </c>
      <c r="R248" s="7" t="str">
        <f>TEXT(Table1[[#This Row],[Date]],"mmm yyyy")</f>
        <v>Jun 2026</v>
      </c>
      <c r="S248" s="9">
        <f>YEAR(Table1[[#This Row],[Date]])</f>
        <v>2026</v>
      </c>
      <c r="T248" s="9"/>
      <c r="U248" s="9"/>
    </row>
    <row r="249" spans="1:21" hidden="1" x14ac:dyDescent="0.3">
      <c r="A249" t="s">
        <v>509</v>
      </c>
      <c r="B249" s="6">
        <v>46205</v>
      </c>
      <c r="C249" t="s">
        <v>26</v>
      </c>
      <c r="D249" t="s">
        <v>126</v>
      </c>
      <c r="E249" t="s">
        <v>37</v>
      </c>
      <c r="F249" t="s">
        <v>510</v>
      </c>
      <c r="G249" t="s">
        <v>30</v>
      </c>
      <c r="J249" s="9">
        <v>0</v>
      </c>
      <c r="K249" s="7">
        <v>0</v>
      </c>
      <c r="L249" s="7">
        <v>0</v>
      </c>
      <c r="M249" s="9">
        <v>1</v>
      </c>
      <c r="N249" s="7">
        <v>3.4</v>
      </c>
      <c r="O249" s="7">
        <v>11.8</v>
      </c>
      <c r="P249" s="7">
        <v>3.5</v>
      </c>
      <c r="Q249" t="s">
        <v>225</v>
      </c>
      <c r="R249" s="7" t="str">
        <f>TEXT(Table1[[#This Row],[Date]],"mmm yyyy")</f>
        <v>Jul 2026</v>
      </c>
      <c r="S249" s="9">
        <f>YEAR(Table1[[#This Row],[Date]])</f>
        <v>2026</v>
      </c>
      <c r="T249" s="9"/>
      <c r="U249" s="9"/>
    </row>
    <row r="250" spans="1:21" hidden="1" x14ac:dyDescent="0.3">
      <c r="A250" t="s">
        <v>511</v>
      </c>
      <c r="B250" s="6">
        <v>46196</v>
      </c>
      <c r="C250" t="s">
        <v>26</v>
      </c>
      <c r="D250" t="s">
        <v>126</v>
      </c>
      <c r="E250" t="s">
        <v>20</v>
      </c>
      <c r="F250" t="s">
        <v>512</v>
      </c>
      <c r="G250" t="s">
        <v>22</v>
      </c>
      <c r="J250" s="9">
        <v>0</v>
      </c>
      <c r="K250" s="7">
        <v>0</v>
      </c>
      <c r="L250" s="7">
        <v>0</v>
      </c>
      <c r="M250" s="9">
        <v>1</v>
      </c>
      <c r="N250" s="7">
        <v>0.8</v>
      </c>
      <c r="O250" s="7">
        <v>3.9</v>
      </c>
      <c r="P250" s="7">
        <v>4.3</v>
      </c>
      <c r="Q250" t="s">
        <v>31</v>
      </c>
      <c r="R250" s="7" t="str">
        <f>TEXT(Table1[[#This Row],[Date]],"mmm yyyy")</f>
        <v>Jun 2026</v>
      </c>
      <c r="S250" s="9">
        <f>YEAR(Table1[[#This Row],[Date]])</f>
        <v>2026</v>
      </c>
      <c r="T250" s="9"/>
      <c r="U250" s="9"/>
    </row>
    <row r="251" spans="1:21" hidden="1" x14ac:dyDescent="0.3">
      <c r="A251" t="s">
        <v>513</v>
      </c>
      <c r="B251" s="6">
        <v>46263</v>
      </c>
      <c r="C251" t="s">
        <v>26</v>
      </c>
      <c r="D251" t="s">
        <v>232</v>
      </c>
      <c r="E251" t="s">
        <v>20</v>
      </c>
      <c r="F251" t="s">
        <v>514</v>
      </c>
      <c r="G251" t="s">
        <v>22</v>
      </c>
      <c r="J251" s="9">
        <v>0</v>
      </c>
      <c r="K251" s="7">
        <v>0</v>
      </c>
      <c r="L251" s="7">
        <v>0</v>
      </c>
      <c r="M251" s="9">
        <v>1</v>
      </c>
      <c r="N251" s="7">
        <v>7.2</v>
      </c>
      <c r="O251" s="7">
        <v>6.3</v>
      </c>
      <c r="P251" s="7">
        <v>3.4</v>
      </c>
      <c r="Q251" t="s">
        <v>39</v>
      </c>
      <c r="R251" s="7" t="str">
        <f>TEXT(Table1[[#This Row],[Date]],"mmm yyyy")</f>
        <v>Aug 2026</v>
      </c>
      <c r="S251" s="9">
        <f>YEAR(Table1[[#This Row],[Date]])</f>
        <v>2026</v>
      </c>
      <c r="T251" s="9"/>
      <c r="U251" s="9"/>
    </row>
    <row r="252" spans="1:21" x14ac:dyDescent="0.3">
      <c r="A252" t="s">
        <v>515</v>
      </c>
      <c r="B252" s="6">
        <v>45910</v>
      </c>
      <c r="C252" t="s">
        <v>18</v>
      </c>
      <c r="D252" t="s">
        <v>95</v>
      </c>
      <c r="E252" t="s">
        <v>20</v>
      </c>
      <c r="F252" t="s">
        <v>77</v>
      </c>
      <c r="G252" t="s">
        <v>44</v>
      </c>
      <c r="H252" t="s">
        <v>78</v>
      </c>
      <c r="I252" t="s">
        <v>24</v>
      </c>
      <c r="J252" s="9">
        <v>1</v>
      </c>
      <c r="K252" s="7">
        <v>21100</v>
      </c>
      <c r="L252" s="7">
        <v>21100</v>
      </c>
      <c r="M252" s="9"/>
      <c r="N252" s="7">
        <v>15.4</v>
      </c>
      <c r="O252" s="7"/>
      <c r="P252" s="7"/>
      <c r="Q252" t="s">
        <v>24</v>
      </c>
      <c r="R252" s="7" t="str">
        <f>TEXT(Table1[[#This Row],[Date]],"mmm yyyy")</f>
        <v>Sep 2025</v>
      </c>
      <c r="S252" s="9">
        <f>YEAR(Table1[[#This Row],[Date]])</f>
        <v>2025</v>
      </c>
      <c r="T252" s="9"/>
      <c r="U252" s="9"/>
    </row>
    <row r="253" spans="1:21" x14ac:dyDescent="0.3">
      <c r="A253" t="s">
        <v>516</v>
      </c>
      <c r="B253" s="6">
        <v>45957</v>
      </c>
      <c r="C253" t="s">
        <v>18</v>
      </c>
      <c r="D253" t="s">
        <v>105</v>
      </c>
      <c r="E253" t="s">
        <v>42</v>
      </c>
      <c r="F253" t="s">
        <v>517</v>
      </c>
      <c r="G253" t="s">
        <v>30</v>
      </c>
      <c r="H253" t="s">
        <v>86</v>
      </c>
      <c r="I253" t="s">
        <v>67</v>
      </c>
      <c r="J253" s="9">
        <v>1</v>
      </c>
      <c r="K253" s="7">
        <v>84300</v>
      </c>
      <c r="L253" s="7">
        <v>0</v>
      </c>
      <c r="M253" s="9"/>
      <c r="N253" s="7">
        <v>12.3</v>
      </c>
      <c r="O253" s="7"/>
      <c r="P253" s="7"/>
      <c r="Q253" t="s">
        <v>67</v>
      </c>
      <c r="R253" s="7" t="str">
        <f>TEXT(Table1[[#This Row],[Date]],"mmm yyyy")</f>
        <v>Oct 2025</v>
      </c>
      <c r="S253" s="9">
        <f>YEAR(Table1[[#This Row],[Date]])</f>
        <v>2025</v>
      </c>
      <c r="T253" s="9"/>
      <c r="U253" s="9"/>
    </row>
    <row r="254" spans="1:21" hidden="1" x14ac:dyDescent="0.3">
      <c r="A254" t="s">
        <v>518</v>
      </c>
      <c r="B254" s="6">
        <v>46010</v>
      </c>
      <c r="C254" t="s">
        <v>26</v>
      </c>
      <c r="D254" t="s">
        <v>33</v>
      </c>
      <c r="E254" t="s">
        <v>20</v>
      </c>
      <c r="F254" t="s">
        <v>136</v>
      </c>
      <c r="G254" t="s">
        <v>22</v>
      </c>
      <c r="J254" s="9">
        <v>0</v>
      </c>
      <c r="K254" s="7">
        <v>0</v>
      </c>
      <c r="L254" s="7">
        <v>0</v>
      </c>
      <c r="M254" s="9">
        <v>1</v>
      </c>
      <c r="N254" s="7">
        <v>11</v>
      </c>
      <c r="O254" s="7">
        <v>6.2</v>
      </c>
      <c r="P254" s="7">
        <v>3.3</v>
      </c>
      <c r="Q254" t="s">
        <v>225</v>
      </c>
      <c r="R254" s="7" t="str">
        <f>TEXT(Table1[[#This Row],[Date]],"mmm yyyy")</f>
        <v>Dec 2025</v>
      </c>
      <c r="S254" s="9">
        <f>YEAR(Table1[[#This Row],[Date]])</f>
        <v>2025</v>
      </c>
      <c r="T254" s="9"/>
      <c r="U254" s="9"/>
    </row>
    <row r="255" spans="1:21" x14ac:dyDescent="0.3">
      <c r="A255" t="s">
        <v>519</v>
      </c>
      <c r="B255" s="6">
        <v>45922</v>
      </c>
      <c r="C255" t="s">
        <v>18</v>
      </c>
      <c r="D255" t="s">
        <v>47</v>
      </c>
      <c r="E255" t="s">
        <v>48</v>
      </c>
      <c r="F255" t="s">
        <v>520</v>
      </c>
      <c r="G255" t="s">
        <v>44</v>
      </c>
      <c r="H255" t="s">
        <v>86</v>
      </c>
      <c r="I255" t="s">
        <v>24</v>
      </c>
      <c r="J255" s="9">
        <v>1</v>
      </c>
      <c r="K255" s="7">
        <v>20200</v>
      </c>
      <c r="L255" s="7">
        <v>20200</v>
      </c>
      <c r="M255" s="9"/>
      <c r="N255" s="7">
        <v>0.5</v>
      </c>
      <c r="O255" s="7"/>
      <c r="P255" s="7"/>
      <c r="Q255" t="s">
        <v>24</v>
      </c>
      <c r="R255" s="7" t="str">
        <f>TEXT(Table1[[#This Row],[Date]],"mmm yyyy")</f>
        <v>Sep 2025</v>
      </c>
      <c r="S255" s="9">
        <f>YEAR(Table1[[#This Row],[Date]])</f>
        <v>2025</v>
      </c>
      <c r="T255" s="9"/>
      <c r="U255" s="9"/>
    </row>
    <row r="256" spans="1:21" x14ac:dyDescent="0.3">
      <c r="A256" t="s">
        <v>521</v>
      </c>
      <c r="B256" s="6">
        <v>46023</v>
      </c>
      <c r="C256" t="s">
        <v>18</v>
      </c>
      <c r="D256" t="s">
        <v>117</v>
      </c>
      <c r="E256" t="s">
        <v>20</v>
      </c>
      <c r="F256" t="s">
        <v>522</v>
      </c>
      <c r="G256" t="s">
        <v>30</v>
      </c>
      <c r="H256" t="s">
        <v>54</v>
      </c>
      <c r="I256" t="s">
        <v>55</v>
      </c>
      <c r="J256" s="9">
        <v>1</v>
      </c>
      <c r="K256" s="7">
        <v>26600</v>
      </c>
      <c r="L256" s="7">
        <v>0</v>
      </c>
      <c r="M256" s="9"/>
      <c r="N256" s="7">
        <v>17.600000000000001</v>
      </c>
      <c r="O256" s="7"/>
      <c r="P256" s="7"/>
      <c r="Q256" t="s">
        <v>55</v>
      </c>
      <c r="R256" s="7" t="str">
        <f>TEXT(Table1[[#This Row],[Date]],"mmm yyyy")</f>
        <v>Jan 2026</v>
      </c>
      <c r="S256" s="9">
        <f>YEAR(Table1[[#This Row],[Date]])</f>
        <v>2026</v>
      </c>
      <c r="T256" s="9"/>
      <c r="U256" s="9"/>
    </row>
    <row r="257" spans="1:21" hidden="1" x14ac:dyDescent="0.3">
      <c r="A257" t="s">
        <v>523</v>
      </c>
      <c r="B257" s="6">
        <v>46237</v>
      </c>
      <c r="C257" t="s">
        <v>26</v>
      </c>
      <c r="D257" t="s">
        <v>36</v>
      </c>
      <c r="E257" t="s">
        <v>37</v>
      </c>
      <c r="F257" t="s">
        <v>524</v>
      </c>
      <c r="G257" t="s">
        <v>22</v>
      </c>
      <c r="J257" s="9">
        <v>0</v>
      </c>
      <c r="K257" s="7">
        <v>0</v>
      </c>
      <c r="L257" s="7">
        <v>0</v>
      </c>
      <c r="M257" s="9">
        <v>1</v>
      </c>
      <c r="N257" s="7">
        <v>1.7</v>
      </c>
      <c r="O257" s="7">
        <v>11.2</v>
      </c>
      <c r="P257" s="7">
        <v>4.3</v>
      </c>
      <c r="Q257" t="s">
        <v>39</v>
      </c>
      <c r="R257" s="7" t="str">
        <f>TEXT(Table1[[#This Row],[Date]],"mmm yyyy")</f>
        <v>Aug 2026</v>
      </c>
      <c r="S257" s="9">
        <f>YEAR(Table1[[#This Row],[Date]])</f>
        <v>2026</v>
      </c>
      <c r="T257" s="9"/>
      <c r="U257" s="9"/>
    </row>
    <row r="258" spans="1:21" hidden="1" x14ac:dyDescent="0.3">
      <c r="A258" t="s">
        <v>525</v>
      </c>
      <c r="B258" s="6">
        <v>46243</v>
      </c>
      <c r="C258" t="s">
        <v>26</v>
      </c>
      <c r="D258" t="s">
        <v>72</v>
      </c>
      <c r="E258" t="s">
        <v>37</v>
      </c>
      <c r="F258" t="s">
        <v>526</v>
      </c>
      <c r="G258" t="s">
        <v>50</v>
      </c>
      <c r="J258" s="9">
        <v>0</v>
      </c>
      <c r="K258" s="7">
        <v>0</v>
      </c>
      <c r="L258" s="7">
        <v>0</v>
      </c>
      <c r="M258" s="9">
        <v>1</v>
      </c>
      <c r="N258" s="7">
        <v>0.3</v>
      </c>
      <c r="O258" s="7">
        <v>2.1</v>
      </c>
      <c r="P258" s="7">
        <v>4.5</v>
      </c>
      <c r="Q258" t="s">
        <v>39</v>
      </c>
      <c r="R258" s="7" t="str">
        <f>TEXT(Table1[[#This Row],[Date]],"mmm yyyy")</f>
        <v>Aug 2026</v>
      </c>
      <c r="S258" s="9">
        <f>YEAR(Table1[[#This Row],[Date]])</f>
        <v>2026</v>
      </c>
      <c r="T258" s="9"/>
      <c r="U258" s="9"/>
    </row>
    <row r="259" spans="1:21" hidden="1" x14ac:dyDescent="0.3">
      <c r="A259" t="s">
        <v>527</v>
      </c>
      <c r="B259" s="6">
        <v>46090</v>
      </c>
      <c r="C259" t="s">
        <v>26</v>
      </c>
      <c r="D259" t="s">
        <v>27</v>
      </c>
      <c r="E259" t="s">
        <v>48</v>
      </c>
      <c r="F259" t="s">
        <v>342</v>
      </c>
      <c r="G259" t="s">
        <v>30</v>
      </c>
      <c r="J259" s="9">
        <v>0</v>
      </c>
      <c r="K259" s="7">
        <v>0</v>
      </c>
      <c r="L259" s="7">
        <v>0</v>
      </c>
      <c r="M259" s="9">
        <v>1</v>
      </c>
      <c r="N259" s="7">
        <v>6.2</v>
      </c>
      <c r="O259" s="7">
        <v>4.3</v>
      </c>
      <c r="P259" s="7">
        <v>4.2</v>
      </c>
      <c r="Q259" t="s">
        <v>39</v>
      </c>
      <c r="R259" s="7" t="str">
        <f>TEXT(Table1[[#This Row],[Date]],"mmm yyyy")</f>
        <v>Mar 2026</v>
      </c>
      <c r="S259" s="9">
        <f>YEAR(Table1[[#This Row],[Date]])</f>
        <v>2026</v>
      </c>
      <c r="T259" s="9"/>
      <c r="U259" s="9"/>
    </row>
    <row r="260" spans="1:21" hidden="1" x14ac:dyDescent="0.3">
      <c r="A260" t="s">
        <v>528</v>
      </c>
      <c r="B260" s="6">
        <v>46225</v>
      </c>
      <c r="C260" t="s">
        <v>26</v>
      </c>
      <c r="D260" t="s">
        <v>33</v>
      </c>
      <c r="E260" t="s">
        <v>20</v>
      </c>
      <c r="F260" t="s">
        <v>529</v>
      </c>
      <c r="G260" t="s">
        <v>22</v>
      </c>
      <c r="J260" s="9">
        <v>0</v>
      </c>
      <c r="K260" s="7">
        <v>0</v>
      </c>
      <c r="L260" s="7">
        <v>0</v>
      </c>
      <c r="M260" s="9">
        <v>1</v>
      </c>
      <c r="N260" s="7">
        <v>3.8</v>
      </c>
      <c r="O260" s="7">
        <v>8.8000000000000007</v>
      </c>
      <c r="P260" s="7">
        <v>4.0999999999999996</v>
      </c>
      <c r="Q260" t="s">
        <v>62</v>
      </c>
      <c r="R260" s="7" t="str">
        <f>TEXT(Table1[[#This Row],[Date]],"mmm yyyy")</f>
        <v>Jul 2026</v>
      </c>
      <c r="S260" s="9">
        <f>YEAR(Table1[[#This Row],[Date]])</f>
        <v>2026</v>
      </c>
      <c r="T260" s="9"/>
      <c r="U260" s="9"/>
    </row>
    <row r="261" spans="1:21" x14ac:dyDescent="0.3">
      <c r="A261" t="s">
        <v>530</v>
      </c>
      <c r="B261" s="6">
        <v>46118</v>
      </c>
      <c r="C261" t="s">
        <v>18</v>
      </c>
      <c r="D261" t="s">
        <v>19</v>
      </c>
      <c r="E261" t="s">
        <v>20</v>
      </c>
      <c r="F261" t="s">
        <v>531</v>
      </c>
      <c r="G261" t="s">
        <v>22</v>
      </c>
      <c r="H261" t="s">
        <v>78</v>
      </c>
      <c r="I261" t="s">
        <v>45</v>
      </c>
      <c r="J261" s="9">
        <v>1</v>
      </c>
      <c r="K261" s="7">
        <v>20100</v>
      </c>
      <c r="L261" s="7">
        <v>0</v>
      </c>
      <c r="M261" s="9"/>
      <c r="N261" s="7">
        <v>20.7</v>
      </c>
      <c r="O261" s="7"/>
      <c r="P261" s="7"/>
      <c r="Q261" t="s">
        <v>45</v>
      </c>
      <c r="R261" s="7" t="str">
        <f>TEXT(Table1[[#This Row],[Date]],"mmm yyyy")</f>
        <v>Apr 2026</v>
      </c>
      <c r="S261" s="9">
        <f>YEAR(Table1[[#This Row],[Date]])</f>
        <v>2026</v>
      </c>
      <c r="T261" s="9"/>
      <c r="U261" s="9"/>
    </row>
    <row r="262" spans="1:21" hidden="1" x14ac:dyDescent="0.3">
      <c r="A262" t="s">
        <v>532</v>
      </c>
      <c r="B262" s="6">
        <v>45908</v>
      </c>
      <c r="C262" t="s">
        <v>26</v>
      </c>
      <c r="D262" t="s">
        <v>69</v>
      </c>
      <c r="E262" t="s">
        <v>20</v>
      </c>
      <c r="F262" t="s">
        <v>108</v>
      </c>
      <c r="G262" t="s">
        <v>44</v>
      </c>
      <c r="J262" s="9">
        <v>0</v>
      </c>
      <c r="K262" s="7">
        <v>0</v>
      </c>
      <c r="L262" s="7">
        <v>0</v>
      </c>
      <c r="M262" s="9">
        <v>1</v>
      </c>
      <c r="N262" s="7">
        <v>8</v>
      </c>
      <c r="O262" s="7">
        <v>8.4</v>
      </c>
      <c r="P262" s="7">
        <v>2.6</v>
      </c>
      <c r="Q262" t="s">
        <v>39</v>
      </c>
      <c r="R262" s="7" t="str">
        <f>TEXT(Table1[[#This Row],[Date]],"mmm yyyy")</f>
        <v>Sep 2025</v>
      </c>
      <c r="S262" s="9">
        <f>YEAR(Table1[[#This Row],[Date]])</f>
        <v>2025</v>
      </c>
      <c r="T262" s="9"/>
      <c r="U262" s="9"/>
    </row>
    <row r="263" spans="1:21" hidden="1" x14ac:dyDescent="0.3">
      <c r="A263" t="s">
        <v>533</v>
      </c>
      <c r="B263" s="6">
        <v>46067</v>
      </c>
      <c r="C263" t="s">
        <v>26</v>
      </c>
      <c r="D263" t="s">
        <v>69</v>
      </c>
      <c r="E263" t="s">
        <v>28</v>
      </c>
      <c r="F263" t="s">
        <v>534</v>
      </c>
      <c r="G263" t="s">
        <v>30</v>
      </c>
      <c r="J263" s="9">
        <v>0</v>
      </c>
      <c r="K263" s="7">
        <v>0</v>
      </c>
      <c r="L263" s="7">
        <v>0</v>
      </c>
      <c r="M263" s="9">
        <v>1</v>
      </c>
      <c r="N263" s="7">
        <v>2.2999999999999998</v>
      </c>
      <c r="O263" s="7">
        <v>28.7</v>
      </c>
      <c r="P263" s="7">
        <v>3.4</v>
      </c>
      <c r="Q263" t="s">
        <v>31</v>
      </c>
      <c r="R263" s="7" t="str">
        <f>TEXT(Table1[[#This Row],[Date]],"mmm yyyy")</f>
        <v>Feb 2026</v>
      </c>
      <c r="S263" s="9">
        <f>YEAR(Table1[[#This Row],[Date]])</f>
        <v>2026</v>
      </c>
      <c r="T263" s="9"/>
      <c r="U263" s="9"/>
    </row>
    <row r="264" spans="1:21" x14ac:dyDescent="0.3">
      <c r="A264" t="s">
        <v>535</v>
      </c>
      <c r="B264" s="6">
        <v>46111</v>
      </c>
      <c r="C264" t="s">
        <v>18</v>
      </c>
      <c r="D264" t="s">
        <v>52</v>
      </c>
      <c r="E264" t="s">
        <v>20</v>
      </c>
      <c r="F264" t="s">
        <v>536</v>
      </c>
      <c r="G264" t="s">
        <v>22</v>
      </c>
      <c r="H264" t="s">
        <v>78</v>
      </c>
      <c r="I264" t="s">
        <v>89</v>
      </c>
      <c r="J264" s="9">
        <v>1</v>
      </c>
      <c r="K264" s="7">
        <v>10300</v>
      </c>
      <c r="L264" s="7">
        <v>0</v>
      </c>
      <c r="M264" s="9"/>
      <c r="N264" s="7">
        <v>7</v>
      </c>
      <c r="O264" s="7"/>
      <c r="P264" s="7"/>
      <c r="Q264" t="s">
        <v>89</v>
      </c>
      <c r="R264" s="7" t="str">
        <f>TEXT(Table1[[#This Row],[Date]],"mmm yyyy")</f>
        <v>Mar 2026</v>
      </c>
      <c r="S264" s="9">
        <f>YEAR(Table1[[#This Row],[Date]])</f>
        <v>2026</v>
      </c>
      <c r="T264" s="9"/>
      <c r="U264" s="9"/>
    </row>
    <row r="265" spans="1:21" x14ac:dyDescent="0.3">
      <c r="A265" t="s">
        <v>537</v>
      </c>
      <c r="B265" s="6">
        <v>46037</v>
      </c>
      <c r="C265" t="s">
        <v>18</v>
      </c>
      <c r="D265" t="s">
        <v>47</v>
      </c>
      <c r="E265" t="s">
        <v>20</v>
      </c>
      <c r="F265" t="s">
        <v>538</v>
      </c>
      <c r="G265" t="s">
        <v>30</v>
      </c>
      <c r="H265" t="s">
        <v>23</v>
      </c>
      <c r="I265" t="s">
        <v>67</v>
      </c>
      <c r="J265" s="9">
        <v>1</v>
      </c>
      <c r="K265" s="7">
        <v>36100</v>
      </c>
      <c r="L265" s="7">
        <v>0</v>
      </c>
      <c r="M265" s="9"/>
      <c r="N265" s="7">
        <v>19.8</v>
      </c>
      <c r="O265" s="7"/>
      <c r="P265" s="7"/>
      <c r="Q265" t="s">
        <v>67</v>
      </c>
      <c r="R265" s="7" t="str">
        <f>TEXT(Table1[[#This Row],[Date]],"mmm yyyy")</f>
        <v>Jan 2026</v>
      </c>
      <c r="S265" s="9">
        <f>YEAR(Table1[[#This Row],[Date]])</f>
        <v>2026</v>
      </c>
      <c r="T265" s="9"/>
      <c r="U265" s="9"/>
    </row>
    <row r="266" spans="1:21" hidden="1" x14ac:dyDescent="0.3">
      <c r="A266" t="s">
        <v>539</v>
      </c>
      <c r="B266" s="6">
        <v>46194</v>
      </c>
      <c r="C266" t="s">
        <v>26</v>
      </c>
      <c r="D266" t="s">
        <v>33</v>
      </c>
      <c r="E266" t="s">
        <v>48</v>
      </c>
      <c r="F266" t="s">
        <v>540</v>
      </c>
      <c r="G266" t="s">
        <v>30</v>
      </c>
      <c r="J266" s="9">
        <v>0</v>
      </c>
      <c r="K266" s="7">
        <v>0</v>
      </c>
      <c r="L266" s="7">
        <v>0</v>
      </c>
      <c r="M266" s="9">
        <v>1</v>
      </c>
      <c r="N266" s="7">
        <v>7.2</v>
      </c>
      <c r="O266" s="7">
        <v>3.9</v>
      </c>
      <c r="P266" s="7">
        <v>3.1</v>
      </c>
      <c r="Q266" t="s">
        <v>31</v>
      </c>
      <c r="R266" s="7" t="str">
        <f>TEXT(Table1[[#This Row],[Date]],"mmm yyyy")</f>
        <v>Jun 2026</v>
      </c>
      <c r="S266" s="9">
        <f>YEAR(Table1[[#This Row],[Date]])</f>
        <v>2026</v>
      </c>
      <c r="T266" s="9"/>
      <c r="U266" s="9"/>
    </row>
    <row r="267" spans="1:21" hidden="1" x14ac:dyDescent="0.3">
      <c r="A267" t="s">
        <v>541</v>
      </c>
      <c r="B267" s="6">
        <v>46228</v>
      </c>
      <c r="C267" t="s">
        <v>26</v>
      </c>
      <c r="D267" t="s">
        <v>72</v>
      </c>
      <c r="E267" t="s">
        <v>48</v>
      </c>
      <c r="F267" t="s">
        <v>542</v>
      </c>
      <c r="G267" t="s">
        <v>30</v>
      </c>
      <c r="J267" s="9">
        <v>0</v>
      </c>
      <c r="K267" s="7">
        <v>0</v>
      </c>
      <c r="L267" s="7">
        <v>0</v>
      </c>
      <c r="M267" s="9">
        <v>1</v>
      </c>
      <c r="N267" s="7">
        <v>5.6</v>
      </c>
      <c r="O267" s="7">
        <v>10.9</v>
      </c>
      <c r="P267" s="7">
        <v>4.4000000000000004</v>
      </c>
      <c r="Q267" t="s">
        <v>62</v>
      </c>
      <c r="R267" s="7" t="str">
        <f>TEXT(Table1[[#This Row],[Date]],"mmm yyyy")</f>
        <v>Jul 2026</v>
      </c>
      <c r="S267" s="9">
        <f>YEAR(Table1[[#This Row],[Date]])</f>
        <v>2026</v>
      </c>
      <c r="T267" s="9"/>
      <c r="U267" s="9"/>
    </row>
    <row r="268" spans="1:21" hidden="1" x14ac:dyDescent="0.3">
      <c r="A268" t="s">
        <v>543</v>
      </c>
      <c r="B268" s="6">
        <v>45951</v>
      </c>
      <c r="C268" t="s">
        <v>26</v>
      </c>
      <c r="D268" t="s">
        <v>36</v>
      </c>
      <c r="E268" t="s">
        <v>42</v>
      </c>
      <c r="F268" t="s">
        <v>544</v>
      </c>
      <c r="G268" t="s">
        <v>22</v>
      </c>
      <c r="J268" s="9">
        <v>0</v>
      </c>
      <c r="K268" s="7">
        <v>0</v>
      </c>
      <c r="L268" s="7">
        <v>0</v>
      </c>
      <c r="M268" s="9">
        <v>1</v>
      </c>
      <c r="N268" s="7">
        <v>0.8</v>
      </c>
      <c r="O268" s="7">
        <v>12.2</v>
      </c>
      <c r="P268" s="7">
        <v>3.4</v>
      </c>
      <c r="Q268" t="s">
        <v>39</v>
      </c>
      <c r="R268" s="7" t="str">
        <f>TEXT(Table1[[#This Row],[Date]],"mmm yyyy")</f>
        <v>Oct 2025</v>
      </c>
      <c r="S268" s="9">
        <f>YEAR(Table1[[#This Row],[Date]])</f>
        <v>2025</v>
      </c>
      <c r="T268" s="9"/>
      <c r="U268" s="9"/>
    </row>
    <row r="269" spans="1:21" hidden="1" x14ac:dyDescent="0.3">
      <c r="A269" t="s">
        <v>545</v>
      </c>
      <c r="B269" s="6">
        <v>46018</v>
      </c>
      <c r="C269" t="s">
        <v>26</v>
      </c>
      <c r="D269" t="s">
        <v>114</v>
      </c>
      <c r="E269" t="s">
        <v>48</v>
      </c>
      <c r="F269" t="s">
        <v>546</v>
      </c>
      <c r="G269" t="s">
        <v>44</v>
      </c>
      <c r="J269" s="9">
        <v>0</v>
      </c>
      <c r="K269" s="7">
        <v>0</v>
      </c>
      <c r="L269" s="7">
        <v>0</v>
      </c>
      <c r="M269" s="9">
        <v>1</v>
      </c>
      <c r="N269" s="7">
        <v>3.8</v>
      </c>
      <c r="O269" s="7">
        <v>12.6</v>
      </c>
      <c r="P269" s="7">
        <v>4.9000000000000004</v>
      </c>
      <c r="Q269" t="s">
        <v>31</v>
      </c>
      <c r="R269" s="7" t="str">
        <f>TEXT(Table1[[#This Row],[Date]],"mmm yyyy")</f>
        <v>Dec 2025</v>
      </c>
      <c r="S269" s="9">
        <f>YEAR(Table1[[#This Row],[Date]])</f>
        <v>2025</v>
      </c>
      <c r="T269" s="9"/>
      <c r="U269" s="9"/>
    </row>
    <row r="270" spans="1:21" x14ac:dyDescent="0.3">
      <c r="A270" t="s">
        <v>547</v>
      </c>
      <c r="B270" s="6">
        <v>45928</v>
      </c>
      <c r="C270" t="s">
        <v>18</v>
      </c>
      <c r="D270" t="s">
        <v>52</v>
      </c>
      <c r="E270" t="s">
        <v>48</v>
      </c>
      <c r="F270" t="s">
        <v>276</v>
      </c>
      <c r="G270" t="s">
        <v>30</v>
      </c>
      <c r="H270" t="s">
        <v>86</v>
      </c>
      <c r="I270" t="s">
        <v>55</v>
      </c>
      <c r="J270" s="9">
        <v>1</v>
      </c>
      <c r="K270" s="7">
        <v>5000</v>
      </c>
      <c r="L270" s="7">
        <v>0</v>
      </c>
      <c r="M270" s="9"/>
      <c r="N270" s="7">
        <v>4.4000000000000004</v>
      </c>
      <c r="O270" s="7"/>
      <c r="P270" s="7"/>
      <c r="Q270" t="s">
        <v>55</v>
      </c>
      <c r="R270" s="7" t="str">
        <f>TEXT(Table1[[#This Row],[Date]],"mmm yyyy")</f>
        <v>Sep 2025</v>
      </c>
      <c r="S270" s="9">
        <f>YEAR(Table1[[#This Row],[Date]])</f>
        <v>2025</v>
      </c>
      <c r="T270" s="9"/>
      <c r="U270" s="9"/>
    </row>
    <row r="271" spans="1:21" x14ac:dyDescent="0.3">
      <c r="A271" t="s">
        <v>548</v>
      </c>
      <c r="B271" s="6">
        <v>45935</v>
      </c>
      <c r="C271" t="s">
        <v>18</v>
      </c>
      <c r="D271" t="s">
        <v>64</v>
      </c>
      <c r="E271" t="s">
        <v>37</v>
      </c>
      <c r="F271" t="s">
        <v>549</v>
      </c>
      <c r="G271" t="s">
        <v>30</v>
      </c>
      <c r="H271" t="s">
        <v>78</v>
      </c>
      <c r="I271" t="s">
        <v>45</v>
      </c>
      <c r="J271" s="9">
        <v>1</v>
      </c>
      <c r="K271" s="7">
        <v>5700</v>
      </c>
      <c r="L271" s="7">
        <v>0</v>
      </c>
      <c r="M271" s="9"/>
      <c r="N271" s="7">
        <v>16</v>
      </c>
      <c r="O271" s="7"/>
      <c r="P271" s="7"/>
      <c r="Q271" t="s">
        <v>45</v>
      </c>
      <c r="R271" s="7" t="str">
        <f>TEXT(Table1[[#This Row],[Date]],"mmm yyyy")</f>
        <v>Oct 2025</v>
      </c>
      <c r="S271" s="9">
        <f>YEAR(Table1[[#This Row],[Date]])</f>
        <v>2025</v>
      </c>
      <c r="T271" s="9"/>
      <c r="U271" s="9"/>
    </row>
    <row r="272" spans="1:21" hidden="1" x14ac:dyDescent="0.3">
      <c r="A272" t="s">
        <v>550</v>
      </c>
      <c r="B272" s="6">
        <v>45964</v>
      </c>
      <c r="C272" t="s">
        <v>26</v>
      </c>
      <c r="D272" t="s">
        <v>126</v>
      </c>
      <c r="E272" t="s">
        <v>20</v>
      </c>
      <c r="F272" t="s">
        <v>551</v>
      </c>
      <c r="G272" t="s">
        <v>30</v>
      </c>
      <c r="J272" s="9">
        <v>0</v>
      </c>
      <c r="K272" s="7">
        <v>0</v>
      </c>
      <c r="L272" s="7">
        <v>0</v>
      </c>
      <c r="M272" s="9">
        <v>1</v>
      </c>
      <c r="N272" s="7">
        <v>5</v>
      </c>
      <c r="O272" s="7">
        <v>4.8</v>
      </c>
      <c r="P272" s="7">
        <v>3.1</v>
      </c>
      <c r="Q272" t="s">
        <v>39</v>
      </c>
      <c r="R272" s="7" t="str">
        <f>TEXT(Table1[[#This Row],[Date]],"mmm yyyy")</f>
        <v>Nov 2025</v>
      </c>
      <c r="S272" s="9">
        <f>YEAR(Table1[[#This Row],[Date]])</f>
        <v>2025</v>
      </c>
      <c r="T272" s="9"/>
      <c r="U272" s="9"/>
    </row>
    <row r="273" spans="1:21" hidden="1" x14ac:dyDescent="0.3">
      <c r="A273" t="s">
        <v>552</v>
      </c>
      <c r="B273" s="6">
        <v>46230</v>
      </c>
      <c r="C273" t="s">
        <v>26</v>
      </c>
      <c r="D273" t="s">
        <v>33</v>
      </c>
      <c r="E273" t="s">
        <v>20</v>
      </c>
      <c r="F273" t="s">
        <v>59</v>
      </c>
      <c r="G273" t="s">
        <v>30</v>
      </c>
      <c r="J273" s="9">
        <v>0</v>
      </c>
      <c r="K273" s="7">
        <v>0</v>
      </c>
      <c r="L273" s="7">
        <v>0</v>
      </c>
      <c r="M273" s="9">
        <v>1</v>
      </c>
      <c r="N273" s="7">
        <v>4.9000000000000004</v>
      </c>
      <c r="O273" s="7">
        <v>4.3</v>
      </c>
      <c r="P273" s="7">
        <v>4.4000000000000004</v>
      </c>
      <c r="Q273" t="s">
        <v>39</v>
      </c>
      <c r="R273" s="7" t="str">
        <f>TEXT(Table1[[#This Row],[Date]],"mmm yyyy")</f>
        <v>Jul 2026</v>
      </c>
      <c r="S273" s="9">
        <f>YEAR(Table1[[#This Row],[Date]])</f>
        <v>2026</v>
      </c>
      <c r="T273" s="9"/>
      <c r="U273" s="9"/>
    </row>
    <row r="274" spans="1:21" hidden="1" x14ac:dyDescent="0.3">
      <c r="A274" t="s">
        <v>553</v>
      </c>
      <c r="B274" s="6">
        <v>45904</v>
      </c>
      <c r="C274" t="s">
        <v>26</v>
      </c>
      <c r="D274" t="s">
        <v>126</v>
      </c>
      <c r="E274" t="s">
        <v>37</v>
      </c>
      <c r="F274" t="s">
        <v>554</v>
      </c>
      <c r="G274" t="s">
        <v>22</v>
      </c>
      <c r="J274" s="9">
        <v>0</v>
      </c>
      <c r="K274" s="7">
        <v>0</v>
      </c>
      <c r="L274" s="7">
        <v>0</v>
      </c>
      <c r="M274" s="9">
        <v>1</v>
      </c>
      <c r="N274" s="7">
        <v>6.7</v>
      </c>
      <c r="O274" s="7">
        <v>14.1</v>
      </c>
      <c r="P274" s="7">
        <v>3.8</v>
      </c>
      <c r="Q274" t="s">
        <v>62</v>
      </c>
      <c r="R274" s="7" t="str">
        <f>TEXT(Table1[[#This Row],[Date]],"mmm yyyy")</f>
        <v>Sep 2025</v>
      </c>
      <c r="S274" s="9">
        <f>YEAR(Table1[[#This Row],[Date]])</f>
        <v>2025</v>
      </c>
      <c r="T274" s="9"/>
      <c r="U274" s="9"/>
    </row>
    <row r="275" spans="1:21" hidden="1" x14ac:dyDescent="0.3">
      <c r="A275" t="s">
        <v>555</v>
      </c>
      <c r="B275" s="6">
        <v>46153</v>
      </c>
      <c r="C275" t="s">
        <v>26</v>
      </c>
      <c r="D275" t="s">
        <v>232</v>
      </c>
      <c r="E275" t="s">
        <v>20</v>
      </c>
      <c r="F275" t="s">
        <v>184</v>
      </c>
      <c r="G275" t="s">
        <v>30</v>
      </c>
      <c r="J275" s="9">
        <v>0</v>
      </c>
      <c r="K275" s="7">
        <v>0</v>
      </c>
      <c r="L275" s="7">
        <v>0</v>
      </c>
      <c r="M275" s="9">
        <v>1</v>
      </c>
      <c r="N275" s="7">
        <v>8.1999999999999993</v>
      </c>
      <c r="O275" s="7">
        <v>3.6</v>
      </c>
      <c r="P275" s="7">
        <v>4.3</v>
      </c>
      <c r="Q275" t="s">
        <v>39</v>
      </c>
      <c r="R275" s="7" t="str">
        <f>TEXT(Table1[[#This Row],[Date]],"mmm yyyy")</f>
        <v>May 2026</v>
      </c>
      <c r="S275" s="9">
        <f>YEAR(Table1[[#This Row],[Date]])</f>
        <v>2026</v>
      </c>
      <c r="T275" s="9"/>
      <c r="U275" s="9"/>
    </row>
    <row r="276" spans="1:21" x14ac:dyDescent="0.3">
      <c r="A276" t="s">
        <v>556</v>
      </c>
      <c r="B276" s="6">
        <v>45916</v>
      </c>
      <c r="C276" t="s">
        <v>18</v>
      </c>
      <c r="D276" t="s">
        <v>105</v>
      </c>
      <c r="E276" t="s">
        <v>48</v>
      </c>
      <c r="F276" t="s">
        <v>471</v>
      </c>
      <c r="G276" t="s">
        <v>22</v>
      </c>
      <c r="H276" t="s">
        <v>54</v>
      </c>
      <c r="I276" t="s">
        <v>79</v>
      </c>
      <c r="J276" s="9">
        <v>1</v>
      </c>
      <c r="K276" s="7">
        <v>27300</v>
      </c>
      <c r="L276" s="7">
        <v>0</v>
      </c>
      <c r="M276" s="9"/>
      <c r="N276" s="7">
        <v>18.2</v>
      </c>
      <c r="O276" s="7"/>
      <c r="P276" s="7"/>
      <c r="Q276" t="s">
        <v>79</v>
      </c>
      <c r="R276" s="7" t="str">
        <f>TEXT(Table1[[#This Row],[Date]],"mmm yyyy")</f>
        <v>Sep 2025</v>
      </c>
      <c r="S276" s="9">
        <f>YEAR(Table1[[#This Row],[Date]])</f>
        <v>2025</v>
      </c>
      <c r="T276" s="9"/>
      <c r="U276" s="9"/>
    </row>
    <row r="277" spans="1:21" x14ac:dyDescent="0.3">
      <c r="A277" t="s">
        <v>557</v>
      </c>
      <c r="B277" s="6">
        <v>45939</v>
      </c>
      <c r="C277" t="s">
        <v>18</v>
      </c>
      <c r="D277" t="s">
        <v>19</v>
      </c>
      <c r="E277" t="s">
        <v>48</v>
      </c>
      <c r="F277" t="s">
        <v>558</v>
      </c>
      <c r="G277" t="s">
        <v>44</v>
      </c>
      <c r="H277" t="s">
        <v>78</v>
      </c>
      <c r="I277" t="s">
        <v>79</v>
      </c>
      <c r="J277" s="9">
        <v>1</v>
      </c>
      <c r="K277" s="7">
        <v>7800</v>
      </c>
      <c r="L277" s="7">
        <v>0</v>
      </c>
      <c r="M277" s="9"/>
      <c r="N277" s="7">
        <v>5.0999999999999996</v>
      </c>
      <c r="O277" s="7"/>
      <c r="P277" s="7"/>
      <c r="Q277" t="s">
        <v>79</v>
      </c>
      <c r="R277" s="7" t="str">
        <f>TEXT(Table1[[#This Row],[Date]],"mmm yyyy")</f>
        <v>Oct 2025</v>
      </c>
      <c r="S277" s="9">
        <f>YEAR(Table1[[#This Row],[Date]])</f>
        <v>2025</v>
      </c>
      <c r="T277" s="9"/>
      <c r="U277" s="9"/>
    </row>
    <row r="278" spans="1:21" hidden="1" x14ac:dyDescent="0.3">
      <c r="A278" t="s">
        <v>559</v>
      </c>
      <c r="B278" s="6">
        <v>46153</v>
      </c>
      <c r="C278" t="s">
        <v>26</v>
      </c>
      <c r="D278" t="s">
        <v>232</v>
      </c>
      <c r="E278" t="s">
        <v>20</v>
      </c>
      <c r="F278" t="s">
        <v>560</v>
      </c>
      <c r="G278" t="s">
        <v>50</v>
      </c>
      <c r="J278" s="9">
        <v>0</v>
      </c>
      <c r="K278" s="7">
        <v>0</v>
      </c>
      <c r="L278" s="7">
        <v>0</v>
      </c>
      <c r="M278" s="9">
        <v>1</v>
      </c>
      <c r="N278" s="7">
        <v>2.2000000000000002</v>
      </c>
      <c r="O278" s="7">
        <v>9.8000000000000007</v>
      </c>
      <c r="P278" s="7">
        <v>3.3</v>
      </c>
      <c r="Q278" t="s">
        <v>62</v>
      </c>
      <c r="R278" s="7" t="str">
        <f>TEXT(Table1[[#This Row],[Date]],"mmm yyyy")</f>
        <v>May 2026</v>
      </c>
      <c r="S278" s="9">
        <f>YEAR(Table1[[#This Row],[Date]])</f>
        <v>2026</v>
      </c>
      <c r="T278" s="9"/>
      <c r="U278" s="9"/>
    </row>
    <row r="279" spans="1:21" hidden="1" x14ac:dyDescent="0.3">
      <c r="A279" t="s">
        <v>561</v>
      </c>
      <c r="B279" s="6">
        <v>46257</v>
      </c>
      <c r="C279" t="s">
        <v>26</v>
      </c>
      <c r="D279" t="s">
        <v>232</v>
      </c>
      <c r="E279" t="s">
        <v>20</v>
      </c>
      <c r="F279" t="s">
        <v>220</v>
      </c>
      <c r="G279" t="s">
        <v>44</v>
      </c>
      <c r="J279" s="9">
        <v>0</v>
      </c>
      <c r="K279" s="7">
        <v>0</v>
      </c>
      <c r="L279" s="7">
        <v>0</v>
      </c>
      <c r="M279" s="9">
        <v>1</v>
      </c>
      <c r="N279" s="7">
        <v>11.4</v>
      </c>
      <c r="O279" s="7">
        <v>4.8</v>
      </c>
      <c r="P279" s="7">
        <v>2.2000000000000002</v>
      </c>
      <c r="Q279" t="s">
        <v>39</v>
      </c>
      <c r="R279" s="7" t="str">
        <f>TEXT(Table1[[#This Row],[Date]],"mmm yyyy")</f>
        <v>Aug 2026</v>
      </c>
      <c r="S279" s="9">
        <f>YEAR(Table1[[#This Row],[Date]])</f>
        <v>2026</v>
      </c>
      <c r="T279" s="9"/>
      <c r="U279" s="9"/>
    </row>
    <row r="280" spans="1:21" hidden="1" x14ac:dyDescent="0.3">
      <c r="A280" t="s">
        <v>562</v>
      </c>
      <c r="B280" s="6">
        <v>46080</v>
      </c>
      <c r="C280" t="s">
        <v>26</v>
      </c>
      <c r="D280" t="s">
        <v>126</v>
      </c>
      <c r="E280" t="s">
        <v>20</v>
      </c>
      <c r="F280" t="s">
        <v>563</v>
      </c>
      <c r="G280" t="s">
        <v>22</v>
      </c>
      <c r="J280" s="9">
        <v>0</v>
      </c>
      <c r="K280" s="7">
        <v>0</v>
      </c>
      <c r="L280" s="7">
        <v>0</v>
      </c>
      <c r="M280" s="9">
        <v>1</v>
      </c>
      <c r="N280" s="7">
        <v>2.4</v>
      </c>
      <c r="O280" s="7">
        <v>21.2</v>
      </c>
      <c r="P280" s="7">
        <v>3.8</v>
      </c>
      <c r="Q280" t="s">
        <v>31</v>
      </c>
      <c r="R280" s="7" t="str">
        <f>TEXT(Table1[[#This Row],[Date]],"mmm yyyy")</f>
        <v>Feb 2026</v>
      </c>
      <c r="S280" s="9">
        <f>YEAR(Table1[[#This Row],[Date]])</f>
        <v>2026</v>
      </c>
      <c r="T280" s="9"/>
      <c r="U280" s="9"/>
    </row>
    <row r="281" spans="1:21" hidden="1" x14ac:dyDescent="0.3">
      <c r="A281" t="s">
        <v>564</v>
      </c>
      <c r="B281" s="6">
        <v>46264</v>
      </c>
      <c r="C281" t="s">
        <v>26</v>
      </c>
      <c r="D281" t="s">
        <v>69</v>
      </c>
      <c r="E281" t="s">
        <v>20</v>
      </c>
      <c r="F281" t="s">
        <v>138</v>
      </c>
      <c r="G281" t="s">
        <v>44</v>
      </c>
      <c r="J281" s="9">
        <v>0</v>
      </c>
      <c r="K281" s="7">
        <v>0</v>
      </c>
      <c r="L281" s="7">
        <v>0</v>
      </c>
      <c r="M281" s="9">
        <v>1</v>
      </c>
      <c r="N281" s="7">
        <v>7.1</v>
      </c>
      <c r="O281" s="7">
        <v>15.5</v>
      </c>
      <c r="P281" s="7">
        <v>3.9</v>
      </c>
      <c r="Q281" t="s">
        <v>62</v>
      </c>
      <c r="R281" s="7" t="str">
        <f>TEXT(Table1[[#This Row],[Date]],"mmm yyyy")</f>
        <v>Aug 2026</v>
      </c>
      <c r="S281" s="9">
        <f>YEAR(Table1[[#This Row],[Date]])</f>
        <v>2026</v>
      </c>
      <c r="T281" s="9"/>
      <c r="U281" s="9"/>
    </row>
    <row r="282" spans="1:21" hidden="1" x14ac:dyDescent="0.3">
      <c r="A282" t="s">
        <v>565</v>
      </c>
      <c r="B282" s="6">
        <v>46072</v>
      </c>
      <c r="C282" t="s">
        <v>26</v>
      </c>
      <c r="D282" t="s">
        <v>114</v>
      </c>
      <c r="E282" t="s">
        <v>42</v>
      </c>
      <c r="F282" t="s">
        <v>566</v>
      </c>
      <c r="G282" t="s">
        <v>30</v>
      </c>
      <c r="J282" s="9">
        <v>0</v>
      </c>
      <c r="K282" s="7">
        <v>0</v>
      </c>
      <c r="L282" s="7">
        <v>0</v>
      </c>
      <c r="M282" s="9">
        <v>1</v>
      </c>
      <c r="N282" s="7">
        <v>0.3</v>
      </c>
      <c r="O282" s="7">
        <v>10.6</v>
      </c>
      <c r="P282" s="7">
        <v>3.7</v>
      </c>
      <c r="Q282" t="s">
        <v>39</v>
      </c>
      <c r="R282" s="7" t="str">
        <f>TEXT(Table1[[#This Row],[Date]],"mmm yyyy")</f>
        <v>Feb 2026</v>
      </c>
      <c r="S282" s="9">
        <f>YEAR(Table1[[#This Row],[Date]])</f>
        <v>2026</v>
      </c>
      <c r="T282" s="9"/>
      <c r="U282" s="9"/>
    </row>
    <row r="283" spans="1:21" x14ac:dyDescent="0.3">
      <c r="A283" t="s">
        <v>567</v>
      </c>
      <c r="B283" s="6">
        <v>46124</v>
      </c>
      <c r="C283" t="s">
        <v>18</v>
      </c>
      <c r="D283" t="s">
        <v>41</v>
      </c>
      <c r="E283" t="s">
        <v>20</v>
      </c>
      <c r="F283" t="s">
        <v>568</v>
      </c>
      <c r="G283" t="s">
        <v>22</v>
      </c>
      <c r="H283" t="s">
        <v>54</v>
      </c>
      <c r="I283" t="s">
        <v>55</v>
      </c>
      <c r="J283" s="9">
        <v>1</v>
      </c>
      <c r="K283" s="7">
        <v>16500</v>
      </c>
      <c r="L283" s="7">
        <v>0</v>
      </c>
      <c r="M283" s="9"/>
      <c r="N283" s="7">
        <v>14.7</v>
      </c>
      <c r="O283" s="7"/>
      <c r="P283" s="7"/>
      <c r="Q283" t="s">
        <v>55</v>
      </c>
      <c r="R283" s="7" t="str">
        <f>TEXT(Table1[[#This Row],[Date]],"mmm yyyy")</f>
        <v>Apr 2026</v>
      </c>
      <c r="S283" s="9">
        <f>YEAR(Table1[[#This Row],[Date]])</f>
        <v>2026</v>
      </c>
      <c r="T283" s="9"/>
      <c r="U283" s="9"/>
    </row>
    <row r="284" spans="1:21" x14ac:dyDescent="0.3">
      <c r="A284" t="s">
        <v>569</v>
      </c>
      <c r="B284" s="6">
        <v>45942</v>
      </c>
      <c r="C284" t="s">
        <v>18</v>
      </c>
      <c r="D284" t="s">
        <v>52</v>
      </c>
      <c r="E284" t="s">
        <v>20</v>
      </c>
      <c r="F284" t="s">
        <v>570</v>
      </c>
      <c r="G284" t="s">
        <v>30</v>
      </c>
      <c r="H284" t="s">
        <v>78</v>
      </c>
      <c r="I284" t="s">
        <v>24</v>
      </c>
      <c r="J284" s="9">
        <v>1</v>
      </c>
      <c r="K284" s="7">
        <v>11600</v>
      </c>
      <c r="L284" s="7">
        <v>11600</v>
      </c>
      <c r="M284" s="9"/>
      <c r="N284" s="7">
        <v>14.6</v>
      </c>
      <c r="O284" s="7"/>
      <c r="P284" s="7"/>
      <c r="Q284" t="s">
        <v>24</v>
      </c>
      <c r="R284" s="7" t="str">
        <f>TEXT(Table1[[#This Row],[Date]],"mmm yyyy")</f>
        <v>Oct 2025</v>
      </c>
      <c r="S284" s="9">
        <f>YEAR(Table1[[#This Row],[Date]])</f>
        <v>2025</v>
      </c>
      <c r="T284" s="9"/>
      <c r="U284" s="9"/>
    </row>
    <row r="285" spans="1:21" x14ac:dyDescent="0.3">
      <c r="A285" t="s">
        <v>571</v>
      </c>
      <c r="B285" s="6">
        <v>46011</v>
      </c>
      <c r="C285" t="s">
        <v>18</v>
      </c>
      <c r="D285" t="s">
        <v>64</v>
      </c>
      <c r="E285" t="s">
        <v>28</v>
      </c>
      <c r="F285" t="s">
        <v>572</v>
      </c>
      <c r="G285" t="s">
        <v>22</v>
      </c>
      <c r="H285" t="s">
        <v>86</v>
      </c>
      <c r="I285" t="s">
        <v>89</v>
      </c>
      <c r="J285" s="9">
        <v>1</v>
      </c>
      <c r="K285" s="7">
        <v>40500</v>
      </c>
      <c r="L285" s="7">
        <v>0</v>
      </c>
      <c r="M285" s="9"/>
      <c r="N285" s="7">
        <v>11.6</v>
      </c>
      <c r="O285" s="7"/>
      <c r="P285" s="7"/>
      <c r="Q285" t="s">
        <v>89</v>
      </c>
      <c r="R285" s="7" t="str">
        <f>TEXT(Table1[[#This Row],[Date]],"mmm yyyy")</f>
        <v>Dec 2025</v>
      </c>
      <c r="S285" s="9">
        <f>YEAR(Table1[[#This Row],[Date]])</f>
        <v>2025</v>
      </c>
      <c r="T285" s="9"/>
      <c r="U285" s="9"/>
    </row>
    <row r="286" spans="1:21" hidden="1" x14ac:dyDescent="0.3">
      <c r="A286" t="s">
        <v>573</v>
      </c>
      <c r="B286" s="6">
        <v>46079</v>
      </c>
      <c r="C286" t="s">
        <v>26</v>
      </c>
      <c r="D286" t="s">
        <v>33</v>
      </c>
      <c r="E286" t="s">
        <v>20</v>
      </c>
      <c r="F286" t="s">
        <v>574</v>
      </c>
      <c r="G286" t="s">
        <v>30</v>
      </c>
      <c r="J286" s="9">
        <v>0</v>
      </c>
      <c r="K286" s="7">
        <v>0</v>
      </c>
      <c r="L286" s="7">
        <v>0</v>
      </c>
      <c r="M286" s="9">
        <v>1</v>
      </c>
      <c r="N286" s="7">
        <v>6.8</v>
      </c>
      <c r="O286" s="7">
        <v>14.4</v>
      </c>
      <c r="P286" s="7">
        <v>4.2</v>
      </c>
      <c r="Q286" t="s">
        <v>31</v>
      </c>
      <c r="R286" s="7" t="str">
        <f>TEXT(Table1[[#This Row],[Date]],"mmm yyyy")</f>
        <v>Feb 2026</v>
      </c>
      <c r="S286" s="9">
        <f>YEAR(Table1[[#This Row],[Date]])</f>
        <v>2026</v>
      </c>
      <c r="T286" s="9"/>
      <c r="U286" s="9"/>
    </row>
    <row r="287" spans="1:21" x14ac:dyDescent="0.3">
      <c r="A287" t="s">
        <v>575</v>
      </c>
      <c r="B287" s="6">
        <v>46227</v>
      </c>
      <c r="C287" t="s">
        <v>18</v>
      </c>
      <c r="D287" t="s">
        <v>52</v>
      </c>
      <c r="E287" t="s">
        <v>20</v>
      </c>
      <c r="F287" t="s">
        <v>103</v>
      </c>
      <c r="G287" t="s">
        <v>30</v>
      </c>
      <c r="H287" t="s">
        <v>23</v>
      </c>
      <c r="I287" t="s">
        <v>24</v>
      </c>
      <c r="J287" s="9">
        <v>1</v>
      </c>
      <c r="K287" s="7">
        <v>15300</v>
      </c>
      <c r="L287" s="7">
        <v>15300</v>
      </c>
      <c r="M287" s="9"/>
      <c r="N287" s="7">
        <v>2.2999999999999998</v>
      </c>
      <c r="O287" s="7"/>
      <c r="P287" s="7"/>
      <c r="Q287" t="s">
        <v>24</v>
      </c>
      <c r="R287" s="7" t="str">
        <f>TEXT(Table1[[#This Row],[Date]],"mmm yyyy")</f>
        <v>Jul 2026</v>
      </c>
      <c r="S287" s="9">
        <f>YEAR(Table1[[#This Row],[Date]])</f>
        <v>2026</v>
      </c>
      <c r="T287" s="9"/>
      <c r="U287" s="9"/>
    </row>
    <row r="288" spans="1:21" x14ac:dyDescent="0.3">
      <c r="A288" t="s">
        <v>576</v>
      </c>
      <c r="B288" s="6">
        <v>45912</v>
      </c>
      <c r="C288" t="s">
        <v>18</v>
      </c>
      <c r="D288" t="s">
        <v>52</v>
      </c>
      <c r="E288" t="s">
        <v>42</v>
      </c>
      <c r="F288" t="s">
        <v>230</v>
      </c>
      <c r="G288" t="s">
        <v>44</v>
      </c>
      <c r="H288" t="s">
        <v>86</v>
      </c>
      <c r="I288" t="s">
        <v>89</v>
      </c>
      <c r="J288" s="9">
        <v>1</v>
      </c>
      <c r="K288" s="7">
        <v>40800</v>
      </c>
      <c r="L288" s="7">
        <v>0</v>
      </c>
      <c r="M288" s="9"/>
      <c r="N288" s="7">
        <v>1.9</v>
      </c>
      <c r="O288" s="7"/>
      <c r="P288" s="7"/>
      <c r="Q288" t="s">
        <v>89</v>
      </c>
      <c r="R288" s="7" t="str">
        <f>TEXT(Table1[[#This Row],[Date]],"mmm yyyy")</f>
        <v>Sep 2025</v>
      </c>
      <c r="S288" s="9">
        <f>YEAR(Table1[[#This Row],[Date]])</f>
        <v>2025</v>
      </c>
      <c r="T288" s="9"/>
      <c r="U288" s="9"/>
    </row>
    <row r="289" spans="1:21" x14ac:dyDescent="0.3">
      <c r="A289" t="s">
        <v>577</v>
      </c>
      <c r="B289" s="6">
        <v>46034</v>
      </c>
      <c r="C289" t="s">
        <v>18</v>
      </c>
      <c r="D289" t="s">
        <v>41</v>
      </c>
      <c r="E289" t="s">
        <v>37</v>
      </c>
      <c r="F289" t="s">
        <v>554</v>
      </c>
      <c r="G289" t="s">
        <v>30</v>
      </c>
      <c r="H289" t="s">
        <v>23</v>
      </c>
      <c r="I289" t="s">
        <v>67</v>
      </c>
      <c r="J289" s="9">
        <v>1</v>
      </c>
      <c r="K289" s="7">
        <v>52300</v>
      </c>
      <c r="L289" s="7">
        <v>0</v>
      </c>
      <c r="M289" s="9"/>
      <c r="N289" s="7">
        <v>10.199999999999999</v>
      </c>
      <c r="O289" s="7"/>
      <c r="P289" s="7"/>
      <c r="Q289" t="s">
        <v>67</v>
      </c>
      <c r="R289" s="7" t="str">
        <f>TEXT(Table1[[#This Row],[Date]],"mmm yyyy")</f>
        <v>Jan 2026</v>
      </c>
      <c r="S289" s="9">
        <f>YEAR(Table1[[#This Row],[Date]])</f>
        <v>2026</v>
      </c>
      <c r="T289" s="9"/>
      <c r="U289" s="9"/>
    </row>
    <row r="290" spans="1:21" x14ac:dyDescent="0.3">
      <c r="A290" t="s">
        <v>578</v>
      </c>
      <c r="B290" s="6">
        <v>46011</v>
      </c>
      <c r="C290" t="s">
        <v>18</v>
      </c>
      <c r="D290" t="s">
        <v>95</v>
      </c>
      <c r="E290" t="s">
        <v>20</v>
      </c>
      <c r="F290" t="s">
        <v>579</v>
      </c>
      <c r="G290" t="s">
        <v>22</v>
      </c>
      <c r="H290" t="s">
        <v>78</v>
      </c>
      <c r="I290" t="s">
        <v>55</v>
      </c>
      <c r="J290" s="9">
        <v>1</v>
      </c>
      <c r="K290" s="7">
        <v>62300</v>
      </c>
      <c r="L290" s="7">
        <v>0</v>
      </c>
      <c r="M290" s="9"/>
      <c r="N290" s="7">
        <v>23</v>
      </c>
      <c r="O290" s="7"/>
      <c r="P290" s="7"/>
      <c r="Q290" t="s">
        <v>55</v>
      </c>
      <c r="R290" s="7" t="str">
        <f>TEXT(Table1[[#This Row],[Date]],"mmm yyyy")</f>
        <v>Dec 2025</v>
      </c>
      <c r="S290" s="9">
        <f>YEAR(Table1[[#This Row],[Date]])</f>
        <v>2025</v>
      </c>
      <c r="T290" s="9"/>
      <c r="U290" s="9"/>
    </row>
    <row r="291" spans="1:21" hidden="1" x14ac:dyDescent="0.3">
      <c r="A291" t="s">
        <v>580</v>
      </c>
      <c r="B291" s="6">
        <v>45906</v>
      </c>
      <c r="C291" t="s">
        <v>26</v>
      </c>
      <c r="D291" t="s">
        <v>72</v>
      </c>
      <c r="E291" t="s">
        <v>37</v>
      </c>
      <c r="F291" t="s">
        <v>581</v>
      </c>
      <c r="G291" t="s">
        <v>30</v>
      </c>
      <c r="J291" s="9">
        <v>0</v>
      </c>
      <c r="K291" s="7">
        <v>0</v>
      </c>
      <c r="L291" s="7">
        <v>0</v>
      </c>
      <c r="M291" s="9">
        <v>1</v>
      </c>
      <c r="N291" s="7">
        <v>2.9</v>
      </c>
      <c r="O291" s="7">
        <v>14.5</v>
      </c>
      <c r="P291" s="7">
        <v>4.5999999999999996</v>
      </c>
      <c r="Q291" t="s">
        <v>62</v>
      </c>
      <c r="R291" s="7" t="str">
        <f>TEXT(Table1[[#This Row],[Date]],"mmm yyyy")</f>
        <v>Sep 2025</v>
      </c>
      <c r="S291" s="9">
        <f>YEAR(Table1[[#This Row],[Date]])</f>
        <v>2025</v>
      </c>
      <c r="T291" s="9"/>
      <c r="U291" s="9"/>
    </row>
    <row r="292" spans="1:21" x14ac:dyDescent="0.3">
      <c r="A292" t="s">
        <v>582</v>
      </c>
      <c r="B292" s="6">
        <v>46075</v>
      </c>
      <c r="C292" t="s">
        <v>18</v>
      </c>
      <c r="D292" t="s">
        <v>117</v>
      </c>
      <c r="E292" t="s">
        <v>42</v>
      </c>
      <c r="F292" t="s">
        <v>485</v>
      </c>
      <c r="G292" t="s">
        <v>22</v>
      </c>
      <c r="H292" t="s">
        <v>23</v>
      </c>
      <c r="I292" t="s">
        <v>24</v>
      </c>
      <c r="J292" s="9">
        <v>1</v>
      </c>
      <c r="K292" s="7">
        <v>22800</v>
      </c>
      <c r="L292" s="7">
        <v>22800</v>
      </c>
      <c r="M292" s="9"/>
      <c r="N292" s="7">
        <v>5.8</v>
      </c>
      <c r="O292" s="7"/>
      <c r="P292" s="7"/>
      <c r="Q292" t="s">
        <v>24</v>
      </c>
      <c r="R292" s="7" t="str">
        <f>TEXT(Table1[[#This Row],[Date]],"mmm yyyy")</f>
        <v>Feb 2026</v>
      </c>
      <c r="S292" s="9">
        <f>YEAR(Table1[[#This Row],[Date]])</f>
        <v>2026</v>
      </c>
      <c r="T292" s="9"/>
      <c r="U292" s="9"/>
    </row>
    <row r="293" spans="1:21" x14ac:dyDescent="0.3">
      <c r="A293" t="s">
        <v>583</v>
      </c>
      <c r="B293" s="6">
        <v>46133</v>
      </c>
      <c r="C293" t="s">
        <v>18</v>
      </c>
      <c r="D293" t="s">
        <v>47</v>
      </c>
      <c r="E293" t="s">
        <v>37</v>
      </c>
      <c r="F293" t="s">
        <v>451</v>
      </c>
      <c r="G293" t="s">
        <v>22</v>
      </c>
      <c r="H293" t="s">
        <v>86</v>
      </c>
      <c r="I293" t="s">
        <v>24</v>
      </c>
      <c r="J293" s="9">
        <v>1</v>
      </c>
      <c r="K293" s="7">
        <v>22900</v>
      </c>
      <c r="L293" s="7">
        <v>22900</v>
      </c>
      <c r="M293" s="9"/>
      <c r="N293" s="7">
        <v>10.4</v>
      </c>
      <c r="O293" s="7"/>
      <c r="P293" s="7"/>
      <c r="Q293" t="s">
        <v>24</v>
      </c>
      <c r="R293" s="7" t="str">
        <f>TEXT(Table1[[#This Row],[Date]],"mmm yyyy")</f>
        <v>Apr 2026</v>
      </c>
      <c r="S293" s="9">
        <f>YEAR(Table1[[#This Row],[Date]])</f>
        <v>2026</v>
      </c>
      <c r="T293" s="9"/>
      <c r="U293" s="9"/>
    </row>
    <row r="294" spans="1:21" hidden="1" x14ac:dyDescent="0.3">
      <c r="A294" t="s">
        <v>584</v>
      </c>
      <c r="B294" s="6">
        <v>46087</v>
      </c>
      <c r="C294" t="s">
        <v>26</v>
      </c>
      <c r="D294" t="s">
        <v>69</v>
      </c>
      <c r="E294" t="s">
        <v>20</v>
      </c>
      <c r="F294" t="s">
        <v>336</v>
      </c>
      <c r="G294" t="s">
        <v>22</v>
      </c>
      <c r="J294" s="9">
        <v>0</v>
      </c>
      <c r="K294" s="7">
        <v>0</v>
      </c>
      <c r="L294" s="7">
        <v>0</v>
      </c>
      <c r="M294" s="9">
        <v>1</v>
      </c>
      <c r="N294" s="7">
        <v>2.2999999999999998</v>
      </c>
      <c r="O294" s="7">
        <v>28.5</v>
      </c>
      <c r="P294" s="7">
        <v>3.7</v>
      </c>
      <c r="Q294" t="s">
        <v>225</v>
      </c>
      <c r="R294" s="7" t="str">
        <f>TEXT(Table1[[#This Row],[Date]],"mmm yyyy")</f>
        <v>Mar 2026</v>
      </c>
      <c r="S294" s="9">
        <f>YEAR(Table1[[#This Row],[Date]])</f>
        <v>2026</v>
      </c>
      <c r="T294" s="9"/>
      <c r="U294" s="9"/>
    </row>
    <row r="295" spans="1:21" x14ac:dyDescent="0.3">
      <c r="A295" t="s">
        <v>585</v>
      </c>
      <c r="B295" s="6">
        <v>46026</v>
      </c>
      <c r="C295" t="s">
        <v>18</v>
      </c>
      <c r="D295" t="s">
        <v>19</v>
      </c>
      <c r="E295" t="s">
        <v>48</v>
      </c>
      <c r="F295" t="s">
        <v>412</v>
      </c>
      <c r="G295" t="s">
        <v>44</v>
      </c>
      <c r="H295" t="s">
        <v>23</v>
      </c>
      <c r="I295" t="s">
        <v>45</v>
      </c>
      <c r="J295" s="9">
        <v>1</v>
      </c>
      <c r="K295" s="7">
        <v>14200</v>
      </c>
      <c r="L295" s="7">
        <v>0</v>
      </c>
      <c r="M295" s="9"/>
      <c r="N295" s="7">
        <v>16.2</v>
      </c>
      <c r="O295" s="7"/>
      <c r="P295" s="7"/>
      <c r="Q295" t="s">
        <v>45</v>
      </c>
      <c r="R295" s="7" t="str">
        <f>TEXT(Table1[[#This Row],[Date]],"mmm yyyy")</f>
        <v>Jan 2026</v>
      </c>
      <c r="S295" s="9">
        <f>YEAR(Table1[[#This Row],[Date]])</f>
        <v>2026</v>
      </c>
      <c r="T295" s="9"/>
      <c r="U295" s="9"/>
    </row>
    <row r="296" spans="1:21" x14ac:dyDescent="0.3">
      <c r="A296" t="s">
        <v>586</v>
      </c>
      <c r="B296" s="6">
        <v>46263</v>
      </c>
      <c r="C296" t="s">
        <v>18</v>
      </c>
      <c r="D296" t="s">
        <v>117</v>
      </c>
      <c r="E296" t="s">
        <v>20</v>
      </c>
      <c r="F296" t="s">
        <v>587</v>
      </c>
      <c r="G296" t="s">
        <v>30</v>
      </c>
      <c r="H296" t="s">
        <v>54</v>
      </c>
      <c r="I296" t="s">
        <v>89</v>
      </c>
      <c r="J296" s="9">
        <v>1</v>
      </c>
      <c r="K296" s="7">
        <v>9100</v>
      </c>
      <c r="L296" s="7">
        <v>0</v>
      </c>
      <c r="M296" s="9"/>
      <c r="N296" s="7">
        <v>11.6</v>
      </c>
      <c r="O296" s="7"/>
      <c r="P296" s="7"/>
      <c r="Q296" t="s">
        <v>89</v>
      </c>
      <c r="R296" s="7" t="str">
        <f>TEXT(Table1[[#This Row],[Date]],"mmm yyyy")</f>
        <v>Aug 2026</v>
      </c>
      <c r="S296" s="9">
        <f>YEAR(Table1[[#This Row],[Date]])</f>
        <v>2026</v>
      </c>
      <c r="T296" s="9"/>
      <c r="U296" s="9"/>
    </row>
    <row r="297" spans="1:21" x14ac:dyDescent="0.3">
      <c r="A297" t="s">
        <v>588</v>
      </c>
      <c r="B297" s="6">
        <v>46247</v>
      </c>
      <c r="C297" t="s">
        <v>18</v>
      </c>
      <c r="D297" t="s">
        <v>47</v>
      </c>
      <c r="E297" t="s">
        <v>48</v>
      </c>
      <c r="F297" t="s">
        <v>589</v>
      </c>
      <c r="G297" t="s">
        <v>22</v>
      </c>
      <c r="H297" t="s">
        <v>86</v>
      </c>
      <c r="I297" t="s">
        <v>45</v>
      </c>
      <c r="J297" s="9">
        <v>1</v>
      </c>
      <c r="K297" s="7">
        <v>28200</v>
      </c>
      <c r="L297" s="7">
        <v>0</v>
      </c>
      <c r="M297" s="9"/>
      <c r="N297" s="7">
        <v>6.6</v>
      </c>
      <c r="O297" s="7"/>
      <c r="P297" s="7"/>
      <c r="Q297" t="s">
        <v>45</v>
      </c>
      <c r="R297" s="7" t="str">
        <f>TEXT(Table1[[#This Row],[Date]],"mmm yyyy")</f>
        <v>Aug 2026</v>
      </c>
      <c r="S297" s="9">
        <f>YEAR(Table1[[#This Row],[Date]])</f>
        <v>2026</v>
      </c>
      <c r="T297" s="9"/>
      <c r="U297" s="9"/>
    </row>
    <row r="298" spans="1:21" hidden="1" x14ac:dyDescent="0.3">
      <c r="A298" t="s">
        <v>590</v>
      </c>
      <c r="B298" s="6">
        <v>46037</v>
      </c>
      <c r="C298" t="s">
        <v>26</v>
      </c>
      <c r="D298" t="s">
        <v>232</v>
      </c>
      <c r="E298" t="s">
        <v>37</v>
      </c>
      <c r="F298" t="s">
        <v>81</v>
      </c>
      <c r="G298" t="s">
        <v>30</v>
      </c>
      <c r="J298" s="9">
        <v>0</v>
      </c>
      <c r="K298" s="7">
        <v>0</v>
      </c>
      <c r="L298" s="7">
        <v>0</v>
      </c>
      <c r="M298" s="9">
        <v>1</v>
      </c>
      <c r="N298" s="7">
        <v>1.7</v>
      </c>
      <c r="O298" s="7">
        <v>2.2000000000000002</v>
      </c>
      <c r="P298" s="7">
        <v>5</v>
      </c>
      <c r="Q298" t="s">
        <v>31</v>
      </c>
      <c r="R298" s="7" t="str">
        <f>TEXT(Table1[[#This Row],[Date]],"mmm yyyy")</f>
        <v>Jan 2026</v>
      </c>
      <c r="S298" s="9">
        <f>YEAR(Table1[[#This Row],[Date]])</f>
        <v>2026</v>
      </c>
      <c r="T298" s="9"/>
      <c r="U298" s="9"/>
    </row>
    <row r="299" spans="1:21" x14ac:dyDescent="0.3">
      <c r="A299" t="s">
        <v>591</v>
      </c>
      <c r="B299" s="6">
        <v>45992</v>
      </c>
      <c r="C299" t="s">
        <v>18</v>
      </c>
      <c r="D299" t="s">
        <v>52</v>
      </c>
      <c r="E299" t="s">
        <v>48</v>
      </c>
      <c r="F299" t="s">
        <v>83</v>
      </c>
      <c r="G299" t="s">
        <v>30</v>
      </c>
      <c r="H299" t="s">
        <v>23</v>
      </c>
      <c r="I299" t="s">
        <v>89</v>
      </c>
      <c r="J299" s="9">
        <v>1</v>
      </c>
      <c r="K299" s="7">
        <v>14000</v>
      </c>
      <c r="L299" s="7">
        <v>0</v>
      </c>
      <c r="M299" s="9"/>
      <c r="N299" s="7">
        <v>17.8</v>
      </c>
      <c r="O299" s="7"/>
      <c r="P299" s="7"/>
      <c r="Q299" t="s">
        <v>89</v>
      </c>
      <c r="R299" s="7" t="str">
        <f>TEXT(Table1[[#This Row],[Date]],"mmm yyyy")</f>
        <v>Dec 2025</v>
      </c>
      <c r="S299" s="9">
        <f>YEAR(Table1[[#This Row],[Date]])</f>
        <v>2025</v>
      </c>
      <c r="T299" s="9"/>
      <c r="U299" s="9"/>
    </row>
    <row r="300" spans="1:21" hidden="1" x14ac:dyDescent="0.3">
      <c r="A300" t="s">
        <v>592</v>
      </c>
      <c r="B300" s="6">
        <v>45975</v>
      </c>
      <c r="C300" t="s">
        <v>26</v>
      </c>
      <c r="D300" t="s">
        <v>69</v>
      </c>
      <c r="E300" t="s">
        <v>48</v>
      </c>
      <c r="F300" t="s">
        <v>282</v>
      </c>
      <c r="G300" t="s">
        <v>22</v>
      </c>
      <c r="J300" s="9">
        <v>0</v>
      </c>
      <c r="K300" s="7">
        <v>0</v>
      </c>
      <c r="L300" s="7">
        <v>0</v>
      </c>
      <c r="M300" s="9">
        <v>1</v>
      </c>
      <c r="N300" s="7">
        <v>5.7</v>
      </c>
      <c r="O300" s="7">
        <v>4.5</v>
      </c>
      <c r="P300" s="7">
        <v>4.3</v>
      </c>
      <c r="Q300" t="s">
        <v>62</v>
      </c>
      <c r="R300" s="7" t="str">
        <f>TEXT(Table1[[#This Row],[Date]],"mmm yyyy")</f>
        <v>Nov 2025</v>
      </c>
      <c r="S300" s="9">
        <f>YEAR(Table1[[#This Row],[Date]])</f>
        <v>2025</v>
      </c>
      <c r="T300" s="9"/>
      <c r="U300" s="9"/>
    </row>
    <row r="301" spans="1:21" x14ac:dyDescent="0.3">
      <c r="A301" t="s">
        <v>593</v>
      </c>
      <c r="B301" s="6">
        <v>46244</v>
      </c>
      <c r="C301" t="s">
        <v>18</v>
      </c>
      <c r="D301" t="s">
        <v>95</v>
      </c>
      <c r="E301" t="s">
        <v>48</v>
      </c>
      <c r="F301" t="s">
        <v>594</v>
      </c>
      <c r="G301" t="s">
        <v>30</v>
      </c>
      <c r="H301" t="s">
        <v>23</v>
      </c>
      <c r="I301" t="s">
        <v>55</v>
      </c>
      <c r="J301" s="9">
        <v>1</v>
      </c>
      <c r="K301" s="7">
        <v>6100</v>
      </c>
      <c r="L301" s="7">
        <v>0</v>
      </c>
      <c r="M301" s="9"/>
      <c r="N301" s="7">
        <v>15.2</v>
      </c>
      <c r="O301" s="7"/>
      <c r="P301" s="7"/>
      <c r="Q301" t="s">
        <v>55</v>
      </c>
      <c r="R301" s="7" t="str">
        <f>TEXT(Table1[[#This Row],[Date]],"mmm yyyy")</f>
        <v>Aug 2026</v>
      </c>
      <c r="S301" s="9">
        <f>YEAR(Table1[[#This Row],[Date]])</f>
        <v>2026</v>
      </c>
      <c r="T301" s="9"/>
      <c r="U301" s="9"/>
    </row>
    <row r="302" spans="1:21" x14ac:dyDescent="0.3">
      <c r="A302" t="s">
        <v>595</v>
      </c>
      <c r="B302" s="6">
        <v>46111</v>
      </c>
      <c r="C302" t="s">
        <v>18</v>
      </c>
      <c r="D302" t="s">
        <v>64</v>
      </c>
      <c r="E302" t="s">
        <v>48</v>
      </c>
      <c r="F302" t="s">
        <v>596</v>
      </c>
      <c r="G302" t="s">
        <v>22</v>
      </c>
      <c r="H302" t="s">
        <v>23</v>
      </c>
      <c r="I302" t="s">
        <v>89</v>
      </c>
      <c r="J302" s="9">
        <v>1</v>
      </c>
      <c r="K302" s="7">
        <v>40700</v>
      </c>
      <c r="L302" s="7">
        <v>0</v>
      </c>
      <c r="M302" s="9"/>
      <c r="N302" s="7">
        <v>4.8</v>
      </c>
      <c r="O302" s="7"/>
      <c r="P302" s="7"/>
      <c r="Q302" t="s">
        <v>89</v>
      </c>
      <c r="R302" s="7" t="str">
        <f>TEXT(Table1[[#This Row],[Date]],"mmm yyyy")</f>
        <v>Mar 2026</v>
      </c>
      <c r="S302" s="9">
        <f>YEAR(Table1[[#This Row],[Date]])</f>
        <v>2026</v>
      </c>
      <c r="T302" s="9"/>
      <c r="U302" s="9"/>
    </row>
    <row r="303" spans="1:21" x14ac:dyDescent="0.3">
      <c r="A303" t="s">
        <v>597</v>
      </c>
      <c r="B303" s="6">
        <v>46260</v>
      </c>
      <c r="C303" t="s">
        <v>18</v>
      </c>
      <c r="D303" t="s">
        <v>41</v>
      </c>
      <c r="E303" t="s">
        <v>20</v>
      </c>
      <c r="F303" t="s">
        <v>598</v>
      </c>
      <c r="G303" t="s">
        <v>30</v>
      </c>
      <c r="H303" t="s">
        <v>54</v>
      </c>
      <c r="I303" t="s">
        <v>45</v>
      </c>
      <c r="J303" s="9">
        <v>1</v>
      </c>
      <c r="K303" s="7">
        <v>12800</v>
      </c>
      <c r="L303" s="7">
        <v>0</v>
      </c>
      <c r="M303" s="9"/>
      <c r="N303" s="7">
        <v>2.6</v>
      </c>
      <c r="O303" s="7"/>
      <c r="P303" s="7"/>
      <c r="Q303" t="s">
        <v>45</v>
      </c>
      <c r="R303" s="7" t="str">
        <f>TEXT(Table1[[#This Row],[Date]],"mmm yyyy")</f>
        <v>Aug 2026</v>
      </c>
      <c r="S303" s="9">
        <f>YEAR(Table1[[#This Row],[Date]])</f>
        <v>2026</v>
      </c>
      <c r="T303" s="9"/>
      <c r="U303" s="9"/>
    </row>
    <row r="304" spans="1:21" x14ac:dyDescent="0.3">
      <c r="A304" t="s">
        <v>599</v>
      </c>
      <c r="B304" s="6">
        <v>45910</v>
      </c>
      <c r="C304" t="s">
        <v>18</v>
      </c>
      <c r="D304" t="s">
        <v>95</v>
      </c>
      <c r="E304" t="s">
        <v>48</v>
      </c>
      <c r="F304" t="s">
        <v>600</v>
      </c>
      <c r="G304" t="s">
        <v>30</v>
      </c>
      <c r="H304" t="s">
        <v>23</v>
      </c>
      <c r="I304" t="s">
        <v>67</v>
      </c>
      <c r="J304" s="9">
        <v>1</v>
      </c>
      <c r="K304" s="7">
        <v>25600</v>
      </c>
      <c r="L304" s="7">
        <v>0</v>
      </c>
      <c r="M304" s="9"/>
      <c r="N304" s="7">
        <v>9.6</v>
      </c>
      <c r="O304" s="7"/>
      <c r="P304" s="7"/>
      <c r="Q304" t="s">
        <v>67</v>
      </c>
      <c r="R304" s="7" t="str">
        <f>TEXT(Table1[[#This Row],[Date]],"mmm yyyy")</f>
        <v>Sep 2025</v>
      </c>
      <c r="S304" s="9">
        <f>YEAR(Table1[[#This Row],[Date]])</f>
        <v>2025</v>
      </c>
      <c r="T304" s="9"/>
      <c r="U304" s="9"/>
    </row>
    <row r="305" spans="1:21" hidden="1" x14ac:dyDescent="0.3">
      <c r="A305" t="s">
        <v>601</v>
      </c>
      <c r="B305" s="6">
        <v>46068</v>
      </c>
      <c r="C305" t="s">
        <v>26</v>
      </c>
      <c r="D305" t="s">
        <v>232</v>
      </c>
      <c r="E305" t="s">
        <v>37</v>
      </c>
      <c r="F305" t="s">
        <v>328</v>
      </c>
      <c r="G305" t="s">
        <v>50</v>
      </c>
      <c r="J305" s="9">
        <v>0</v>
      </c>
      <c r="K305" s="7">
        <v>0</v>
      </c>
      <c r="L305" s="7">
        <v>0</v>
      </c>
      <c r="M305" s="9">
        <v>1</v>
      </c>
      <c r="N305" s="7">
        <v>0.3</v>
      </c>
      <c r="O305" s="7">
        <v>2.8</v>
      </c>
      <c r="P305" s="7">
        <v>5</v>
      </c>
      <c r="Q305" t="s">
        <v>225</v>
      </c>
      <c r="R305" s="7" t="str">
        <f>TEXT(Table1[[#This Row],[Date]],"mmm yyyy")</f>
        <v>Feb 2026</v>
      </c>
      <c r="S305" s="9">
        <f>YEAR(Table1[[#This Row],[Date]])</f>
        <v>2026</v>
      </c>
      <c r="T305" s="9"/>
      <c r="U305" s="9"/>
    </row>
    <row r="306" spans="1:21" hidden="1" x14ac:dyDescent="0.3">
      <c r="A306" t="s">
        <v>602</v>
      </c>
      <c r="B306" s="6">
        <v>46158</v>
      </c>
      <c r="C306" t="s">
        <v>26</v>
      </c>
      <c r="D306" t="s">
        <v>232</v>
      </c>
      <c r="E306" t="s">
        <v>28</v>
      </c>
      <c r="F306" t="s">
        <v>603</v>
      </c>
      <c r="G306" t="s">
        <v>22</v>
      </c>
      <c r="J306" s="9">
        <v>0</v>
      </c>
      <c r="K306" s="7">
        <v>0</v>
      </c>
      <c r="L306" s="7">
        <v>0</v>
      </c>
      <c r="M306" s="9">
        <v>1</v>
      </c>
      <c r="N306" s="7">
        <v>1.7</v>
      </c>
      <c r="O306" s="7">
        <v>14.9</v>
      </c>
      <c r="P306" s="7">
        <v>3</v>
      </c>
      <c r="Q306" t="s">
        <v>39</v>
      </c>
      <c r="R306" s="7" t="str">
        <f>TEXT(Table1[[#This Row],[Date]],"mmm yyyy")</f>
        <v>May 2026</v>
      </c>
      <c r="S306" s="9">
        <f>YEAR(Table1[[#This Row],[Date]])</f>
        <v>2026</v>
      </c>
      <c r="T306" s="9"/>
      <c r="U306" s="9"/>
    </row>
    <row r="307" spans="1:21" hidden="1" x14ac:dyDescent="0.3">
      <c r="A307" t="s">
        <v>604</v>
      </c>
      <c r="B307" s="6">
        <v>46017</v>
      </c>
      <c r="C307" t="s">
        <v>26</v>
      </c>
      <c r="D307" t="s">
        <v>36</v>
      </c>
      <c r="E307" t="s">
        <v>20</v>
      </c>
      <c r="F307" t="s">
        <v>605</v>
      </c>
      <c r="G307" t="s">
        <v>22</v>
      </c>
      <c r="J307" s="9">
        <v>0</v>
      </c>
      <c r="K307" s="7">
        <v>0</v>
      </c>
      <c r="L307" s="7">
        <v>0</v>
      </c>
      <c r="M307" s="9">
        <v>1</v>
      </c>
      <c r="N307" s="7">
        <v>2.6</v>
      </c>
      <c r="O307" s="7">
        <v>3.7</v>
      </c>
      <c r="P307" s="7">
        <v>2.7</v>
      </c>
      <c r="Q307" t="s">
        <v>31</v>
      </c>
      <c r="R307" s="7" t="str">
        <f>TEXT(Table1[[#This Row],[Date]],"mmm yyyy")</f>
        <v>Dec 2025</v>
      </c>
      <c r="S307" s="9">
        <f>YEAR(Table1[[#This Row],[Date]])</f>
        <v>2025</v>
      </c>
      <c r="T307" s="9"/>
      <c r="U307" s="9"/>
    </row>
    <row r="308" spans="1:21" x14ac:dyDescent="0.3">
      <c r="A308" t="s">
        <v>606</v>
      </c>
      <c r="B308" s="6">
        <v>45973</v>
      </c>
      <c r="C308" t="s">
        <v>18</v>
      </c>
      <c r="D308" t="s">
        <v>19</v>
      </c>
      <c r="E308" t="s">
        <v>28</v>
      </c>
      <c r="F308" t="s">
        <v>607</v>
      </c>
      <c r="G308" t="s">
        <v>22</v>
      </c>
      <c r="H308" t="s">
        <v>78</v>
      </c>
      <c r="I308" t="s">
        <v>79</v>
      </c>
      <c r="J308" s="9">
        <v>1</v>
      </c>
      <c r="K308" s="7">
        <v>33500</v>
      </c>
      <c r="L308" s="7">
        <v>0</v>
      </c>
      <c r="M308" s="9"/>
      <c r="N308" s="7">
        <v>7.6</v>
      </c>
      <c r="O308" s="7"/>
      <c r="P308" s="7"/>
      <c r="Q308" t="s">
        <v>79</v>
      </c>
      <c r="R308" s="7" t="str">
        <f>TEXT(Table1[[#This Row],[Date]],"mmm yyyy")</f>
        <v>Nov 2025</v>
      </c>
      <c r="S308" s="9">
        <f>YEAR(Table1[[#This Row],[Date]])</f>
        <v>2025</v>
      </c>
      <c r="T308" s="9"/>
      <c r="U308" s="9"/>
    </row>
    <row r="309" spans="1:21" x14ac:dyDescent="0.3">
      <c r="A309" t="s">
        <v>608</v>
      </c>
      <c r="B309" s="6">
        <v>46079</v>
      </c>
      <c r="C309" t="s">
        <v>18</v>
      </c>
      <c r="D309" t="s">
        <v>105</v>
      </c>
      <c r="E309" t="s">
        <v>28</v>
      </c>
      <c r="F309" t="s">
        <v>609</v>
      </c>
      <c r="G309" t="s">
        <v>30</v>
      </c>
      <c r="H309" t="s">
        <v>66</v>
      </c>
      <c r="I309" t="s">
        <v>55</v>
      </c>
      <c r="J309" s="9">
        <v>1</v>
      </c>
      <c r="K309" s="7">
        <v>25400</v>
      </c>
      <c r="L309" s="7">
        <v>0</v>
      </c>
      <c r="M309" s="9"/>
      <c r="N309" s="7">
        <v>16.3</v>
      </c>
      <c r="O309" s="7"/>
      <c r="P309" s="7"/>
      <c r="Q309" t="s">
        <v>55</v>
      </c>
      <c r="R309" s="7" t="str">
        <f>TEXT(Table1[[#This Row],[Date]],"mmm yyyy")</f>
        <v>Feb 2026</v>
      </c>
      <c r="S309" s="9">
        <f>YEAR(Table1[[#This Row],[Date]])</f>
        <v>2026</v>
      </c>
      <c r="T309" s="9"/>
      <c r="U309" s="9"/>
    </row>
    <row r="310" spans="1:21" hidden="1" x14ac:dyDescent="0.3">
      <c r="A310" t="s">
        <v>610</v>
      </c>
      <c r="B310" s="6">
        <v>45913</v>
      </c>
      <c r="C310" t="s">
        <v>26</v>
      </c>
      <c r="D310" t="s">
        <v>72</v>
      </c>
      <c r="E310" t="s">
        <v>20</v>
      </c>
      <c r="F310" t="s">
        <v>611</v>
      </c>
      <c r="G310" t="s">
        <v>30</v>
      </c>
      <c r="J310" s="9">
        <v>0</v>
      </c>
      <c r="K310" s="7">
        <v>0</v>
      </c>
      <c r="L310" s="7">
        <v>0</v>
      </c>
      <c r="M310" s="9">
        <v>1</v>
      </c>
      <c r="N310" s="7">
        <v>3.8</v>
      </c>
      <c r="O310" s="7">
        <v>4</v>
      </c>
      <c r="P310" s="7">
        <v>5</v>
      </c>
      <c r="Q310" t="s">
        <v>225</v>
      </c>
      <c r="R310" s="7" t="str">
        <f>TEXT(Table1[[#This Row],[Date]],"mmm yyyy")</f>
        <v>Sep 2025</v>
      </c>
      <c r="S310" s="9">
        <f>YEAR(Table1[[#This Row],[Date]])</f>
        <v>2025</v>
      </c>
      <c r="T310" s="9"/>
      <c r="U310" s="9"/>
    </row>
    <row r="311" spans="1:21" x14ac:dyDescent="0.3">
      <c r="A311" t="s">
        <v>612</v>
      </c>
      <c r="B311" s="6">
        <v>46114</v>
      </c>
      <c r="C311" t="s">
        <v>18</v>
      </c>
      <c r="D311" t="s">
        <v>19</v>
      </c>
      <c r="E311" t="s">
        <v>20</v>
      </c>
      <c r="F311" t="s">
        <v>613</v>
      </c>
      <c r="G311" t="s">
        <v>44</v>
      </c>
      <c r="H311" t="s">
        <v>23</v>
      </c>
      <c r="I311" t="s">
        <v>79</v>
      </c>
      <c r="J311" s="9">
        <v>1</v>
      </c>
      <c r="K311" s="7">
        <v>60200</v>
      </c>
      <c r="L311" s="7">
        <v>0</v>
      </c>
      <c r="M311" s="9"/>
      <c r="N311" s="7">
        <v>21.6</v>
      </c>
      <c r="O311" s="7"/>
      <c r="P311" s="7"/>
      <c r="Q311" t="s">
        <v>79</v>
      </c>
      <c r="R311" s="7" t="str">
        <f>TEXT(Table1[[#This Row],[Date]],"mmm yyyy")</f>
        <v>Apr 2026</v>
      </c>
      <c r="S311" s="9">
        <f>YEAR(Table1[[#This Row],[Date]])</f>
        <v>2026</v>
      </c>
      <c r="T311" s="9"/>
      <c r="U311" s="9"/>
    </row>
    <row r="312" spans="1:21" x14ac:dyDescent="0.3">
      <c r="A312" t="s">
        <v>614</v>
      </c>
      <c r="B312" s="6">
        <v>46083</v>
      </c>
      <c r="C312" t="s">
        <v>18</v>
      </c>
      <c r="D312" t="s">
        <v>19</v>
      </c>
      <c r="E312" t="s">
        <v>20</v>
      </c>
      <c r="F312" t="s">
        <v>613</v>
      </c>
      <c r="G312" t="s">
        <v>22</v>
      </c>
      <c r="H312" t="s">
        <v>54</v>
      </c>
      <c r="I312" t="s">
        <v>24</v>
      </c>
      <c r="J312" s="9">
        <v>1</v>
      </c>
      <c r="K312" s="7">
        <v>13100</v>
      </c>
      <c r="L312" s="7">
        <v>13100</v>
      </c>
      <c r="M312" s="9"/>
      <c r="N312" s="7">
        <v>21.7</v>
      </c>
      <c r="O312" s="7"/>
      <c r="P312" s="7"/>
      <c r="Q312" t="s">
        <v>24</v>
      </c>
      <c r="R312" s="7" t="str">
        <f>TEXT(Table1[[#This Row],[Date]],"mmm yyyy")</f>
        <v>Mar 2026</v>
      </c>
      <c r="S312" s="9">
        <f>YEAR(Table1[[#This Row],[Date]])</f>
        <v>2026</v>
      </c>
      <c r="T312" s="9"/>
      <c r="U312" s="9"/>
    </row>
    <row r="313" spans="1:21" x14ac:dyDescent="0.3">
      <c r="A313" t="s">
        <v>615</v>
      </c>
      <c r="B313" s="6">
        <v>46132</v>
      </c>
      <c r="C313" t="s">
        <v>18</v>
      </c>
      <c r="D313" t="s">
        <v>95</v>
      </c>
      <c r="E313" t="s">
        <v>28</v>
      </c>
      <c r="F313" t="s">
        <v>616</v>
      </c>
      <c r="G313" t="s">
        <v>30</v>
      </c>
      <c r="H313" t="s">
        <v>78</v>
      </c>
      <c r="I313" t="s">
        <v>79</v>
      </c>
      <c r="J313" s="9">
        <v>1</v>
      </c>
      <c r="K313" s="7">
        <v>27800</v>
      </c>
      <c r="L313" s="7">
        <v>0</v>
      </c>
      <c r="M313" s="9"/>
      <c r="N313" s="7">
        <v>6.9</v>
      </c>
      <c r="O313" s="7"/>
      <c r="P313" s="7"/>
      <c r="Q313" t="s">
        <v>79</v>
      </c>
      <c r="R313" s="7" t="str">
        <f>TEXT(Table1[[#This Row],[Date]],"mmm yyyy")</f>
        <v>Apr 2026</v>
      </c>
      <c r="S313" s="9">
        <f>YEAR(Table1[[#This Row],[Date]])</f>
        <v>2026</v>
      </c>
      <c r="T313" s="9"/>
      <c r="U313" s="9"/>
    </row>
    <row r="314" spans="1:21" x14ac:dyDescent="0.3">
      <c r="A314" t="s">
        <v>617</v>
      </c>
      <c r="B314" s="6">
        <v>45906</v>
      </c>
      <c r="C314" t="s">
        <v>18</v>
      </c>
      <c r="D314" t="s">
        <v>19</v>
      </c>
      <c r="E314" t="s">
        <v>37</v>
      </c>
      <c r="F314" t="s">
        <v>292</v>
      </c>
      <c r="G314" t="s">
        <v>22</v>
      </c>
      <c r="H314" t="s">
        <v>54</v>
      </c>
      <c r="I314" t="s">
        <v>67</v>
      </c>
      <c r="J314" s="9">
        <v>1</v>
      </c>
      <c r="K314" s="7">
        <v>29900</v>
      </c>
      <c r="L314" s="7">
        <v>0</v>
      </c>
      <c r="M314" s="9"/>
      <c r="N314" s="7">
        <v>15.7</v>
      </c>
      <c r="O314" s="7"/>
      <c r="P314" s="7"/>
      <c r="Q314" t="s">
        <v>67</v>
      </c>
      <c r="R314" s="7" t="str">
        <f>TEXT(Table1[[#This Row],[Date]],"mmm yyyy")</f>
        <v>Sep 2025</v>
      </c>
      <c r="S314" s="9">
        <f>YEAR(Table1[[#This Row],[Date]])</f>
        <v>2025</v>
      </c>
      <c r="T314" s="9"/>
      <c r="U314" s="9"/>
    </row>
    <row r="315" spans="1:21" hidden="1" x14ac:dyDescent="0.3">
      <c r="A315" t="s">
        <v>618</v>
      </c>
      <c r="B315" s="6">
        <v>45926</v>
      </c>
      <c r="C315" t="s">
        <v>26</v>
      </c>
      <c r="D315" t="s">
        <v>27</v>
      </c>
      <c r="E315" t="s">
        <v>20</v>
      </c>
      <c r="F315" t="s">
        <v>619</v>
      </c>
      <c r="G315" t="s">
        <v>44</v>
      </c>
      <c r="J315" s="9">
        <v>0</v>
      </c>
      <c r="K315" s="7">
        <v>0</v>
      </c>
      <c r="L315" s="7">
        <v>0</v>
      </c>
      <c r="M315" s="9">
        <v>1</v>
      </c>
      <c r="N315" s="7">
        <v>10.4</v>
      </c>
      <c r="O315" s="7">
        <v>3.3</v>
      </c>
      <c r="P315" s="7">
        <v>5</v>
      </c>
      <c r="Q315" t="s">
        <v>31</v>
      </c>
      <c r="R315" s="7" t="str">
        <f>TEXT(Table1[[#This Row],[Date]],"mmm yyyy")</f>
        <v>Sep 2025</v>
      </c>
      <c r="S315" s="9">
        <f>YEAR(Table1[[#This Row],[Date]])</f>
        <v>2025</v>
      </c>
      <c r="T315" s="9"/>
      <c r="U315" s="9"/>
    </row>
    <row r="316" spans="1:21" hidden="1" x14ac:dyDescent="0.3">
      <c r="A316" t="s">
        <v>620</v>
      </c>
      <c r="B316" s="6">
        <v>46228</v>
      </c>
      <c r="C316" t="s">
        <v>26</v>
      </c>
      <c r="D316" t="s">
        <v>33</v>
      </c>
      <c r="E316" t="s">
        <v>28</v>
      </c>
      <c r="F316" t="s">
        <v>621</v>
      </c>
      <c r="G316" t="s">
        <v>44</v>
      </c>
      <c r="J316" s="9">
        <v>0</v>
      </c>
      <c r="K316" s="7">
        <v>0</v>
      </c>
      <c r="L316" s="7">
        <v>0</v>
      </c>
      <c r="M316" s="9">
        <v>1</v>
      </c>
      <c r="N316" s="7">
        <v>9.6999999999999993</v>
      </c>
      <c r="O316" s="7">
        <v>8.1999999999999993</v>
      </c>
      <c r="P316" s="7">
        <v>4.0999999999999996</v>
      </c>
      <c r="Q316" t="s">
        <v>39</v>
      </c>
      <c r="R316" s="7" t="str">
        <f>TEXT(Table1[[#This Row],[Date]],"mmm yyyy")</f>
        <v>Jul 2026</v>
      </c>
      <c r="S316" s="9">
        <f>YEAR(Table1[[#This Row],[Date]])</f>
        <v>2026</v>
      </c>
      <c r="T316" s="9"/>
      <c r="U316" s="9"/>
    </row>
    <row r="317" spans="1:21" hidden="1" x14ac:dyDescent="0.3">
      <c r="A317" t="s">
        <v>622</v>
      </c>
      <c r="B317" s="6">
        <v>46096</v>
      </c>
      <c r="C317" t="s">
        <v>26</v>
      </c>
      <c r="D317" t="s">
        <v>126</v>
      </c>
      <c r="E317" t="s">
        <v>48</v>
      </c>
      <c r="F317" t="s">
        <v>142</v>
      </c>
      <c r="G317" t="s">
        <v>22</v>
      </c>
      <c r="J317" s="9">
        <v>0</v>
      </c>
      <c r="K317" s="7">
        <v>0</v>
      </c>
      <c r="L317" s="7">
        <v>0</v>
      </c>
      <c r="M317" s="9">
        <v>1</v>
      </c>
      <c r="N317" s="7">
        <v>10.3</v>
      </c>
      <c r="O317" s="7">
        <v>14</v>
      </c>
      <c r="P317" s="7">
        <v>4.5</v>
      </c>
      <c r="Q317" t="s">
        <v>62</v>
      </c>
      <c r="R317" s="7" t="str">
        <f>TEXT(Table1[[#This Row],[Date]],"mmm yyyy")</f>
        <v>Mar 2026</v>
      </c>
      <c r="S317" s="9">
        <f>YEAR(Table1[[#This Row],[Date]])</f>
        <v>2026</v>
      </c>
      <c r="T317" s="9"/>
      <c r="U317" s="9"/>
    </row>
    <row r="318" spans="1:21" x14ac:dyDescent="0.3">
      <c r="A318" t="s">
        <v>623</v>
      </c>
      <c r="B318" s="6">
        <v>45963</v>
      </c>
      <c r="C318" t="s">
        <v>18</v>
      </c>
      <c r="D318" t="s">
        <v>105</v>
      </c>
      <c r="E318" t="s">
        <v>37</v>
      </c>
      <c r="F318" t="s">
        <v>624</v>
      </c>
      <c r="G318" t="s">
        <v>44</v>
      </c>
      <c r="H318" t="s">
        <v>78</v>
      </c>
      <c r="I318" t="s">
        <v>79</v>
      </c>
      <c r="J318" s="9">
        <v>1</v>
      </c>
      <c r="K318" s="7">
        <v>12400</v>
      </c>
      <c r="L318" s="7">
        <v>0</v>
      </c>
      <c r="M318" s="9"/>
      <c r="N318" s="7">
        <v>17.100000000000001</v>
      </c>
      <c r="O318" s="7"/>
      <c r="P318" s="7"/>
      <c r="Q318" t="s">
        <v>79</v>
      </c>
      <c r="R318" s="7" t="str">
        <f>TEXT(Table1[[#This Row],[Date]],"mmm yyyy")</f>
        <v>Nov 2025</v>
      </c>
      <c r="S318" s="9">
        <f>YEAR(Table1[[#This Row],[Date]])</f>
        <v>2025</v>
      </c>
      <c r="T318" s="9"/>
      <c r="U318" s="9"/>
    </row>
    <row r="319" spans="1:21" x14ac:dyDescent="0.3">
      <c r="A319" t="s">
        <v>625</v>
      </c>
      <c r="B319" s="6">
        <v>46217</v>
      </c>
      <c r="C319" t="s">
        <v>18</v>
      </c>
      <c r="D319" t="s">
        <v>95</v>
      </c>
      <c r="E319" t="s">
        <v>20</v>
      </c>
      <c r="F319" t="s">
        <v>626</v>
      </c>
      <c r="G319" t="s">
        <v>30</v>
      </c>
      <c r="H319" t="s">
        <v>23</v>
      </c>
      <c r="I319" t="s">
        <v>79</v>
      </c>
      <c r="J319" s="9">
        <v>1</v>
      </c>
      <c r="K319" s="7">
        <v>5000</v>
      </c>
      <c r="L319" s="7">
        <v>0</v>
      </c>
      <c r="M319" s="9"/>
      <c r="N319" s="7">
        <v>1.6</v>
      </c>
      <c r="O319" s="7"/>
      <c r="P319" s="7"/>
      <c r="Q319" t="s">
        <v>79</v>
      </c>
      <c r="R319" s="7" t="str">
        <f>TEXT(Table1[[#This Row],[Date]],"mmm yyyy")</f>
        <v>Jul 2026</v>
      </c>
      <c r="S319" s="9">
        <f>YEAR(Table1[[#This Row],[Date]])</f>
        <v>2026</v>
      </c>
      <c r="T319" s="9"/>
      <c r="U319" s="9"/>
    </row>
    <row r="320" spans="1:21" x14ac:dyDescent="0.3">
      <c r="A320" t="s">
        <v>627</v>
      </c>
      <c r="B320" s="6">
        <v>45970</v>
      </c>
      <c r="C320" t="s">
        <v>18</v>
      </c>
      <c r="D320" t="s">
        <v>95</v>
      </c>
      <c r="E320" t="s">
        <v>20</v>
      </c>
      <c r="F320" t="s">
        <v>382</v>
      </c>
      <c r="G320" t="s">
        <v>44</v>
      </c>
      <c r="H320" t="s">
        <v>23</v>
      </c>
      <c r="I320" t="s">
        <v>24</v>
      </c>
      <c r="J320" s="9">
        <v>1</v>
      </c>
      <c r="K320" s="7">
        <v>23000</v>
      </c>
      <c r="L320" s="7">
        <v>23000</v>
      </c>
      <c r="M320" s="9"/>
      <c r="N320" s="7">
        <v>23.9</v>
      </c>
      <c r="O320" s="7"/>
      <c r="P320" s="7"/>
      <c r="Q320" t="s">
        <v>24</v>
      </c>
      <c r="R320" s="7" t="str">
        <f>TEXT(Table1[[#This Row],[Date]],"mmm yyyy")</f>
        <v>Nov 2025</v>
      </c>
      <c r="S320" s="9">
        <f>YEAR(Table1[[#This Row],[Date]])</f>
        <v>2025</v>
      </c>
      <c r="T320" s="9"/>
      <c r="U320" s="9"/>
    </row>
    <row r="321" spans="1:21" x14ac:dyDescent="0.3">
      <c r="A321" t="s">
        <v>628</v>
      </c>
      <c r="B321" s="6">
        <v>46141</v>
      </c>
      <c r="C321" t="s">
        <v>18</v>
      </c>
      <c r="D321" t="s">
        <v>19</v>
      </c>
      <c r="E321" t="s">
        <v>20</v>
      </c>
      <c r="F321" t="s">
        <v>598</v>
      </c>
      <c r="G321" t="s">
        <v>30</v>
      </c>
      <c r="H321" t="s">
        <v>23</v>
      </c>
      <c r="I321" t="s">
        <v>89</v>
      </c>
      <c r="J321" s="9">
        <v>1</v>
      </c>
      <c r="K321" s="7">
        <v>28600</v>
      </c>
      <c r="L321" s="7">
        <v>0</v>
      </c>
      <c r="M321" s="9"/>
      <c r="N321" s="7">
        <v>4.4000000000000004</v>
      </c>
      <c r="O321" s="7"/>
      <c r="P321" s="7"/>
      <c r="Q321" t="s">
        <v>89</v>
      </c>
      <c r="R321" s="7" t="str">
        <f>TEXT(Table1[[#This Row],[Date]],"mmm yyyy")</f>
        <v>Apr 2026</v>
      </c>
      <c r="S321" s="9">
        <f>YEAR(Table1[[#This Row],[Date]])</f>
        <v>2026</v>
      </c>
      <c r="T321" s="9"/>
      <c r="U321" s="9"/>
    </row>
    <row r="322" spans="1:21" x14ac:dyDescent="0.3">
      <c r="A322" t="s">
        <v>629</v>
      </c>
      <c r="B322" s="6">
        <v>46092</v>
      </c>
      <c r="C322" t="s">
        <v>18</v>
      </c>
      <c r="D322" t="s">
        <v>19</v>
      </c>
      <c r="E322" t="s">
        <v>48</v>
      </c>
      <c r="F322" t="s">
        <v>630</v>
      </c>
      <c r="G322" t="s">
        <v>22</v>
      </c>
      <c r="H322" t="s">
        <v>66</v>
      </c>
      <c r="I322" t="s">
        <v>55</v>
      </c>
      <c r="J322" s="9">
        <v>1</v>
      </c>
      <c r="K322" s="7">
        <v>46500</v>
      </c>
      <c r="L322" s="7">
        <v>0</v>
      </c>
      <c r="M322" s="9"/>
      <c r="N322" s="7">
        <v>10.3</v>
      </c>
      <c r="O322" s="7"/>
      <c r="P322" s="7"/>
      <c r="Q322" t="s">
        <v>55</v>
      </c>
      <c r="R322" s="7" t="str">
        <f>TEXT(Table1[[#This Row],[Date]],"mmm yyyy")</f>
        <v>Mar 2026</v>
      </c>
      <c r="S322" s="9">
        <f>YEAR(Table1[[#This Row],[Date]])</f>
        <v>2026</v>
      </c>
      <c r="T322" s="9"/>
      <c r="U322" s="9"/>
    </row>
    <row r="323" spans="1:21" hidden="1" x14ac:dyDescent="0.3">
      <c r="A323" t="s">
        <v>631</v>
      </c>
      <c r="B323" s="6">
        <v>45985</v>
      </c>
      <c r="C323" t="s">
        <v>26</v>
      </c>
      <c r="D323" t="s">
        <v>69</v>
      </c>
      <c r="E323" t="s">
        <v>20</v>
      </c>
      <c r="F323" t="s">
        <v>197</v>
      </c>
      <c r="G323" t="s">
        <v>50</v>
      </c>
      <c r="J323" s="9">
        <v>0</v>
      </c>
      <c r="K323" s="7">
        <v>0</v>
      </c>
      <c r="L323" s="7">
        <v>0</v>
      </c>
      <c r="M323" s="9">
        <v>1</v>
      </c>
      <c r="N323" s="7">
        <v>10.3</v>
      </c>
      <c r="O323" s="7">
        <v>4.3</v>
      </c>
      <c r="P323" s="7">
        <v>5</v>
      </c>
      <c r="Q323" t="s">
        <v>39</v>
      </c>
      <c r="R323" s="7" t="str">
        <f>TEXT(Table1[[#This Row],[Date]],"mmm yyyy")</f>
        <v>Nov 2025</v>
      </c>
      <c r="S323" s="9">
        <f>YEAR(Table1[[#This Row],[Date]])</f>
        <v>2025</v>
      </c>
      <c r="T323" s="9"/>
      <c r="U323" s="9"/>
    </row>
    <row r="324" spans="1:21" hidden="1" x14ac:dyDescent="0.3">
      <c r="A324" t="s">
        <v>632</v>
      </c>
      <c r="B324" s="6">
        <v>46030</v>
      </c>
      <c r="C324" t="s">
        <v>26</v>
      </c>
      <c r="D324" t="s">
        <v>126</v>
      </c>
      <c r="E324" t="s">
        <v>42</v>
      </c>
      <c r="F324" t="s">
        <v>619</v>
      </c>
      <c r="G324" t="s">
        <v>30</v>
      </c>
      <c r="J324" s="9">
        <v>0</v>
      </c>
      <c r="K324" s="7">
        <v>0</v>
      </c>
      <c r="L324" s="7">
        <v>0</v>
      </c>
      <c r="M324" s="9">
        <v>1</v>
      </c>
      <c r="N324" s="7">
        <v>11.9</v>
      </c>
      <c r="O324" s="7">
        <v>12.4</v>
      </c>
      <c r="P324" s="7">
        <v>4.4000000000000004</v>
      </c>
      <c r="Q324" t="s">
        <v>39</v>
      </c>
      <c r="R324" s="7" t="str">
        <f>TEXT(Table1[[#This Row],[Date]],"mmm yyyy")</f>
        <v>Jan 2026</v>
      </c>
      <c r="S324" s="9">
        <f>YEAR(Table1[[#This Row],[Date]])</f>
        <v>2026</v>
      </c>
      <c r="T324" s="9"/>
      <c r="U324" s="9"/>
    </row>
    <row r="325" spans="1:21" x14ac:dyDescent="0.3">
      <c r="A325" t="s">
        <v>633</v>
      </c>
      <c r="B325" s="6">
        <v>46005</v>
      </c>
      <c r="C325" t="s">
        <v>18</v>
      </c>
      <c r="D325" t="s">
        <v>41</v>
      </c>
      <c r="E325" t="s">
        <v>48</v>
      </c>
      <c r="F325" t="s">
        <v>566</v>
      </c>
      <c r="G325" t="s">
        <v>30</v>
      </c>
      <c r="H325" t="s">
        <v>23</v>
      </c>
      <c r="I325" t="s">
        <v>67</v>
      </c>
      <c r="J325" s="9">
        <v>1</v>
      </c>
      <c r="K325" s="7">
        <v>20100</v>
      </c>
      <c r="L325" s="7">
        <v>0</v>
      </c>
      <c r="M325" s="9"/>
      <c r="N325" s="7">
        <v>7.1</v>
      </c>
      <c r="O325" s="7"/>
      <c r="P325" s="7"/>
      <c r="Q325" t="s">
        <v>67</v>
      </c>
      <c r="R325" s="7" t="str">
        <f>TEXT(Table1[[#This Row],[Date]],"mmm yyyy")</f>
        <v>Dec 2025</v>
      </c>
      <c r="S325" s="9">
        <f>YEAR(Table1[[#This Row],[Date]])</f>
        <v>2025</v>
      </c>
      <c r="T325" s="9"/>
      <c r="U325" s="9"/>
    </row>
    <row r="326" spans="1:21" hidden="1" x14ac:dyDescent="0.3">
      <c r="A326" t="s">
        <v>634</v>
      </c>
      <c r="B326" s="6">
        <v>46062</v>
      </c>
      <c r="C326" t="s">
        <v>26</v>
      </c>
      <c r="D326" t="s">
        <v>69</v>
      </c>
      <c r="E326" t="s">
        <v>20</v>
      </c>
      <c r="F326" t="s">
        <v>635</v>
      </c>
      <c r="G326" t="s">
        <v>22</v>
      </c>
      <c r="J326" s="9">
        <v>0</v>
      </c>
      <c r="K326" s="7">
        <v>0</v>
      </c>
      <c r="L326" s="7">
        <v>0</v>
      </c>
      <c r="M326" s="9">
        <v>1</v>
      </c>
      <c r="N326" s="7">
        <v>8.6999999999999993</v>
      </c>
      <c r="O326" s="7">
        <v>12</v>
      </c>
      <c r="P326" s="7">
        <v>4</v>
      </c>
      <c r="Q326" t="s">
        <v>39</v>
      </c>
      <c r="R326" s="7" t="str">
        <f>TEXT(Table1[[#This Row],[Date]],"mmm yyyy")</f>
        <v>Feb 2026</v>
      </c>
      <c r="S326" s="9">
        <f>YEAR(Table1[[#This Row],[Date]])</f>
        <v>2026</v>
      </c>
      <c r="T326" s="9"/>
      <c r="U326" s="9"/>
    </row>
    <row r="327" spans="1:21" hidden="1" x14ac:dyDescent="0.3">
      <c r="A327" t="s">
        <v>636</v>
      </c>
      <c r="B327" s="6">
        <v>46160</v>
      </c>
      <c r="C327" t="s">
        <v>26</v>
      </c>
      <c r="D327" t="s">
        <v>69</v>
      </c>
      <c r="E327" t="s">
        <v>20</v>
      </c>
      <c r="F327" t="s">
        <v>288</v>
      </c>
      <c r="G327" t="s">
        <v>44</v>
      </c>
      <c r="J327" s="9">
        <v>0</v>
      </c>
      <c r="K327" s="7">
        <v>0</v>
      </c>
      <c r="L327" s="7">
        <v>0</v>
      </c>
      <c r="M327" s="9">
        <v>1</v>
      </c>
      <c r="N327" s="7">
        <v>8.6</v>
      </c>
      <c r="O327" s="7">
        <v>4.3</v>
      </c>
      <c r="P327" s="7">
        <v>4.7</v>
      </c>
      <c r="Q327" t="s">
        <v>31</v>
      </c>
      <c r="R327" s="7" t="str">
        <f>TEXT(Table1[[#This Row],[Date]],"mmm yyyy")</f>
        <v>May 2026</v>
      </c>
      <c r="S327" s="9">
        <f>YEAR(Table1[[#This Row],[Date]])</f>
        <v>2026</v>
      </c>
      <c r="T327" s="9"/>
      <c r="U327" s="9"/>
    </row>
    <row r="328" spans="1:21" hidden="1" x14ac:dyDescent="0.3">
      <c r="A328" t="s">
        <v>637</v>
      </c>
      <c r="B328" s="6">
        <v>46218</v>
      </c>
      <c r="C328" t="s">
        <v>26</v>
      </c>
      <c r="D328" t="s">
        <v>232</v>
      </c>
      <c r="E328" t="s">
        <v>20</v>
      </c>
      <c r="F328" t="s">
        <v>638</v>
      </c>
      <c r="G328" t="s">
        <v>22</v>
      </c>
      <c r="J328" s="9">
        <v>0</v>
      </c>
      <c r="K328" s="7">
        <v>0</v>
      </c>
      <c r="L328" s="7">
        <v>0</v>
      </c>
      <c r="M328" s="9">
        <v>1</v>
      </c>
      <c r="N328" s="7">
        <v>0.6</v>
      </c>
      <c r="O328" s="7">
        <v>5.5</v>
      </c>
      <c r="P328" s="7">
        <v>5</v>
      </c>
      <c r="Q328" t="s">
        <v>39</v>
      </c>
      <c r="R328" s="7" t="str">
        <f>TEXT(Table1[[#This Row],[Date]],"mmm yyyy")</f>
        <v>Jul 2026</v>
      </c>
      <c r="S328" s="9">
        <f>YEAR(Table1[[#This Row],[Date]])</f>
        <v>2026</v>
      </c>
      <c r="T328" s="9"/>
      <c r="U328" s="9"/>
    </row>
    <row r="329" spans="1:21" hidden="1" x14ac:dyDescent="0.3">
      <c r="A329" t="s">
        <v>639</v>
      </c>
      <c r="B329" s="6">
        <v>46129</v>
      </c>
      <c r="C329" t="s">
        <v>26</v>
      </c>
      <c r="D329" t="s">
        <v>232</v>
      </c>
      <c r="E329" t="s">
        <v>37</v>
      </c>
      <c r="F329" t="s">
        <v>260</v>
      </c>
      <c r="G329" t="s">
        <v>50</v>
      </c>
      <c r="J329" s="9">
        <v>0</v>
      </c>
      <c r="K329" s="7">
        <v>0</v>
      </c>
      <c r="L329" s="7">
        <v>0</v>
      </c>
      <c r="M329" s="9">
        <v>1</v>
      </c>
      <c r="N329" s="7">
        <v>9.3000000000000007</v>
      </c>
      <c r="O329" s="7">
        <v>7.6</v>
      </c>
      <c r="P329" s="7">
        <v>4</v>
      </c>
      <c r="Q329" t="s">
        <v>62</v>
      </c>
      <c r="R329" s="7" t="str">
        <f>TEXT(Table1[[#This Row],[Date]],"mmm yyyy")</f>
        <v>Apr 2026</v>
      </c>
      <c r="S329" s="9">
        <f>YEAR(Table1[[#This Row],[Date]])</f>
        <v>2026</v>
      </c>
      <c r="T329" s="9"/>
      <c r="U329" s="9"/>
    </row>
    <row r="330" spans="1:21" x14ac:dyDescent="0.3">
      <c r="A330" t="s">
        <v>640</v>
      </c>
      <c r="B330" s="6">
        <v>46096</v>
      </c>
      <c r="C330" t="s">
        <v>18</v>
      </c>
      <c r="D330" t="s">
        <v>52</v>
      </c>
      <c r="E330" t="s">
        <v>42</v>
      </c>
      <c r="F330" t="s">
        <v>641</v>
      </c>
      <c r="G330" t="s">
        <v>44</v>
      </c>
      <c r="H330" t="s">
        <v>66</v>
      </c>
      <c r="I330" t="s">
        <v>89</v>
      </c>
      <c r="J330" s="9">
        <v>1</v>
      </c>
      <c r="K330" s="7">
        <v>26100</v>
      </c>
      <c r="L330" s="7">
        <v>0</v>
      </c>
      <c r="M330" s="9"/>
      <c r="N330" s="7">
        <v>20.7</v>
      </c>
      <c r="O330" s="7"/>
      <c r="P330" s="7"/>
      <c r="Q330" t="s">
        <v>89</v>
      </c>
      <c r="R330" s="7" t="str">
        <f>TEXT(Table1[[#This Row],[Date]],"mmm yyyy")</f>
        <v>Mar 2026</v>
      </c>
      <c r="S330" s="9">
        <f>YEAR(Table1[[#This Row],[Date]])</f>
        <v>2026</v>
      </c>
      <c r="T330" s="9"/>
      <c r="U330" s="9"/>
    </row>
    <row r="331" spans="1:21" x14ac:dyDescent="0.3">
      <c r="A331" t="s">
        <v>642</v>
      </c>
      <c r="B331" s="6">
        <v>46263</v>
      </c>
      <c r="C331" t="s">
        <v>18</v>
      </c>
      <c r="D331" t="s">
        <v>19</v>
      </c>
      <c r="E331" t="s">
        <v>20</v>
      </c>
      <c r="F331" t="s">
        <v>643</v>
      </c>
      <c r="G331" t="s">
        <v>22</v>
      </c>
      <c r="H331" t="s">
        <v>86</v>
      </c>
      <c r="I331" t="s">
        <v>79</v>
      </c>
      <c r="J331" s="9">
        <v>1</v>
      </c>
      <c r="K331" s="7">
        <v>22300</v>
      </c>
      <c r="L331" s="7">
        <v>0</v>
      </c>
      <c r="M331" s="9"/>
      <c r="N331" s="7">
        <v>3.4</v>
      </c>
      <c r="O331" s="7"/>
      <c r="P331" s="7"/>
      <c r="Q331" t="s">
        <v>79</v>
      </c>
      <c r="R331" s="7" t="str">
        <f>TEXT(Table1[[#This Row],[Date]],"mmm yyyy")</f>
        <v>Aug 2026</v>
      </c>
      <c r="S331" s="9">
        <f>YEAR(Table1[[#This Row],[Date]])</f>
        <v>2026</v>
      </c>
      <c r="T331" s="9"/>
      <c r="U331" s="9"/>
    </row>
    <row r="332" spans="1:21" x14ac:dyDescent="0.3">
      <c r="A332" t="s">
        <v>644</v>
      </c>
      <c r="B332" s="6">
        <v>46098</v>
      </c>
      <c r="C332" t="s">
        <v>18</v>
      </c>
      <c r="D332" t="s">
        <v>19</v>
      </c>
      <c r="E332" t="s">
        <v>20</v>
      </c>
      <c r="F332" t="s">
        <v>645</v>
      </c>
      <c r="G332" t="s">
        <v>50</v>
      </c>
      <c r="H332" t="s">
        <v>66</v>
      </c>
      <c r="I332" t="s">
        <v>55</v>
      </c>
      <c r="J332" s="9">
        <v>1</v>
      </c>
      <c r="K332" s="7">
        <v>8100</v>
      </c>
      <c r="L332" s="7">
        <v>0</v>
      </c>
      <c r="M332" s="9"/>
      <c r="N332" s="7">
        <v>10.6</v>
      </c>
      <c r="O332" s="7"/>
      <c r="P332" s="7"/>
      <c r="Q332" t="s">
        <v>55</v>
      </c>
      <c r="R332" s="7" t="str">
        <f>TEXT(Table1[[#This Row],[Date]],"mmm yyyy")</f>
        <v>Mar 2026</v>
      </c>
      <c r="S332" s="9">
        <f>YEAR(Table1[[#This Row],[Date]])</f>
        <v>2026</v>
      </c>
      <c r="T332" s="9"/>
      <c r="U332" s="9"/>
    </row>
    <row r="333" spans="1:21" hidden="1" x14ac:dyDescent="0.3">
      <c r="A333" t="s">
        <v>646</v>
      </c>
      <c r="B333" s="6">
        <v>46085</v>
      </c>
      <c r="C333" t="s">
        <v>26</v>
      </c>
      <c r="D333" t="s">
        <v>126</v>
      </c>
      <c r="E333" t="s">
        <v>20</v>
      </c>
      <c r="F333" t="s">
        <v>248</v>
      </c>
      <c r="G333" t="s">
        <v>30</v>
      </c>
      <c r="J333" s="9">
        <v>0</v>
      </c>
      <c r="K333" s="7">
        <v>0</v>
      </c>
      <c r="L333" s="7">
        <v>0</v>
      </c>
      <c r="M333" s="9">
        <v>1</v>
      </c>
      <c r="N333" s="7">
        <v>10.5</v>
      </c>
      <c r="O333" s="7">
        <v>7.3</v>
      </c>
      <c r="P333" s="7">
        <v>4.2</v>
      </c>
      <c r="Q333" t="s">
        <v>39</v>
      </c>
      <c r="R333" s="7" t="str">
        <f>TEXT(Table1[[#This Row],[Date]],"mmm yyyy")</f>
        <v>Mar 2026</v>
      </c>
      <c r="S333" s="9">
        <f>YEAR(Table1[[#This Row],[Date]])</f>
        <v>2026</v>
      </c>
      <c r="T333" s="9"/>
      <c r="U333" s="9"/>
    </row>
    <row r="334" spans="1:21" x14ac:dyDescent="0.3">
      <c r="A334" t="s">
        <v>647</v>
      </c>
      <c r="B334" s="6">
        <v>45998</v>
      </c>
      <c r="C334" t="s">
        <v>18</v>
      </c>
      <c r="D334" t="s">
        <v>47</v>
      </c>
      <c r="E334" t="s">
        <v>28</v>
      </c>
      <c r="F334" t="s">
        <v>587</v>
      </c>
      <c r="G334" t="s">
        <v>50</v>
      </c>
      <c r="H334" t="s">
        <v>86</v>
      </c>
      <c r="I334" t="s">
        <v>45</v>
      </c>
      <c r="J334" s="9">
        <v>1</v>
      </c>
      <c r="K334" s="7">
        <v>43800</v>
      </c>
      <c r="L334" s="7">
        <v>0</v>
      </c>
      <c r="M334" s="9"/>
      <c r="N334" s="7">
        <v>16.3</v>
      </c>
      <c r="O334" s="7"/>
      <c r="P334" s="7"/>
      <c r="Q334" t="s">
        <v>45</v>
      </c>
      <c r="R334" s="7" t="str">
        <f>TEXT(Table1[[#This Row],[Date]],"mmm yyyy")</f>
        <v>Dec 2025</v>
      </c>
      <c r="S334" s="9">
        <f>YEAR(Table1[[#This Row],[Date]])</f>
        <v>2025</v>
      </c>
      <c r="T334" s="9"/>
      <c r="U334" s="9"/>
    </row>
    <row r="335" spans="1:21" x14ac:dyDescent="0.3">
      <c r="A335" t="s">
        <v>648</v>
      </c>
      <c r="B335" s="6">
        <v>46107</v>
      </c>
      <c r="C335" t="s">
        <v>18</v>
      </c>
      <c r="D335" t="s">
        <v>64</v>
      </c>
      <c r="E335" t="s">
        <v>28</v>
      </c>
      <c r="F335" t="s">
        <v>502</v>
      </c>
      <c r="G335" t="s">
        <v>22</v>
      </c>
      <c r="H335" t="s">
        <v>54</v>
      </c>
      <c r="I335" t="s">
        <v>55</v>
      </c>
      <c r="J335" s="9">
        <v>1</v>
      </c>
      <c r="K335" s="7">
        <v>25200</v>
      </c>
      <c r="L335" s="7">
        <v>0</v>
      </c>
      <c r="M335" s="9"/>
      <c r="N335" s="7">
        <v>2.2999999999999998</v>
      </c>
      <c r="O335" s="7"/>
      <c r="P335" s="7"/>
      <c r="Q335" t="s">
        <v>55</v>
      </c>
      <c r="R335" s="7" t="str">
        <f>TEXT(Table1[[#This Row],[Date]],"mmm yyyy")</f>
        <v>Mar 2026</v>
      </c>
      <c r="S335" s="9">
        <f>YEAR(Table1[[#This Row],[Date]])</f>
        <v>2026</v>
      </c>
      <c r="T335" s="9"/>
      <c r="U335" s="9"/>
    </row>
    <row r="336" spans="1:21" x14ac:dyDescent="0.3">
      <c r="A336" t="s">
        <v>649</v>
      </c>
      <c r="B336" s="6">
        <v>46079</v>
      </c>
      <c r="C336" t="s">
        <v>18</v>
      </c>
      <c r="D336" t="s">
        <v>95</v>
      </c>
      <c r="E336" t="s">
        <v>20</v>
      </c>
      <c r="F336" t="s">
        <v>650</v>
      </c>
      <c r="G336" t="s">
        <v>30</v>
      </c>
      <c r="H336" t="s">
        <v>78</v>
      </c>
      <c r="I336" t="s">
        <v>89</v>
      </c>
      <c r="J336" s="9">
        <v>1</v>
      </c>
      <c r="K336" s="7">
        <v>58500</v>
      </c>
      <c r="L336" s="7">
        <v>0</v>
      </c>
      <c r="M336" s="9"/>
      <c r="N336" s="7">
        <v>3.2</v>
      </c>
      <c r="O336" s="7"/>
      <c r="P336" s="7"/>
      <c r="Q336" t="s">
        <v>89</v>
      </c>
      <c r="R336" s="7" t="str">
        <f>TEXT(Table1[[#This Row],[Date]],"mmm yyyy")</f>
        <v>Feb 2026</v>
      </c>
      <c r="S336" s="9">
        <f>YEAR(Table1[[#This Row],[Date]])</f>
        <v>2026</v>
      </c>
      <c r="T336" s="9"/>
      <c r="U336" s="9"/>
    </row>
    <row r="337" spans="1:21" x14ac:dyDescent="0.3">
      <c r="A337" t="s">
        <v>651</v>
      </c>
      <c r="B337" s="6">
        <v>46000</v>
      </c>
      <c r="C337" t="s">
        <v>18</v>
      </c>
      <c r="D337" t="s">
        <v>41</v>
      </c>
      <c r="E337" t="s">
        <v>42</v>
      </c>
      <c r="F337" t="s">
        <v>652</v>
      </c>
      <c r="G337" t="s">
        <v>50</v>
      </c>
      <c r="H337" t="s">
        <v>86</v>
      </c>
      <c r="I337" t="s">
        <v>89</v>
      </c>
      <c r="J337" s="9">
        <v>1</v>
      </c>
      <c r="K337" s="7">
        <v>10500</v>
      </c>
      <c r="L337" s="7">
        <v>0</v>
      </c>
      <c r="M337" s="9"/>
      <c r="N337" s="7">
        <v>9.4</v>
      </c>
      <c r="O337" s="7"/>
      <c r="P337" s="7"/>
      <c r="Q337" t="s">
        <v>89</v>
      </c>
      <c r="R337" s="7" t="str">
        <f>TEXT(Table1[[#This Row],[Date]],"mmm yyyy")</f>
        <v>Dec 2025</v>
      </c>
      <c r="S337" s="9">
        <f>YEAR(Table1[[#This Row],[Date]])</f>
        <v>2025</v>
      </c>
      <c r="T337" s="9"/>
      <c r="U337" s="9"/>
    </row>
    <row r="338" spans="1:21" hidden="1" x14ac:dyDescent="0.3">
      <c r="A338" t="s">
        <v>653</v>
      </c>
      <c r="B338" s="6">
        <v>46106</v>
      </c>
      <c r="C338" t="s">
        <v>26</v>
      </c>
      <c r="D338" t="s">
        <v>33</v>
      </c>
      <c r="E338" t="s">
        <v>48</v>
      </c>
      <c r="F338" t="s">
        <v>469</v>
      </c>
      <c r="G338" t="s">
        <v>44</v>
      </c>
      <c r="J338" s="9">
        <v>0</v>
      </c>
      <c r="K338" s="7">
        <v>0</v>
      </c>
      <c r="L338" s="7">
        <v>0</v>
      </c>
      <c r="M338" s="9">
        <v>1</v>
      </c>
      <c r="N338" s="7">
        <v>2.1</v>
      </c>
      <c r="O338" s="7">
        <v>7.6</v>
      </c>
      <c r="P338" s="7">
        <v>3.3</v>
      </c>
      <c r="Q338" t="s">
        <v>31</v>
      </c>
      <c r="R338" s="7" t="str">
        <f>TEXT(Table1[[#This Row],[Date]],"mmm yyyy")</f>
        <v>Mar 2026</v>
      </c>
      <c r="S338" s="9">
        <f>YEAR(Table1[[#This Row],[Date]])</f>
        <v>2026</v>
      </c>
      <c r="T338" s="9"/>
      <c r="U338" s="9"/>
    </row>
    <row r="339" spans="1:21" hidden="1" x14ac:dyDescent="0.3">
      <c r="A339" t="s">
        <v>654</v>
      </c>
      <c r="B339" s="6">
        <v>46188</v>
      </c>
      <c r="C339" t="s">
        <v>26</v>
      </c>
      <c r="D339" t="s">
        <v>126</v>
      </c>
      <c r="E339" t="s">
        <v>20</v>
      </c>
      <c r="F339" t="s">
        <v>655</v>
      </c>
      <c r="G339" t="s">
        <v>22</v>
      </c>
      <c r="J339" s="9">
        <v>0</v>
      </c>
      <c r="K339" s="7">
        <v>0</v>
      </c>
      <c r="L339" s="7">
        <v>0</v>
      </c>
      <c r="M339" s="9">
        <v>1</v>
      </c>
      <c r="N339" s="7">
        <v>4.9000000000000004</v>
      </c>
      <c r="O339" s="7">
        <v>4.9000000000000004</v>
      </c>
      <c r="P339" s="7">
        <v>2.6</v>
      </c>
      <c r="Q339" t="s">
        <v>39</v>
      </c>
      <c r="R339" s="7" t="str">
        <f>TEXT(Table1[[#This Row],[Date]],"mmm yyyy")</f>
        <v>Jun 2026</v>
      </c>
      <c r="S339" s="9">
        <f>YEAR(Table1[[#This Row],[Date]])</f>
        <v>2026</v>
      </c>
      <c r="T339" s="9"/>
      <c r="U339" s="9"/>
    </row>
    <row r="340" spans="1:21" x14ac:dyDescent="0.3">
      <c r="A340" t="s">
        <v>656</v>
      </c>
      <c r="B340" s="6">
        <v>45923</v>
      </c>
      <c r="C340" t="s">
        <v>18</v>
      </c>
      <c r="D340" t="s">
        <v>105</v>
      </c>
      <c r="E340" t="s">
        <v>20</v>
      </c>
      <c r="F340" t="s">
        <v>59</v>
      </c>
      <c r="G340" t="s">
        <v>30</v>
      </c>
      <c r="H340" t="s">
        <v>66</v>
      </c>
      <c r="I340" t="s">
        <v>55</v>
      </c>
      <c r="J340" s="9">
        <v>1</v>
      </c>
      <c r="K340" s="7">
        <v>36300</v>
      </c>
      <c r="L340" s="7">
        <v>0</v>
      </c>
      <c r="M340" s="9"/>
      <c r="N340" s="7">
        <v>4.7</v>
      </c>
      <c r="O340" s="7"/>
      <c r="P340" s="7"/>
      <c r="Q340" t="s">
        <v>55</v>
      </c>
      <c r="R340" s="7" t="str">
        <f>TEXT(Table1[[#This Row],[Date]],"mmm yyyy")</f>
        <v>Sep 2025</v>
      </c>
      <c r="S340" s="9">
        <f>YEAR(Table1[[#This Row],[Date]])</f>
        <v>2025</v>
      </c>
      <c r="T340" s="9"/>
      <c r="U340" s="9"/>
    </row>
    <row r="341" spans="1:21" x14ac:dyDescent="0.3">
      <c r="A341" t="s">
        <v>657</v>
      </c>
      <c r="B341" s="6">
        <v>46092</v>
      </c>
      <c r="C341" t="s">
        <v>18</v>
      </c>
      <c r="D341" t="s">
        <v>117</v>
      </c>
      <c r="E341" t="s">
        <v>20</v>
      </c>
      <c r="F341" t="s">
        <v>658</v>
      </c>
      <c r="G341" t="s">
        <v>44</v>
      </c>
      <c r="H341" t="s">
        <v>78</v>
      </c>
      <c r="I341" t="s">
        <v>67</v>
      </c>
      <c r="J341" s="9">
        <v>1</v>
      </c>
      <c r="K341" s="7">
        <v>15900</v>
      </c>
      <c r="L341" s="7">
        <v>0</v>
      </c>
      <c r="M341" s="9"/>
      <c r="N341" s="7">
        <v>11.7</v>
      </c>
      <c r="O341" s="7"/>
      <c r="P341" s="7"/>
      <c r="Q341" t="s">
        <v>67</v>
      </c>
      <c r="R341" s="7" t="str">
        <f>TEXT(Table1[[#This Row],[Date]],"mmm yyyy")</f>
        <v>Mar 2026</v>
      </c>
      <c r="S341" s="9">
        <f>YEAR(Table1[[#This Row],[Date]])</f>
        <v>2026</v>
      </c>
      <c r="T341" s="9"/>
      <c r="U341" s="9"/>
    </row>
    <row r="342" spans="1:21" x14ac:dyDescent="0.3">
      <c r="A342" t="s">
        <v>659</v>
      </c>
      <c r="B342" s="6">
        <v>45935</v>
      </c>
      <c r="C342" t="s">
        <v>18</v>
      </c>
      <c r="D342" t="s">
        <v>52</v>
      </c>
      <c r="E342" t="s">
        <v>48</v>
      </c>
      <c r="F342" t="s">
        <v>346</v>
      </c>
      <c r="G342" t="s">
        <v>30</v>
      </c>
      <c r="H342" t="s">
        <v>78</v>
      </c>
      <c r="I342" t="s">
        <v>24</v>
      </c>
      <c r="J342" s="9">
        <v>1</v>
      </c>
      <c r="K342" s="7">
        <v>126800</v>
      </c>
      <c r="L342" s="7">
        <v>126800</v>
      </c>
      <c r="M342" s="9"/>
      <c r="N342" s="7">
        <v>19.899999999999999</v>
      </c>
      <c r="O342" s="7"/>
      <c r="P342" s="7"/>
      <c r="Q342" t="s">
        <v>24</v>
      </c>
      <c r="R342" s="7" t="str">
        <f>TEXT(Table1[[#This Row],[Date]],"mmm yyyy")</f>
        <v>Oct 2025</v>
      </c>
      <c r="S342" s="9">
        <f>YEAR(Table1[[#This Row],[Date]])</f>
        <v>2025</v>
      </c>
      <c r="T342" s="9"/>
      <c r="U342" s="9"/>
    </row>
    <row r="343" spans="1:21" x14ac:dyDescent="0.3">
      <c r="A343" t="s">
        <v>660</v>
      </c>
      <c r="B343" s="6">
        <v>46187</v>
      </c>
      <c r="C343" t="s">
        <v>18</v>
      </c>
      <c r="D343" t="s">
        <v>41</v>
      </c>
      <c r="E343" t="s">
        <v>28</v>
      </c>
      <c r="F343" t="s">
        <v>661</v>
      </c>
      <c r="G343" t="s">
        <v>44</v>
      </c>
      <c r="H343" t="s">
        <v>54</v>
      </c>
      <c r="I343" t="s">
        <v>79</v>
      </c>
      <c r="J343" s="9">
        <v>1</v>
      </c>
      <c r="K343" s="7">
        <v>51800</v>
      </c>
      <c r="L343" s="7">
        <v>0</v>
      </c>
      <c r="M343" s="9"/>
      <c r="N343" s="7">
        <v>16.7</v>
      </c>
      <c r="O343" s="7"/>
      <c r="P343" s="7"/>
      <c r="Q343" t="s">
        <v>79</v>
      </c>
      <c r="R343" s="7" t="str">
        <f>TEXT(Table1[[#This Row],[Date]],"mmm yyyy")</f>
        <v>Jun 2026</v>
      </c>
      <c r="S343" s="9">
        <f>YEAR(Table1[[#This Row],[Date]])</f>
        <v>2026</v>
      </c>
      <c r="T343" s="9"/>
      <c r="U343" s="9"/>
    </row>
    <row r="344" spans="1:21" x14ac:dyDescent="0.3">
      <c r="A344" t="s">
        <v>662</v>
      </c>
      <c r="B344" s="6">
        <v>46026</v>
      </c>
      <c r="C344" t="s">
        <v>18</v>
      </c>
      <c r="D344" t="s">
        <v>52</v>
      </c>
      <c r="E344" t="s">
        <v>20</v>
      </c>
      <c r="F344" t="s">
        <v>663</v>
      </c>
      <c r="G344" t="s">
        <v>44</v>
      </c>
      <c r="H344" t="s">
        <v>66</v>
      </c>
      <c r="I344" t="s">
        <v>67</v>
      </c>
      <c r="J344" s="9">
        <v>1</v>
      </c>
      <c r="K344" s="7">
        <v>30100</v>
      </c>
      <c r="L344" s="7">
        <v>0</v>
      </c>
      <c r="M344" s="9"/>
      <c r="N344" s="7">
        <v>22.4</v>
      </c>
      <c r="O344" s="7"/>
      <c r="P344" s="7"/>
      <c r="Q344" t="s">
        <v>67</v>
      </c>
      <c r="R344" s="7" t="str">
        <f>TEXT(Table1[[#This Row],[Date]],"mmm yyyy")</f>
        <v>Jan 2026</v>
      </c>
      <c r="S344" s="9">
        <f>YEAR(Table1[[#This Row],[Date]])</f>
        <v>2026</v>
      </c>
      <c r="T344" s="9"/>
      <c r="U344" s="9"/>
    </row>
    <row r="345" spans="1:21" x14ac:dyDescent="0.3">
      <c r="A345" t="s">
        <v>664</v>
      </c>
      <c r="B345" s="6">
        <v>46108</v>
      </c>
      <c r="C345" t="s">
        <v>18</v>
      </c>
      <c r="D345" t="s">
        <v>19</v>
      </c>
      <c r="E345" t="s">
        <v>37</v>
      </c>
      <c r="F345" t="s">
        <v>665</v>
      </c>
      <c r="G345" t="s">
        <v>22</v>
      </c>
      <c r="H345" t="s">
        <v>86</v>
      </c>
      <c r="I345" t="s">
        <v>45</v>
      </c>
      <c r="J345" s="9">
        <v>1</v>
      </c>
      <c r="K345" s="7">
        <v>14900</v>
      </c>
      <c r="L345" s="7">
        <v>0</v>
      </c>
      <c r="M345" s="9"/>
      <c r="N345" s="7">
        <v>3.1</v>
      </c>
      <c r="O345" s="7"/>
      <c r="P345" s="7"/>
      <c r="Q345" t="s">
        <v>45</v>
      </c>
      <c r="R345" s="7" t="str">
        <f>TEXT(Table1[[#This Row],[Date]],"mmm yyyy")</f>
        <v>Mar 2026</v>
      </c>
      <c r="S345" s="9">
        <f>YEAR(Table1[[#This Row],[Date]])</f>
        <v>2026</v>
      </c>
      <c r="T345" s="9"/>
      <c r="U345" s="9"/>
    </row>
    <row r="346" spans="1:21" x14ac:dyDescent="0.3">
      <c r="A346" t="s">
        <v>666</v>
      </c>
      <c r="B346" s="6">
        <v>46099</v>
      </c>
      <c r="C346" t="s">
        <v>18</v>
      </c>
      <c r="D346" t="s">
        <v>105</v>
      </c>
      <c r="E346" t="s">
        <v>20</v>
      </c>
      <c r="F346" t="s">
        <v>529</v>
      </c>
      <c r="G346" t="s">
        <v>22</v>
      </c>
      <c r="H346" t="s">
        <v>78</v>
      </c>
      <c r="I346" t="s">
        <v>67</v>
      </c>
      <c r="J346" s="9">
        <v>1</v>
      </c>
      <c r="K346" s="7">
        <v>31900</v>
      </c>
      <c r="L346" s="7">
        <v>0</v>
      </c>
      <c r="M346" s="9"/>
      <c r="N346" s="7">
        <v>20.6</v>
      </c>
      <c r="O346" s="7"/>
      <c r="P346" s="7"/>
      <c r="Q346" t="s">
        <v>67</v>
      </c>
      <c r="R346" s="7" t="str">
        <f>TEXT(Table1[[#This Row],[Date]],"mmm yyyy")</f>
        <v>Mar 2026</v>
      </c>
      <c r="S346" s="9">
        <f>YEAR(Table1[[#This Row],[Date]])</f>
        <v>2026</v>
      </c>
      <c r="T346" s="9"/>
      <c r="U346" s="9"/>
    </row>
    <row r="347" spans="1:21" hidden="1" x14ac:dyDescent="0.3">
      <c r="A347" t="s">
        <v>667</v>
      </c>
      <c r="B347" s="6">
        <v>45925</v>
      </c>
      <c r="C347" t="s">
        <v>26</v>
      </c>
      <c r="D347" t="s">
        <v>36</v>
      </c>
      <c r="E347" t="s">
        <v>48</v>
      </c>
      <c r="F347" t="s">
        <v>554</v>
      </c>
      <c r="G347" t="s">
        <v>30</v>
      </c>
      <c r="J347" s="9">
        <v>0</v>
      </c>
      <c r="K347" s="7">
        <v>0</v>
      </c>
      <c r="L347" s="7">
        <v>0</v>
      </c>
      <c r="M347" s="9">
        <v>1</v>
      </c>
      <c r="N347" s="7">
        <v>1.1000000000000001</v>
      </c>
      <c r="O347" s="7">
        <v>4.4000000000000004</v>
      </c>
      <c r="P347" s="7">
        <v>3.8</v>
      </c>
      <c r="Q347" t="s">
        <v>39</v>
      </c>
      <c r="R347" s="7" t="str">
        <f>TEXT(Table1[[#This Row],[Date]],"mmm yyyy")</f>
        <v>Sep 2025</v>
      </c>
      <c r="S347" s="9">
        <f>YEAR(Table1[[#This Row],[Date]])</f>
        <v>2025</v>
      </c>
      <c r="T347" s="9"/>
      <c r="U347" s="9"/>
    </row>
    <row r="348" spans="1:21" hidden="1" x14ac:dyDescent="0.3">
      <c r="A348" t="s">
        <v>668</v>
      </c>
      <c r="B348" s="6">
        <v>46129</v>
      </c>
      <c r="C348" t="s">
        <v>26</v>
      </c>
      <c r="D348" t="s">
        <v>114</v>
      </c>
      <c r="E348" t="s">
        <v>28</v>
      </c>
      <c r="F348" t="s">
        <v>669</v>
      </c>
      <c r="G348" t="s">
        <v>22</v>
      </c>
      <c r="J348" s="9">
        <v>0</v>
      </c>
      <c r="K348" s="7">
        <v>0</v>
      </c>
      <c r="L348" s="7">
        <v>0</v>
      </c>
      <c r="M348" s="9">
        <v>1</v>
      </c>
      <c r="N348" s="7">
        <v>9.8000000000000007</v>
      </c>
      <c r="O348" s="7">
        <v>6</v>
      </c>
      <c r="P348" s="7">
        <v>3.5</v>
      </c>
      <c r="Q348" t="s">
        <v>62</v>
      </c>
      <c r="R348" s="7" t="str">
        <f>TEXT(Table1[[#This Row],[Date]],"mmm yyyy")</f>
        <v>Apr 2026</v>
      </c>
      <c r="S348" s="9">
        <f>YEAR(Table1[[#This Row],[Date]])</f>
        <v>2026</v>
      </c>
      <c r="T348" s="9"/>
      <c r="U348" s="9"/>
    </row>
    <row r="349" spans="1:21" x14ac:dyDescent="0.3">
      <c r="A349" t="s">
        <v>670</v>
      </c>
      <c r="B349" s="6">
        <v>45994</v>
      </c>
      <c r="C349" t="s">
        <v>18</v>
      </c>
      <c r="D349" t="s">
        <v>117</v>
      </c>
      <c r="E349" t="s">
        <v>20</v>
      </c>
      <c r="F349" t="s">
        <v>671</v>
      </c>
      <c r="G349" t="s">
        <v>22</v>
      </c>
      <c r="H349" t="s">
        <v>78</v>
      </c>
      <c r="I349" t="s">
        <v>55</v>
      </c>
      <c r="J349" s="9">
        <v>1</v>
      </c>
      <c r="K349" s="7">
        <v>29100</v>
      </c>
      <c r="L349" s="7">
        <v>0</v>
      </c>
      <c r="M349" s="9"/>
      <c r="N349" s="7">
        <v>7.6</v>
      </c>
      <c r="O349" s="7"/>
      <c r="P349" s="7"/>
      <c r="Q349" t="s">
        <v>55</v>
      </c>
      <c r="R349" s="7" t="str">
        <f>TEXT(Table1[[#This Row],[Date]],"mmm yyyy")</f>
        <v>Dec 2025</v>
      </c>
      <c r="S349" s="9">
        <f>YEAR(Table1[[#This Row],[Date]])</f>
        <v>2025</v>
      </c>
      <c r="T349" s="9"/>
      <c r="U349" s="9"/>
    </row>
    <row r="350" spans="1:21" x14ac:dyDescent="0.3">
      <c r="A350" t="s">
        <v>672</v>
      </c>
      <c r="B350" s="6">
        <v>45945</v>
      </c>
      <c r="C350" t="s">
        <v>18</v>
      </c>
      <c r="D350" t="s">
        <v>19</v>
      </c>
      <c r="E350" t="s">
        <v>20</v>
      </c>
      <c r="F350" t="s">
        <v>301</v>
      </c>
      <c r="G350" t="s">
        <v>22</v>
      </c>
      <c r="H350" t="s">
        <v>86</v>
      </c>
      <c r="I350" t="s">
        <v>79</v>
      </c>
      <c r="J350" s="9">
        <v>1</v>
      </c>
      <c r="K350" s="7">
        <v>34700</v>
      </c>
      <c r="L350" s="7">
        <v>0</v>
      </c>
      <c r="M350" s="9"/>
      <c r="N350" s="7">
        <v>17.8</v>
      </c>
      <c r="O350" s="7"/>
      <c r="P350" s="7"/>
      <c r="Q350" t="s">
        <v>79</v>
      </c>
      <c r="R350" s="7" t="str">
        <f>TEXT(Table1[[#This Row],[Date]],"mmm yyyy")</f>
        <v>Oct 2025</v>
      </c>
      <c r="S350" s="9">
        <f>YEAR(Table1[[#This Row],[Date]])</f>
        <v>2025</v>
      </c>
      <c r="T350" s="9"/>
      <c r="U350" s="9"/>
    </row>
    <row r="351" spans="1:21" hidden="1" x14ac:dyDescent="0.3">
      <c r="A351" t="s">
        <v>673</v>
      </c>
      <c r="B351" s="6">
        <v>45947</v>
      </c>
      <c r="C351" t="s">
        <v>26</v>
      </c>
      <c r="D351" t="s">
        <v>36</v>
      </c>
      <c r="E351" t="s">
        <v>28</v>
      </c>
      <c r="F351" t="s">
        <v>186</v>
      </c>
      <c r="G351" t="s">
        <v>22</v>
      </c>
      <c r="J351" s="9">
        <v>0</v>
      </c>
      <c r="K351" s="7">
        <v>0</v>
      </c>
      <c r="L351" s="7">
        <v>0</v>
      </c>
      <c r="M351" s="9">
        <v>1</v>
      </c>
      <c r="N351" s="7">
        <v>5.6</v>
      </c>
      <c r="O351" s="7">
        <v>4.3</v>
      </c>
      <c r="P351" s="7">
        <v>4.7</v>
      </c>
      <c r="Q351" t="s">
        <v>31</v>
      </c>
      <c r="R351" s="7" t="str">
        <f>TEXT(Table1[[#This Row],[Date]],"mmm yyyy")</f>
        <v>Oct 2025</v>
      </c>
      <c r="S351" s="9">
        <f>YEAR(Table1[[#This Row],[Date]])</f>
        <v>2025</v>
      </c>
      <c r="T351" s="9"/>
      <c r="U351" s="9"/>
    </row>
    <row r="352" spans="1:21" x14ac:dyDescent="0.3">
      <c r="A352" t="s">
        <v>674</v>
      </c>
      <c r="B352" s="6">
        <v>46117</v>
      </c>
      <c r="C352" t="s">
        <v>18</v>
      </c>
      <c r="D352" t="s">
        <v>95</v>
      </c>
      <c r="E352" t="s">
        <v>37</v>
      </c>
      <c r="F352" t="s">
        <v>316</v>
      </c>
      <c r="G352" t="s">
        <v>44</v>
      </c>
      <c r="H352" t="s">
        <v>54</v>
      </c>
      <c r="I352" t="s">
        <v>89</v>
      </c>
      <c r="J352" s="9">
        <v>1</v>
      </c>
      <c r="K352" s="7">
        <v>23800</v>
      </c>
      <c r="L352" s="7">
        <v>0</v>
      </c>
      <c r="M352" s="9"/>
      <c r="N352" s="7">
        <v>7.5</v>
      </c>
      <c r="O352" s="7"/>
      <c r="P352" s="7"/>
      <c r="Q352" t="s">
        <v>89</v>
      </c>
      <c r="R352" s="7" t="str">
        <f>TEXT(Table1[[#This Row],[Date]],"mmm yyyy")</f>
        <v>Apr 2026</v>
      </c>
      <c r="S352" s="9">
        <f>YEAR(Table1[[#This Row],[Date]])</f>
        <v>2026</v>
      </c>
      <c r="T352" s="9"/>
      <c r="U352" s="9"/>
    </row>
    <row r="353" spans="1:21" hidden="1" x14ac:dyDescent="0.3">
      <c r="A353" t="s">
        <v>675</v>
      </c>
      <c r="B353" s="6">
        <v>45976</v>
      </c>
      <c r="C353" t="s">
        <v>26</v>
      </c>
      <c r="D353" t="s">
        <v>69</v>
      </c>
      <c r="E353" t="s">
        <v>28</v>
      </c>
      <c r="F353" t="s">
        <v>676</v>
      </c>
      <c r="G353" t="s">
        <v>44</v>
      </c>
      <c r="J353" s="9">
        <v>0</v>
      </c>
      <c r="K353" s="7">
        <v>0</v>
      </c>
      <c r="L353" s="7">
        <v>0</v>
      </c>
      <c r="M353" s="9">
        <v>1</v>
      </c>
      <c r="N353" s="7">
        <v>10</v>
      </c>
      <c r="O353" s="7">
        <v>2.5</v>
      </c>
      <c r="P353" s="7">
        <v>4.7</v>
      </c>
      <c r="Q353" t="s">
        <v>62</v>
      </c>
      <c r="R353" s="7" t="str">
        <f>TEXT(Table1[[#This Row],[Date]],"mmm yyyy")</f>
        <v>Nov 2025</v>
      </c>
      <c r="S353" s="9">
        <f>YEAR(Table1[[#This Row],[Date]])</f>
        <v>2025</v>
      </c>
      <c r="T353" s="9"/>
      <c r="U353" s="9"/>
    </row>
    <row r="354" spans="1:21" hidden="1" x14ac:dyDescent="0.3">
      <c r="A354" t="s">
        <v>677</v>
      </c>
      <c r="B354" s="6">
        <v>46089</v>
      </c>
      <c r="C354" t="s">
        <v>26</v>
      </c>
      <c r="D354" t="s">
        <v>114</v>
      </c>
      <c r="E354" t="s">
        <v>37</v>
      </c>
      <c r="F354" t="s">
        <v>655</v>
      </c>
      <c r="G354" t="s">
        <v>22</v>
      </c>
      <c r="J354" s="9">
        <v>0</v>
      </c>
      <c r="K354" s="7">
        <v>0</v>
      </c>
      <c r="L354" s="7">
        <v>0</v>
      </c>
      <c r="M354" s="9">
        <v>1</v>
      </c>
      <c r="N354" s="7">
        <v>0.8</v>
      </c>
      <c r="O354" s="7">
        <v>17.7</v>
      </c>
      <c r="P354" s="7">
        <v>4.9000000000000004</v>
      </c>
      <c r="Q354" t="s">
        <v>39</v>
      </c>
      <c r="R354" s="7" t="str">
        <f>TEXT(Table1[[#This Row],[Date]],"mmm yyyy")</f>
        <v>Mar 2026</v>
      </c>
      <c r="S354" s="9">
        <f>YEAR(Table1[[#This Row],[Date]])</f>
        <v>2026</v>
      </c>
      <c r="T354" s="9"/>
      <c r="U354" s="9"/>
    </row>
    <row r="355" spans="1:21" x14ac:dyDescent="0.3">
      <c r="A355" t="s">
        <v>678</v>
      </c>
      <c r="B355" s="6">
        <v>46034</v>
      </c>
      <c r="C355" t="s">
        <v>18</v>
      </c>
      <c r="D355" t="s">
        <v>105</v>
      </c>
      <c r="E355" t="s">
        <v>37</v>
      </c>
      <c r="F355" t="s">
        <v>514</v>
      </c>
      <c r="G355" t="s">
        <v>30</v>
      </c>
      <c r="H355" t="s">
        <v>86</v>
      </c>
      <c r="I355" t="s">
        <v>89</v>
      </c>
      <c r="J355" s="9">
        <v>1</v>
      </c>
      <c r="K355" s="7">
        <v>5700</v>
      </c>
      <c r="L355" s="7">
        <v>0</v>
      </c>
      <c r="M355" s="9"/>
      <c r="N355" s="7">
        <v>7.4</v>
      </c>
      <c r="O355" s="7"/>
      <c r="P355" s="7"/>
      <c r="Q355" t="s">
        <v>89</v>
      </c>
      <c r="R355" s="7" t="str">
        <f>TEXT(Table1[[#This Row],[Date]],"mmm yyyy")</f>
        <v>Jan 2026</v>
      </c>
      <c r="S355" s="9">
        <f>YEAR(Table1[[#This Row],[Date]])</f>
        <v>2026</v>
      </c>
      <c r="T355" s="9"/>
      <c r="U355" s="9"/>
    </row>
    <row r="356" spans="1:21" x14ac:dyDescent="0.3">
      <c r="A356" t="s">
        <v>679</v>
      </c>
      <c r="B356" s="6">
        <v>45926</v>
      </c>
      <c r="C356" t="s">
        <v>18</v>
      </c>
      <c r="D356" t="s">
        <v>64</v>
      </c>
      <c r="E356" t="s">
        <v>20</v>
      </c>
      <c r="F356" t="s">
        <v>278</v>
      </c>
      <c r="G356" t="s">
        <v>44</v>
      </c>
      <c r="H356" t="s">
        <v>66</v>
      </c>
      <c r="I356" t="s">
        <v>79</v>
      </c>
      <c r="J356" s="9">
        <v>1</v>
      </c>
      <c r="K356" s="7">
        <v>11300</v>
      </c>
      <c r="L356" s="7">
        <v>0</v>
      </c>
      <c r="M356" s="9"/>
      <c r="N356" s="7">
        <v>21.6</v>
      </c>
      <c r="O356" s="7"/>
      <c r="P356" s="7"/>
      <c r="Q356" t="s">
        <v>79</v>
      </c>
      <c r="R356" s="7" t="str">
        <f>TEXT(Table1[[#This Row],[Date]],"mmm yyyy")</f>
        <v>Sep 2025</v>
      </c>
      <c r="S356" s="9">
        <f>YEAR(Table1[[#This Row],[Date]])</f>
        <v>2025</v>
      </c>
      <c r="T356" s="9"/>
      <c r="U356" s="9"/>
    </row>
    <row r="357" spans="1:21" hidden="1" x14ac:dyDescent="0.3">
      <c r="A357" t="s">
        <v>680</v>
      </c>
      <c r="B357" s="6">
        <v>45944</v>
      </c>
      <c r="C357" t="s">
        <v>26</v>
      </c>
      <c r="D357" t="s">
        <v>33</v>
      </c>
      <c r="E357" t="s">
        <v>48</v>
      </c>
      <c r="F357" t="s">
        <v>681</v>
      </c>
      <c r="G357" t="s">
        <v>44</v>
      </c>
      <c r="J357" s="9">
        <v>0</v>
      </c>
      <c r="K357" s="7">
        <v>0</v>
      </c>
      <c r="L357" s="7">
        <v>0</v>
      </c>
      <c r="M357" s="9">
        <v>1</v>
      </c>
      <c r="N357" s="7">
        <v>8</v>
      </c>
      <c r="O357" s="7">
        <v>1.2</v>
      </c>
      <c r="P357" s="7">
        <v>2.2000000000000002</v>
      </c>
      <c r="Q357" t="s">
        <v>39</v>
      </c>
      <c r="R357" s="7" t="str">
        <f>TEXT(Table1[[#This Row],[Date]],"mmm yyyy")</f>
        <v>Oct 2025</v>
      </c>
      <c r="S357" s="9">
        <f>YEAR(Table1[[#This Row],[Date]])</f>
        <v>2025</v>
      </c>
      <c r="T357" s="9"/>
      <c r="U357" s="9"/>
    </row>
    <row r="358" spans="1:21" x14ac:dyDescent="0.3">
      <c r="A358" t="s">
        <v>682</v>
      </c>
      <c r="B358" s="6">
        <v>46134</v>
      </c>
      <c r="C358" t="s">
        <v>18</v>
      </c>
      <c r="D358" t="s">
        <v>117</v>
      </c>
      <c r="E358" t="s">
        <v>42</v>
      </c>
      <c r="F358" t="s">
        <v>683</v>
      </c>
      <c r="G358" t="s">
        <v>44</v>
      </c>
      <c r="H358" t="s">
        <v>54</v>
      </c>
      <c r="I358" t="s">
        <v>67</v>
      </c>
      <c r="J358" s="9">
        <v>1</v>
      </c>
      <c r="K358" s="7">
        <v>30300</v>
      </c>
      <c r="L358" s="7">
        <v>0</v>
      </c>
      <c r="M358" s="9"/>
      <c r="N358" s="7">
        <v>4.0999999999999996</v>
      </c>
      <c r="O358" s="7"/>
      <c r="P358" s="7"/>
      <c r="Q358" t="s">
        <v>67</v>
      </c>
      <c r="R358" s="7" t="str">
        <f>TEXT(Table1[[#This Row],[Date]],"mmm yyyy")</f>
        <v>Apr 2026</v>
      </c>
      <c r="S358" s="9">
        <f>YEAR(Table1[[#This Row],[Date]])</f>
        <v>2026</v>
      </c>
      <c r="T358" s="9"/>
      <c r="U358" s="9"/>
    </row>
    <row r="359" spans="1:21" hidden="1" x14ac:dyDescent="0.3">
      <c r="A359" t="s">
        <v>684</v>
      </c>
      <c r="B359" s="6">
        <v>46087</v>
      </c>
      <c r="C359" t="s">
        <v>26</v>
      </c>
      <c r="D359" t="s">
        <v>27</v>
      </c>
      <c r="E359" t="s">
        <v>42</v>
      </c>
      <c r="F359" t="s">
        <v>685</v>
      </c>
      <c r="G359" t="s">
        <v>44</v>
      </c>
      <c r="J359" s="9">
        <v>0</v>
      </c>
      <c r="K359" s="7">
        <v>0</v>
      </c>
      <c r="L359" s="7">
        <v>0</v>
      </c>
      <c r="M359" s="9">
        <v>1</v>
      </c>
      <c r="N359" s="7">
        <v>10.3</v>
      </c>
      <c r="O359" s="7">
        <v>4.5999999999999996</v>
      </c>
      <c r="P359" s="7">
        <v>2.8</v>
      </c>
      <c r="Q359" t="s">
        <v>31</v>
      </c>
      <c r="R359" s="7" t="str">
        <f>TEXT(Table1[[#This Row],[Date]],"mmm yyyy")</f>
        <v>Mar 2026</v>
      </c>
      <c r="S359" s="9">
        <f>YEAR(Table1[[#This Row],[Date]])</f>
        <v>2026</v>
      </c>
      <c r="T359" s="9"/>
      <c r="U359" s="9"/>
    </row>
    <row r="360" spans="1:21" hidden="1" x14ac:dyDescent="0.3">
      <c r="A360" t="s">
        <v>686</v>
      </c>
      <c r="B360" s="6">
        <v>46138</v>
      </c>
      <c r="C360" t="s">
        <v>26</v>
      </c>
      <c r="D360" t="s">
        <v>27</v>
      </c>
      <c r="E360" t="s">
        <v>20</v>
      </c>
      <c r="F360" t="s">
        <v>687</v>
      </c>
      <c r="G360" t="s">
        <v>22</v>
      </c>
      <c r="J360" s="9">
        <v>0</v>
      </c>
      <c r="K360" s="7">
        <v>0</v>
      </c>
      <c r="L360" s="7">
        <v>0</v>
      </c>
      <c r="M360" s="9">
        <v>1</v>
      </c>
      <c r="N360" s="7">
        <v>4</v>
      </c>
      <c r="O360" s="7">
        <v>16.399999999999999</v>
      </c>
      <c r="P360" s="7">
        <v>4.4000000000000004</v>
      </c>
      <c r="Q360" t="s">
        <v>39</v>
      </c>
      <c r="R360" s="7" t="str">
        <f>TEXT(Table1[[#This Row],[Date]],"mmm yyyy")</f>
        <v>Apr 2026</v>
      </c>
      <c r="S360" s="9">
        <f>YEAR(Table1[[#This Row],[Date]])</f>
        <v>2026</v>
      </c>
      <c r="T360" s="9"/>
      <c r="U360" s="9"/>
    </row>
    <row r="361" spans="1:21" hidden="1" x14ac:dyDescent="0.3">
      <c r="A361" t="s">
        <v>688</v>
      </c>
      <c r="B361" s="6">
        <v>45971</v>
      </c>
      <c r="C361" t="s">
        <v>26</v>
      </c>
      <c r="D361" t="s">
        <v>126</v>
      </c>
      <c r="E361" t="s">
        <v>48</v>
      </c>
      <c r="F361" t="s">
        <v>689</v>
      </c>
      <c r="G361" t="s">
        <v>22</v>
      </c>
      <c r="J361" s="9">
        <v>0</v>
      </c>
      <c r="K361" s="7">
        <v>0</v>
      </c>
      <c r="L361" s="7">
        <v>0</v>
      </c>
      <c r="M361" s="9">
        <v>1</v>
      </c>
      <c r="N361" s="7">
        <v>10.199999999999999</v>
      </c>
      <c r="O361" s="7">
        <v>4.8</v>
      </c>
      <c r="P361" s="7">
        <v>3.9</v>
      </c>
      <c r="Q361" t="s">
        <v>225</v>
      </c>
      <c r="R361" s="7" t="str">
        <f>TEXT(Table1[[#This Row],[Date]],"mmm yyyy")</f>
        <v>Nov 2025</v>
      </c>
      <c r="S361" s="9">
        <f>YEAR(Table1[[#This Row],[Date]])</f>
        <v>2025</v>
      </c>
      <c r="T361" s="9"/>
      <c r="U361" s="9"/>
    </row>
    <row r="362" spans="1:21" x14ac:dyDescent="0.3">
      <c r="A362" t="s">
        <v>690</v>
      </c>
      <c r="B362" s="6">
        <v>46043</v>
      </c>
      <c r="C362" t="s">
        <v>18</v>
      </c>
      <c r="D362" t="s">
        <v>117</v>
      </c>
      <c r="E362" t="s">
        <v>20</v>
      </c>
      <c r="F362" t="s">
        <v>138</v>
      </c>
      <c r="G362" t="s">
        <v>30</v>
      </c>
      <c r="H362" t="s">
        <v>86</v>
      </c>
      <c r="I362" t="s">
        <v>24</v>
      </c>
      <c r="J362" s="9">
        <v>1</v>
      </c>
      <c r="K362" s="7">
        <v>14300</v>
      </c>
      <c r="L362" s="7">
        <v>14300</v>
      </c>
      <c r="M362" s="9"/>
      <c r="N362" s="7">
        <v>1.5</v>
      </c>
      <c r="O362" s="7"/>
      <c r="P362" s="7"/>
      <c r="Q362" t="s">
        <v>24</v>
      </c>
      <c r="R362" s="7" t="str">
        <f>TEXT(Table1[[#This Row],[Date]],"mmm yyyy")</f>
        <v>Jan 2026</v>
      </c>
      <c r="S362" s="9">
        <f>YEAR(Table1[[#This Row],[Date]])</f>
        <v>2026</v>
      </c>
      <c r="T362" s="9"/>
      <c r="U362" s="9"/>
    </row>
    <row r="363" spans="1:21" hidden="1" x14ac:dyDescent="0.3">
      <c r="A363" t="s">
        <v>691</v>
      </c>
      <c r="B363" s="6">
        <v>46049</v>
      </c>
      <c r="C363" t="s">
        <v>26</v>
      </c>
      <c r="D363" t="s">
        <v>33</v>
      </c>
      <c r="E363" t="s">
        <v>28</v>
      </c>
      <c r="F363" t="s">
        <v>635</v>
      </c>
      <c r="G363" t="s">
        <v>50</v>
      </c>
      <c r="J363" s="9">
        <v>0</v>
      </c>
      <c r="K363" s="7">
        <v>0</v>
      </c>
      <c r="L363" s="7">
        <v>0</v>
      </c>
      <c r="M363" s="9">
        <v>1</v>
      </c>
      <c r="N363" s="7">
        <v>8.9</v>
      </c>
      <c r="O363" s="7">
        <v>3.6</v>
      </c>
      <c r="P363" s="7">
        <v>3.6</v>
      </c>
      <c r="Q363" t="s">
        <v>225</v>
      </c>
      <c r="R363" s="7" t="str">
        <f>TEXT(Table1[[#This Row],[Date]],"mmm yyyy")</f>
        <v>Jan 2026</v>
      </c>
      <c r="S363" s="9">
        <f>YEAR(Table1[[#This Row],[Date]])</f>
        <v>2026</v>
      </c>
      <c r="T363" s="9"/>
      <c r="U363" s="9"/>
    </row>
    <row r="364" spans="1:21" x14ac:dyDescent="0.3">
      <c r="A364" t="s">
        <v>692</v>
      </c>
      <c r="B364" s="6">
        <v>46194</v>
      </c>
      <c r="C364" t="s">
        <v>18</v>
      </c>
      <c r="D364" t="s">
        <v>52</v>
      </c>
      <c r="E364" t="s">
        <v>48</v>
      </c>
      <c r="F364" t="s">
        <v>424</v>
      </c>
      <c r="G364" t="s">
        <v>44</v>
      </c>
      <c r="H364" t="s">
        <v>23</v>
      </c>
      <c r="I364" t="s">
        <v>55</v>
      </c>
      <c r="J364" s="9">
        <v>1</v>
      </c>
      <c r="K364" s="7">
        <v>11200</v>
      </c>
      <c r="L364" s="7">
        <v>0</v>
      </c>
      <c r="M364" s="9"/>
      <c r="N364" s="7">
        <v>7.6</v>
      </c>
      <c r="O364" s="7"/>
      <c r="P364" s="7"/>
      <c r="Q364" t="s">
        <v>55</v>
      </c>
      <c r="R364" s="7" t="str">
        <f>TEXT(Table1[[#This Row],[Date]],"mmm yyyy")</f>
        <v>Jun 2026</v>
      </c>
      <c r="S364" s="9">
        <f>YEAR(Table1[[#This Row],[Date]])</f>
        <v>2026</v>
      </c>
      <c r="T364" s="9"/>
      <c r="U364" s="9"/>
    </row>
    <row r="365" spans="1:21" x14ac:dyDescent="0.3">
      <c r="A365" t="s">
        <v>693</v>
      </c>
      <c r="B365" s="6">
        <v>46157</v>
      </c>
      <c r="C365" t="s">
        <v>18</v>
      </c>
      <c r="D365" t="s">
        <v>52</v>
      </c>
      <c r="E365" t="s">
        <v>48</v>
      </c>
      <c r="F365" t="s">
        <v>694</v>
      </c>
      <c r="G365" t="s">
        <v>30</v>
      </c>
      <c r="H365" t="s">
        <v>23</v>
      </c>
      <c r="I365" t="s">
        <v>24</v>
      </c>
      <c r="J365" s="9">
        <v>1</v>
      </c>
      <c r="K365" s="7">
        <v>23300</v>
      </c>
      <c r="L365" s="7">
        <v>23300</v>
      </c>
      <c r="M365" s="9"/>
      <c r="N365" s="7">
        <v>14.4</v>
      </c>
      <c r="O365" s="7"/>
      <c r="P365" s="7"/>
      <c r="Q365" t="s">
        <v>24</v>
      </c>
      <c r="R365" s="7" t="str">
        <f>TEXT(Table1[[#This Row],[Date]],"mmm yyyy")</f>
        <v>May 2026</v>
      </c>
      <c r="S365" s="9">
        <f>YEAR(Table1[[#This Row],[Date]])</f>
        <v>2026</v>
      </c>
      <c r="T365" s="9"/>
      <c r="U365" s="9"/>
    </row>
    <row r="366" spans="1:21" hidden="1" x14ac:dyDescent="0.3">
      <c r="A366" t="s">
        <v>695</v>
      </c>
      <c r="B366" s="6">
        <v>46025</v>
      </c>
      <c r="C366" t="s">
        <v>26</v>
      </c>
      <c r="D366" t="s">
        <v>114</v>
      </c>
      <c r="E366" t="s">
        <v>37</v>
      </c>
      <c r="F366" t="s">
        <v>696</v>
      </c>
      <c r="G366" t="s">
        <v>30</v>
      </c>
      <c r="J366" s="9">
        <v>0</v>
      </c>
      <c r="K366" s="7">
        <v>0</v>
      </c>
      <c r="L366" s="7">
        <v>0</v>
      </c>
      <c r="M366" s="9">
        <v>1</v>
      </c>
      <c r="N366" s="7">
        <v>5.9</v>
      </c>
      <c r="O366" s="7">
        <v>1.9</v>
      </c>
      <c r="P366" s="7">
        <v>4.2</v>
      </c>
      <c r="Q366" t="s">
        <v>62</v>
      </c>
      <c r="R366" s="7" t="str">
        <f>TEXT(Table1[[#This Row],[Date]],"mmm yyyy")</f>
        <v>Jan 2026</v>
      </c>
      <c r="S366" s="9">
        <f>YEAR(Table1[[#This Row],[Date]])</f>
        <v>2026</v>
      </c>
      <c r="T366" s="9"/>
      <c r="U366" s="9"/>
    </row>
    <row r="367" spans="1:21" x14ac:dyDescent="0.3">
      <c r="A367" t="s">
        <v>697</v>
      </c>
      <c r="B367" s="6">
        <v>45910</v>
      </c>
      <c r="C367" t="s">
        <v>18</v>
      </c>
      <c r="D367" t="s">
        <v>47</v>
      </c>
      <c r="E367" t="s">
        <v>28</v>
      </c>
      <c r="F367" t="s">
        <v>621</v>
      </c>
      <c r="G367" t="s">
        <v>30</v>
      </c>
      <c r="H367" t="s">
        <v>86</v>
      </c>
      <c r="I367" t="s">
        <v>67</v>
      </c>
      <c r="J367" s="9">
        <v>1</v>
      </c>
      <c r="K367" s="7">
        <v>28800</v>
      </c>
      <c r="L367" s="7">
        <v>0</v>
      </c>
      <c r="M367" s="9"/>
      <c r="N367" s="7">
        <v>20.6</v>
      </c>
      <c r="O367" s="7"/>
      <c r="P367" s="7"/>
      <c r="Q367" t="s">
        <v>67</v>
      </c>
      <c r="R367" s="7" t="str">
        <f>TEXT(Table1[[#This Row],[Date]],"mmm yyyy")</f>
        <v>Sep 2025</v>
      </c>
      <c r="S367" s="9">
        <f>YEAR(Table1[[#This Row],[Date]])</f>
        <v>2025</v>
      </c>
      <c r="T367" s="9"/>
      <c r="U367" s="9"/>
    </row>
    <row r="368" spans="1:21" hidden="1" x14ac:dyDescent="0.3">
      <c r="A368" t="s">
        <v>698</v>
      </c>
      <c r="B368" s="6">
        <v>46142</v>
      </c>
      <c r="C368" t="s">
        <v>26</v>
      </c>
      <c r="D368" t="s">
        <v>27</v>
      </c>
      <c r="E368" t="s">
        <v>20</v>
      </c>
      <c r="F368" t="s">
        <v>699</v>
      </c>
      <c r="G368" t="s">
        <v>22</v>
      </c>
      <c r="J368" s="9">
        <v>0</v>
      </c>
      <c r="K368" s="7">
        <v>0</v>
      </c>
      <c r="L368" s="7">
        <v>0</v>
      </c>
      <c r="M368" s="9">
        <v>1</v>
      </c>
      <c r="N368" s="7">
        <v>11.2</v>
      </c>
      <c r="O368" s="7">
        <v>12.6</v>
      </c>
      <c r="P368" s="7">
        <v>4.0999999999999996</v>
      </c>
      <c r="Q368" t="s">
        <v>39</v>
      </c>
      <c r="R368" s="7" t="str">
        <f>TEXT(Table1[[#This Row],[Date]],"mmm yyyy")</f>
        <v>Apr 2026</v>
      </c>
      <c r="S368" s="9">
        <f>YEAR(Table1[[#This Row],[Date]])</f>
        <v>2026</v>
      </c>
      <c r="T368" s="9"/>
      <c r="U368" s="9"/>
    </row>
    <row r="369" spans="1:21" hidden="1" x14ac:dyDescent="0.3">
      <c r="A369" t="s">
        <v>700</v>
      </c>
      <c r="B369" s="6">
        <v>46194</v>
      </c>
      <c r="C369" t="s">
        <v>26</v>
      </c>
      <c r="D369" t="s">
        <v>126</v>
      </c>
      <c r="E369" t="s">
        <v>20</v>
      </c>
      <c r="F369" t="s">
        <v>701</v>
      </c>
      <c r="G369" t="s">
        <v>22</v>
      </c>
      <c r="J369" s="9">
        <v>0</v>
      </c>
      <c r="K369" s="7">
        <v>0</v>
      </c>
      <c r="L369" s="7">
        <v>0</v>
      </c>
      <c r="M369" s="9">
        <v>1</v>
      </c>
      <c r="N369" s="7">
        <v>11.1</v>
      </c>
      <c r="O369" s="7">
        <v>6.2</v>
      </c>
      <c r="P369" s="7">
        <v>4.0999999999999996</v>
      </c>
      <c r="Q369" t="s">
        <v>225</v>
      </c>
      <c r="R369" s="7" t="str">
        <f>TEXT(Table1[[#This Row],[Date]],"mmm yyyy")</f>
        <v>Jun 2026</v>
      </c>
      <c r="S369" s="9">
        <f>YEAR(Table1[[#This Row],[Date]])</f>
        <v>2026</v>
      </c>
      <c r="T369" s="9"/>
      <c r="U369" s="9"/>
    </row>
    <row r="370" spans="1:21" x14ac:dyDescent="0.3">
      <c r="A370" t="s">
        <v>702</v>
      </c>
      <c r="B370" s="6">
        <v>45951</v>
      </c>
      <c r="C370" t="s">
        <v>18</v>
      </c>
      <c r="D370" t="s">
        <v>19</v>
      </c>
      <c r="E370" t="s">
        <v>20</v>
      </c>
      <c r="F370" t="s">
        <v>641</v>
      </c>
      <c r="G370" t="s">
        <v>22</v>
      </c>
      <c r="H370" t="s">
        <v>54</v>
      </c>
      <c r="I370" t="s">
        <v>45</v>
      </c>
      <c r="J370" s="9">
        <v>1</v>
      </c>
      <c r="K370" s="7">
        <v>12500</v>
      </c>
      <c r="L370" s="7">
        <v>0</v>
      </c>
      <c r="M370" s="9"/>
      <c r="N370" s="7">
        <v>3</v>
      </c>
      <c r="O370" s="7"/>
      <c r="P370" s="7"/>
      <c r="Q370" t="s">
        <v>45</v>
      </c>
      <c r="R370" s="7" t="str">
        <f>TEXT(Table1[[#This Row],[Date]],"mmm yyyy")</f>
        <v>Oct 2025</v>
      </c>
      <c r="S370" s="9">
        <f>YEAR(Table1[[#This Row],[Date]])</f>
        <v>2025</v>
      </c>
      <c r="T370" s="9"/>
      <c r="U370" s="9"/>
    </row>
    <row r="371" spans="1:21" x14ac:dyDescent="0.3">
      <c r="A371" t="s">
        <v>703</v>
      </c>
      <c r="B371" s="6">
        <v>46252</v>
      </c>
      <c r="C371" t="s">
        <v>18</v>
      </c>
      <c r="D371" t="s">
        <v>64</v>
      </c>
      <c r="E371" t="s">
        <v>28</v>
      </c>
      <c r="F371" t="s">
        <v>704</v>
      </c>
      <c r="G371" t="s">
        <v>44</v>
      </c>
      <c r="H371" t="s">
        <v>23</v>
      </c>
      <c r="I371" t="s">
        <v>45</v>
      </c>
      <c r="J371" s="9">
        <v>1</v>
      </c>
      <c r="K371" s="7">
        <v>20000</v>
      </c>
      <c r="L371" s="7">
        <v>0</v>
      </c>
      <c r="M371" s="9"/>
      <c r="N371" s="7">
        <v>23.6</v>
      </c>
      <c r="O371" s="7"/>
      <c r="P371" s="7"/>
      <c r="Q371" t="s">
        <v>45</v>
      </c>
      <c r="R371" s="7" t="str">
        <f>TEXT(Table1[[#This Row],[Date]],"mmm yyyy")</f>
        <v>Aug 2026</v>
      </c>
      <c r="S371" s="9">
        <f>YEAR(Table1[[#This Row],[Date]])</f>
        <v>2026</v>
      </c>
      <c r="T371" s="9"/>
      <c r="U371" s="9"/>
    </row>
    <row r="372" spans="1:21" x14ac:dyDescent="0.3">
      <c r="A372" t="s">
        <v>705</v>
      </c>
      <c r="B372" s="6">
        <v>45925</v>
      </c>
      <c r="C372" t="s">
        <v>18</v>
      </c>
      <c r="D372" t="s">
        <v>95</v>
      </c>
      <c r="E372" t="s">
        <v>20</v>
      </c>
      <c r="F372" t="s">
        <v>706</v>
      </c>
      <c r="G372" t="s">
        <v>30</v>
      </c>
      <c r="H372" t="s">
        <v>78</v>
      </c>
      <c r="I372" t="s">
        <v>24</v>
      </c>
      <c r="J372" s="9">
        <v>1</v>
      </c>
      <c r="K372" s="7">
        <v>36400</v>
      </c>
      <c r="L372" s="7">
        <v>36400</v>
      </c>
      <c r="M372" s="9"/>
      <c r="N372" s="7">
        <v>6.4</v>
      </c>
      <c r="O372" s="7"/>
      <c r="P372" s="7"/>
      <c r="Q372" t="s">
        <v>24</v>
      </c>
      <c r="R372" s="7" t="str">
        <f>TEXT(Table1[[#This Row],[Date]],"mmm yyyy")</f>
        <v>Sep 2025</v>
      </c>
      <c r="S372" s="9">
        <f>YEAR(Table1[[#This Row],[Date]])</f>
        <v>2025</v>
      </c>
      <c r="T372" s="9"/>
      <c r="U372" s="9"/>
    </row>
    <row r="373" spans="1:21" x14ac:dyDescent="0.3">
      <c r="A373" t="s">
        <v>707</v>
      </c>
      <c r="B373" s="6">
        <v>46075</v>
      </c>
      <c r="C373" t="s">
        <v>18</v>
      </c>
      <c r="D373" t="s">
        <v>95</v>
      </c>
      <c r="E373" t="s">
        <v>20</v>
      </c>
      <c r="F373" t="s">
        <v>88</v>
      </c>
      <c r="G373" t="s">
        <v>30</v>
      </c>
      <c r="H373" t="s">
        <v>78</v>
      </c>
      <c r="I373" t="s">
        <v>67</v>
      </c>
      <c r="J373" s="9">
        <v>1</v>
      </c>
      <c r="K373" s="7">
        <v>23200</v>
      </c>
      <c r="L373" s="7">
        <v>0</v>
      </c>
      <c r="M373" s="9"/>
      <c r="N373" s="7">
        <v>8.3000000000000007</v>
      </c>
      <c r="O373" s="7"/>
      <c r="P373" s="7"/>
      <c r="Q373" t="s">
        <v>67</v>
      </c>
      <c r="R373" s="7" t="str">
        <f>TEXT(Table1[[#This Row],[Date]],"mmm yyyy")</f>
        <v>Feb 2026</v>
      </c>
      <c r="S373" s="9">
        <f>YEAR(Table1[[#This Row],[Date]])</f>
        <v>2026</v>
      </c>
      <c r="T373" s="9"/>
      <c r="U373" s="9"/>
    </row>
    <row r="374" spans="1:21" x14ac:dyDescent="0.3">
      <c r="A374" t="s">
        <v>708</v>
      </c>
      <c r="B374" s="6">
        <v>45988</v>
      </c>
      <c r="C374" t="s">
        <v>18</v>
      </c>
      <c r="D374" t="s">
        <v>95</v>
      </c>
      <c r="E374" t="s">
        <v>48</v>
      </c>
      <c r="F374" t="s">
        <v>558</v>
      </c>
      <c r="G374" t="s">
        <v>30</v>
      </c>
      <c r="H374" t="s">
        <v>23</v>
      </c>
      <c r="I374" t="s">
        <v>79</v>
      </c>
      <c r="J374" s="9">
        <v>1</v>
      </c>
      <c r="K374" s="7">
        <v>25300</v>
      </c>
      <c r="L374" s="7">
        <v>0</v>
      </c>
      <c r="M374" s="9"/>
      <c r="N374" s="7">
        <v>12.6</v>
      </c>
      <c r="O374" s="7"/>
      <c r="P374" s="7"/>
      <c r="Q374" t="s">
        <v>79</v>
      </c>
      <c r="R374" s="7" t="str">
        <f>TEXT(Table1[[#This Row],[Date]],"mmm yyyy")</f>
        <v>Nov 2025</v>
      </c>
      <c r="S374" s="9">
        <f>YEAR(Table1[[#This Row],[Date]])</f>
        <v>2025</v>
      </c>
      <c r="T374" s="9"/>
      <c r="U374" s="9"/>
    </row>
    <row r="375" spans="1:21" hidden="1" x14ac:dyDescent="0.3">
      <c r="A375" t="s">
        <v>709</v>
      </c>
      <c r="B375" s="6">
        <v>45913</v>
      </c>
      <c r="C375" t="s">
        <v>26</v>
      </c>
      <c r="D375" t="s">
        <v>69</v>
      </c>
      <c r="E375" t="s">
        <v>37</v>
      </c>
      <c r="F375" t="s">
        <v>710</v>
      </c>
      <c r="G375" t="s">
        <v>44</v>
      </c>
      <c r="J375" s="9">
        <v>0</v>
      </c>
      <c r="K375" s="7">
        <v>0</v>
      </c>
      <c r="L375" s="7">
        <v>0</v>
      </c>
      <c r="M375" s="9">
        <v>1</v>
      </c>
      <c r="N375" s="7">
        <v>3.6</v>
      </c>
      <c r="O375" s="7">
        <v>4.8</v>
      </c>
      <c r="P375" s="7">
        <v>4.9000000000000004</v>
      </c>
      <c r="Q375" t="s">
        <v>39</v>
      </c>
      <c r="R375" s="7" t="str">
        <f>TEXT(Table1[[#This Row],[Date]],"mmm yyyy")</f>
        <v>Sep 2025</v>
      </c>
      <c r="S375" s="9">
        <f>YEAR(Table1[[#This Row],[Date]])</f>
        <v>2025</v>
      </c>
      <c r="T375" s="9"/>
      <c r="U375" s="9"/>
    </row>
    <row r="376" spans="1:21" x14ac:dyDescent="0.3">
      <c r="A376" t="s">
        <v>711</v>
      </c>
      <c r="B376" s="6">
        <v>46040</v>
      </c>
      <c r="C376" t="s">
        <v>18</v>
      </c>
      <c r="D376" t="s">
        <v>41</v>
      </c>
      <c r="E376" t="s">
        <v>42</v>
      </c>
      <c r="F376" t="s">
        <v>320</v>
      </c>
      <c r="G376" t="s">
        <v>22</v>
      </c>
      <c r="H376" t="s">
        <v>78</v>
      </c>
      <c r="I376" t="s">
        <v>55</v>
      </c>
      <c r="J376" s="9">
        <v>1</v>
      </c>
      <c r="K376" s="7">
        <v>11900</v>
      </c>
      <c r="L376" s="7">
        <v>0</v>
      </c>
      <c r="M376" s="9"/>
      <c r="N376" s="7">
        <v>8</v>
      </c>
      <c r="O376" s="7"/>
      <c r="P376" s="7"/>
      <c r="Q376" t="s">
        <v>55</v>
      </c>
      <c r="R376" s="7" t="str">
        <f>TEXT(Table1[[#This Row],[Date]],"mmm yyyy")</f>
        <v>Jan 2026</v>
      </c>
      <c r="S376" s="9">
        <f>YEAR(Table1[[#This Row],[Date]])</f>
        <v>2026</v>
      </c>
      <c r="T376" s="9"/>
      <c r="U376" s="9"/>
    </row>
    <row r="377" spans="1:21" x14ac:dyDescent="0.3">
      <c r="A377" t="s">
        <v>712</v>
      </c>
      <c r="B377" s="6">
        <v>46159</v>
      </c>
      <c r="C377" t="s">
        <v>18</v>
      </c>
      <c r="D377" t="s">
        <v>52</v>
      </c>
      <c r="E377" t="s">
        <v>28</v>
      </c>
      <c r="F377" t="s">
        <v>713</v>
      </c>
      <c r="G377" t="s">
        <v>50</v>
      </c>
      <c r="H377" t="s">
        <v>86</v>
      </c>
      <c r="I377" t="s">
        <v>24</v>
      </c>
      <c r="J377" s="9">
        <v>1</v>
      </c>
      <c r="K377" s="7">
        <v>51400</v>
      </c>
      <c r="L377" s="7">
        <v>51400</v>
      </c>
      <c r="M377" s="9"/>
      <c r="N377" s="7">
        <v>16.8</v>
      </c>
      <c r="O377" s="7"/>
      <c r="P377" s="7"/>
      <c r="Q377" t="s">
        <v>24</v>
      </c>
      <c r="R377" s="7" t="str">
        <f>TEXT(Table1[[#This Row],[Date]],"mmm yyyy")</f>
        <v>May 2026</v>
      </c>
      <c r="S377" s="9">
        <f>YEAR(Table1[[#This Row],[Date]])</f>
        <v>2026</v>
      </c>
      <c r="T377" s="9"/>
      <c r="U377" s="9"/>
    </row>
    <row r="378" spans="1:21" hidden="1" x14ac:dyDescent="0.3">
      <c r="A378" t="s">
        <v>714</v>
      </c>
      <c r="B378" s="6">
        <v>46027</v>
      </c>
      <c r="C378" t="s">
        <v>26</v>
      </c>
      <c r="D378" t="s">
        <v>232</v>
      </c>
      <c r="E378" t="s">
        <v>37</v>
      </c>
      <c r="F378" t="s">
        <v>254</v>
      </c>
      <c r="G378" t="s">
        <v>30</v>
      </c>
      <c r="J378" s="9">
        <v>0</v>
      </c>
      <c r="K378" s="7">
        <v>0</v>
      </c>
      <c r="L378" s="7">
        <v>0</v>
      </c>
      <c r="M378" s="9">
        <v>1</v>
      </c>
      <c r="N378" s="7">
        <v>1.6</v>
      </c>
      <c r="O378" s="7">
        <v>19.100000000000001</v>
      </c>
      <c r="P378" s="7">
        <v>4.2</v>
      </c>
      <c r="Q378" t="s">
        <v>39</v>
      </c>
      <c r="R378" s="7" t="str">
        <f>TEXT(Table1[[#This Row],[Date]],"mmm yyyy")</f>
        <v>Jan 2026</v>
      </c>
      <c r="S378" s="9">
        <f>YEAR(Table1[[#This Row],[Date]])</f>
        <v>2026</v>
      </c>
      <c r="T378" s="9"/>
      <c r="U378" s="9"/>
    </row>
    <row r="379" spans="1:21" x14ac:dyDescent="0.3">
      <c r="A379" t="s">
        <v>715</v>
      </c>
      <c r="B379" s="6">
        <v>45905</v>
      </c>
      <c r="C379" t="s">
        <v>18</v>
      </c>
      <c r="D379" t="s">
        <v>117</v>
      </c>
      <c r="E379" t="s">
        <v>20</v>
      </c>
      <c r="F379" t="s">
        <v>716</v>
      </c>
      <c r="G379" t="s">
        <v>44</v>
      </c>
      <c r="H379" t="s">
        <v>78</v>
      </c>
      <c r="I379" t="s">
        <v>45</v>
      </c>
      <c r="J379" s="9">
        <v>1</v>
      </c>
      <c r="K379" s="7">
        <v>30800</v>
      </c>
      <c r="L379" s="7">
        <v>0</v>
      </c>
      <c r="M379" s="9"/>
      <c r="N379" s="7">
        <v>16.2</v>
      </c>
      <c r="O379" s="7"/>
      <c r="P379" s="7"/>
      <c r="Q379" t="s">
        <v>45</v>
      </c>
      <c r="R379" s="7" t="str">
        <f>TEXT(Table1[[#This Row],[Date]],"mmm yyyy")</f>
        <v>Sep 2025</v>
      </c>
      <c r="S379" s="9">
        <f>YEAR(Table1[[#This Row],[Date]])</f>
        <v>2025</v>
      </c>
      <c r="T379" s="9"/>
      <c r="U379" s="9"/>
    </row>
    <row r="380" spans="1:21" hidden="1" x14ac:dyDescent="0.3">
      <c r="A380" t="s">
        <v>717</v>
      </c>
      <c r="B380" s="6">
        <v>46255</v>
      </c>
      <c r="C380" t="s">
        <v>26</v>
      </c>
      <c r="D380" t="s">
        <v>27</v>
      </c>
      <c r="E380" t="s">
        <v>20</v>
      </c>
      <c r="F380" t="s">
        <v>718</v>
      </c>
      <c r="G380" t="s">
        <v>22</v>
      </c>
      <c r="J380" s="9">
        <v>0</v>
      </c>
      <c r="K380" s="7">
        <v>0</v>
      </c>
      <c r="L380" s="7">
        <v>0</v>
      </c>
      <c r="M380" s="9">
        <v>1</v>
      </c>
      <c r="N380" s="7">
        <v>7.4</v>
      </c>
      <c r="O380" s="7">
        <v>6.3</v>
      </c>
      <c r="P380" s="7">
        <v>4</v>
      </c>
      <c r="Q380" t="s">
        <v>39</v>
      </c>
      <c r="R380" s="7" t="str">
        <f>TEXT(Table1[[#This Row],[Date]],"mmm yyyy")</f>
        <v>Aug 2026</v>
      </c>
      <c r="S380" s="9">
        <f>YEAR(Table1[[#This Row],[Date]])</f>
        <v>2026</v>
      </c>
      <c r="T380" s="9"/>
      <c r="U380" s="9"/>
    </row>
    <row r="381" spans="1:21" x14ac:dyDescent="0.3">
      <c r="A381" t="s">
        <v>719</v>
      </c>
      <c r="B381" s="6">
        <v>46137</v>
      </c>
      <c r="C381" t="s">
        <v>18</v>
      </c>
      <c r="D381" t="s">
        <v>47</v>
      </c>
      <c r="E381" t="s">
        <v>20</v>
      </c>
      <c r="F381" t="s">
        <v>170</v>
      </c>
      <c r="G381" t="s">
        <v>50</v>
      </c>
      <c r="H381" t="s">
        <v>23</v>
      </c>
      <c r="I381" t="s">
        <v>45</v>
      </c>
      <c r="J381" s="9">
        <v>1</v>
      </c>
      <c r="K381" s="7">
        <v>14200</v>
      </c>
      <c r="L381" s="7">
        <v>0</v>
      </c>
      <c r="M381" s="9"/>
      <c r="N381" s="7">
        <v>0.7</v>
      </c>
      <c r="O381" s="7"/>
      <c r="P381" s="7"/>
      <c r="Q381" t="s">
        <v>45</v>
      </c>
      <c r="R381" s="7" t="str">
        <f>TEXT(Table1[[#This Row],[Date]],"mmm yyyy")</f>
        <v>Apr 2026</v>
      </c>
      <c r="S381" s="9">
        <f>YEAR(Table1[[#This Row],[Date]])</f>
        <v>2026</v>
      </c>
      <c r="T381" s="9"/>
      <c r="U381" s="9"/>
    </row>
    <row r="382" spans="1:21" x14ac:dyDescent="0.3">
      <c r="A382" t="s">
        <v>720</v>
      </c>
      <c r="B382" s="6">
        <v>45990</v>
      </c>
      <c r="C382" t="s">
        <v>18</v>
      </c>
      <c r="D382" t="s">
        <v>95</v>
      </c>
      <c r="E382" t="s">
        <v>28</v>
      </c>
      <c r="F382" t="s">
        <v>721</v>
      </c>
      <c r="G382" t="s">
        <v>30</v>
      </c>
      <c r="H382" t="s">
        <v>78</v>
      </c>
      <c r="I382" t="s">
        <v>24</v>
      </c>
      <c r="J382" s="9">
        <v>1</v>
      </c>
      <c r="K382" s="7">
        <v>46400</v>
      </c>
      <c r="L382" s="7">
        <v>46400</v>
      </c>
      <c r="M382" s="9"/>
      <c r="N382" s="7">
        <v>15.1</v>
      </c>
      <c r="O382" s="7"/>
      <c r="P382" s="7"/>
      <c r="Q382" t="s">
        <v>24</v>
      </c>
      <c r="R382" s="7" t="str">
        <f>TEXT(Table1[[#This Row],[Date]],"mmm yyyy")</f>
        <v>Nov 2025</v>
      </c>
      <c r="S382" s="9">
        <f>YEAR(Table1[[#This Row],[Date]])</f>
        <v>2025</v>
      </c>
      <c r="T382" s="9"/>
      <c r="U382" s="9"/>
    </row>
    <row r="383" spans="1:21" hidden="1" x14ac:dyDescent="0.3">
      <c r="A383" t="s">
        <v>722</v>
      </c>
      <c r="B383" s="6">
        <v>45999</v>
      </c>
      <c r="C383" t="s">
        <v>26</v>
      </c>
      <c r="D383" t="s">
        <v>36</v>
      </c>
      <c r="E383" t="s">
        <v>20</v>
      </c>
      <c r="F383" t="s">
        <v>88</v>
      </c>
      <c r="G383" t="s">
        <v>30</v>
      </c>
      <c r="J383" s="9">
        <v>0</v>
      </c>
      <c r="K383" s="7">
        <v>0</v>
      </c>
      <c r="L383" s="7">
        <v>0</v>
      </c>
      <c r="M383" s="9">
        <v>1</v>
      </c>
      <c r="N383" s="7">
        <v>5.9</v>
      </c>
      <c r="O383" s="7">
        <v>3.7</v>
      </c>
      <c r="P383" s="7">
        <v>5</v>
      </c>
      <c r="Q383" t="s">
        <v>39</v>
      </c>
      <c r="R383" s="7" t="str">
        <f>TEXT(Table1[[#This Row],[Date]],"mmm yyyy")</f>
        <v>Dec 2025</v>
      </c>
      <c r="S383" s="9">
        <f>YEAR(Table1[[#This Row],[Date]])</f>
        <v>2025</v>
      </c>
      <c r="T383" s="9"/>
      <c r="U383" s="9"/>
    </row>
    <row r="384" spans="1:21" hidden="1" x14ac:dyDescent="0.3">
      <c r="A384" t="s">
        <v>723</v>
      </c>
      <c r="B384" s="6">
        <v>46005</v>
      </c>
      <c r="C384" t="s">
        <v>26</v>
      </c>
      <c r="D384" t="s">
        <v>232</v>
      </c>
      <c r="E384" t="s">
        <v>28</v>
      </c>
      <c r="F384" t="s">
        <v>70</v>
      </c>
      <c r="G384" t="s">
        <v>22</v>
      </c>
      <c r="J384" s="9">
        <v>0</v>
      </c>
      <c r="K384" s="7">
        <v>0</v>
      </c>
      <c r="L384" s="7">
        <v>0</v>
      </c>
      <c r="M384" s="9">
        <v>1</v>
      </c>
      <c r="N384" s="7">
        <v>2.9</v>
      </c>
      <c r="O384" s="7">
        <v>2.6</v>
      </c>
      <c r="P384" s="7">
        <v>3.5</v>
      </c>
      <c r="Q384" t="s">
        <v>39</v>
      </c>
      <c r="R384" s="7" t="str">
        <f>TEXT(Table1[[#This Row],[Date]],"mmm yyyy")</f>
        <v>Dec 2025</v>
      </c>
      <c r="S384" s="9">
        <f>YEAR(Table1[[#This Row],[Date]])</f>
        <v>2025</v>
      </c>
      <c r="T384" s="9"/>
      <c r="U384" s="9"/>
    </row>
    <row r="385" spans="1:21" hidden="1" x14ac:dyDescent="0.3">
      <c r="A385" t="s">
        <v>724</v>
      </c>
      <c r="B385" s="6">
        <v>45910</v>
      </c>
      <c r="C385" t="s">
        <v>26</v>
      </c>
      <c r="D385" t="s">
        <v>72</v>
      </c>
      <c r="E385" t="s">
        <v>20</v>
      </c>
      <c r="F385" t="s">
        <v>725</v>
      </c>
      <c r="G385" t="s">
        <v>30</v>
      </c>
      <c r="J385" s="9">
        <v>0</v>
      </c>
      <c r="K385" s="7">
        <v>0</v>
      </c>
      <c r="L385" s="7">
        <v>0</v>
      </c>
      <c r="M385" s="9">
        <v>1</v>
      </c>
      <c r="N385" s="7">
        <v>8.6</v>
      </c>
      <c r="O385" s="7">
        <v>8.6999999999999993</v>
      </c>
      <c r="P385" s="7">
        <v>4.0999999999999996</v>
      </c>
      <c r="Q385" t="s">
        <v>31</v>
      </c>
      <c r="R385" s="7" t="str">
        <f>TEXT(Table1[[#This Row],[Date]],"mmm yyyy")</f>
        <v>Sep 2025</v>
      </c>
      <c r="S385" s="9">
        <f>YEAR(Table1[[#This Row],[Date]])</f>
        <v>2025</v>
      </c>
      <c r="T385" s="9"/>
      <c r="U385" s="9"/>
    </row>
    <row r="386" spans="1:21" hidden="1" x14ac:dyDescent="0.3">
      <c r="A386" t="s">
        <v>726</v>
      </c>
      <c r="B386" s="6">
        <v>45909</v>
      </c>
      <c r="C386" t="s">
        <v>26</v>
      </c>
      <c r="D386" t="s">
        <v>69</v>
      </c>
      <c r="E386" t="s">
        <v>28</v>
      </c>
      <c r="F386" t="s">
        <v>136</v>
      </c>
      <c r="G386" t="s">
        <v>50</v>
      </c>
      <c r="J386" s="9">
        <v>0</v>
      </c>
      <c r="K386" s="7">
        <v>0</v>
      </c>
      <c r="L386" s="7">
        <v>0</v>
      </c>
      <c r="M386" s="9">
        <v>1</v>
      </c>
      <c r="N386" s="7">
        <v>2.7</v>
      </c>
      <c r="O386" s="7">
        <v>4.5</v>
      </c>
      <c r="P386" s="7">
        <v>5</v>
      </c>
      <c r="Q386" t="s">
        <v>39</v>
      </c>
      <c r="R386" s="7" t="str">
        <f>TEXT(Table1[[#This Row],[Date]],"mmm yyyy")</f>
        <v>Sep 2025</v>
      </c>
      <c r="S386" s="9">
        <f>YEAR(Table1[[#This Row],[Date]])</f>
        <v>2025</v>
      </c>
      <c r="T386" s="9"/>
      <c r="U386" s="9"/>
    </row>
    <row r="387" spans="1:21" hidden="1" x14ac:dyDescent="0.3">
      <c r="A387" t="s">
        <v>727</v>
      </c>
      <c r="B387" s="6">
        <v>46155</v>
      </c>
      <c r="C387" t="s">
        <v>26</v>
      </c>
      <c r="D387" t="s">
        <v>27</v>
      </c>
      <c r="E387" t="s">
        <v>20</v>
      </c>
      <c r="F387" t="s">
        <v>99</v>
      </c>
      <c r="G387" t="s">
        <v>22</v>
      </c>
      <c r="J387" s="9">
        <v>0</v>
      </c>
      <c r="K387" s="7">
        <v>0</v>
      </c>
      <c r="L387" s="7">
        <v>0</v>
      </c>
      <c r="M387" s="9">
        <v>1</v>
      </c>
      <c r="N387" s="7">
        <v>0.8</v>
      </c>
      <c r="O387" s="7">
        <v>2.2000000000000002</v>
      </c>
      <c r="P387" s="7">
        <v>3.9</v>
      </c>
      <c r="Q387" t="s">
        <v>39</v>
      </c>
      <c r="R387" s="7" t="str">
        <f>TEXT(Table1[[#This Row],[Date]],"mmm yyyy")</f>
        <v>May 2026</v>
      </c>
      <c r="S387" s="9">
        <f>YEAR(Table1[[#This Row],[Date]])</f>
        <v>2026</v>
      </c>
      <c r="T387" s="9"/>
      <c r="U387" s="9"/>
    </row>
    <row r="388" spans="1:21" x14ac:dyDescent="0.3">
      <c r="A388" t="s">
        <v>728</v>
      </c>
      <c r="B388" s="6">
        <v>46118</v>
      </c>
      <c r="C388" t="s">
        <v>18</v>
      </c>
      <c r="D388" t="s">
        <v>64</v>
      </c>
      <c r="E388" t="s">
        <v>20</v>
      </c>
      <c r="F388" t="s">
        <v>342</v>
      </c>
      <c r="G388" t="s">
        <v>30</v>
      </c>
      <c r="H388" t="s">
        <v>86</v>
      </c>
      <c r="I388" t="s">
        <v>24</v>
      </c>
      <c r="J388" s="9">
        <v>1</v>
      </c>
      <c r="K388" s="7">
        <v>35500</v>
      </c>
      <c r="L388" s="7">
        <v>35500</v>
      </c>
      <c r="M388" s="9"/>
      <c r="N388" s="7">
        <v>6.5</v>
      </c>
      <c r="O388" s="7"/>
      <c r="P388" s="7"/>
      <c r="Q388" t="s">
        <v>24</v>
      </c>
      <c r="R388" s="7" t="str">
        <f>TEXT(Table1[[#This Row],[Date]],"mmm yyyy")</f>
        <v>Apr 2026</v>
      </c>
      <c r="S388" s="9">
        <f>YEAR(Table1[[#This Row],[Date]])</f>
        <v>2026</v>
      </c>
      <c r="T388" s="9"/>
      <c r="U388" s="9"/>
    </row>
    <row r="389" spans="1:21" x14ac:dyDescent="0.3">
      <c r="A389" t="s">
        <v>729</v>
      </c>
      <c r="B389" s="6">
        <v>45949</v>
      </c>
      <c r="C389" t="s">
        <v>18</v>
      </c>
      <c r="D389" t="s">
        <v>19</v>
      </c>
      <c r="E389" t="s">
        <v>37</v>
      </c>
      <c r="F389" t="s">
        <v>730</v>
      </c>
      <c r="G389" t="s">
        <v>30</v>
      </c>
      <c r="H389" t="s">
        <v>23</v>
      </c>
      <c r="I389" t="s">
        <v>79</v>
      </c>
      <c r="J389" s="9">
        <v>1</v>
      </c>
      <c r="K389" s="7">
        <v>6500</v>
      </c>
      <c r="L389" s="7">
        <v>0</v>
      </c>
      <c r="M389" s="9"/>
      <c r="N389" s="7">
        <v>10.4</v>
      </c>
      <c r="O389" s="7"/>
      <c r="P389" s="7"/>
      <c r="Q389" t="s">
        <v>79</v>
      </c>
      <c r="R389" s="7" t="str">
        <f>TEXT(Table1[[#This Row],[Date]],"mmm yyyy")</f>
        <v>Oct 2025</v>
      </c>
      <c r="S389" s="9">
        <f>YEAR(Table1[[#This Row],[Date]])</f>
        <v>2025</v>
      </c>
      <c r="T389" s="9"/>
      <c r="U389" s="9"/>
    </row>
    <row r="390" spans="1:21" hidden="1" x14ac:dyDescent="0.3">
      <c r="A390" t="s">
        <v>731</v>
      </c>
      <c r="B390" s="6">
        <v>45998</v>
      </c>
      <c r="C390" t="s">
        <v>26</v>
      </c>
      <c r="D390" t="s">
        <v>27</v>
      </c>
      <c r="E390" t="s">
        <v>28</v>
      </c>
      <c r="F390" t="s">
        <v>732</v>
      </c>
      <c r="G390" t="s">
        <v>30</v>
      </c>
      <c r="J390" s="9">
        <v>0</v>
      </c>
      <c r="K390" s="7">
        <v>0</v>
      </c>
      <c r="L390" s="7">
        <v>0</v>
      </c>
      <c r="M390" s="9">
        <v>1</v>
      </c>
      <c r="N390" s="7">
        <v>6.5</v>
      </c>
      <c r="O390" s="7">
        <v>22.8</v>
      </c>
      <c r="P390" s="7">
        <v>3.8</v>
      </c>
      <c r="Q390" t="s">
        <v>31</v>
      </c>
      <c r="R390" s="7" t="str">
        <f>TEXT(Table1[[#This Row],[Date]],"mmm yyyy")</f>
        <v>Dec 2025</v>
      </c>
      <c r="S390" s="9">
        <f>YEAR(Table1[[#This Row],[Date]])</f>
        <v>2025</v>
      </c>
      <c r="T390" s="9"/>
      <c r="U390" s="9"/>
    </row>
    <row r="391" spans="1:21" hidden="1" x14ac:dyDescent="0.3">
      <c r="A391" t="s">
        <v>733</v>
      </c>
      <c r="B391" s="6">
        <v>46095</v>
      </c>
      <c r="C391" t="s">
        <v>26</v>
      </c>
      <c r="D391" t="s">
        <v>114</v>
      </c>
      <c r="E391" t="s">
        <v>37</v>
      </c>
      <c r="F391" t="s">
        <v>734</v>
      </c>
      <c r="G391" t="s">
        <v>50</v>
      </c>
      <c r="J391" s="9">
        <v>0</v>
      </c>
      <c r="K391" s="7">
        <v>0</v>
      </c>
      <c r="L391" s="7">
        <v>0</v>
      </c>
      <c r="M391" s="9">
        <v>1</v>
      </c>
      <c r="N391" s="7">
        <v>5.2</v>
      </c>
      <c r="O391" s="7">
        <v>9.5</v>
      </c>
      <c r="P391" s="7">
        <v>4.5999999999999996</v>
      </c>
      <c r="Q391" t="s">
        <v>39</v>
      </c>
      <c r="R391" s="7" t="str">
        <f>TEXT(Table1[[#This Row],[Date]],"mmm yyyy")</f>
        <v>Mar 2026</v>
      </c>
      <c r="S391" s="9">
        <f>YEAR(Table1[[#This Row],[Date]])</f>
        <v>2026</v>
      </c>
      <c r="T391" s="9"/>
      <c r="U391" s="9"/>
    </row>
    <row r="392" spans="1:21" hidden="1" x14ac:dyDescent="0.3">
      <c r="A392" t="s">
        <v>735</v>
      </c>
      <c r="B392" s="6">
        <v>46146</v>
      </c>
      <c r="C392" t="s">
        <v>26</v>
      </c>
      <c r="D392" t="s">
        <v>72</v>
      </c>
      <c r="E392" t="s">
        <v>48</v>
      </c>
      <c r="F392" t="s">
        <v>99</v>
      </c>
      <c r="G392" t="s">
        <v>50</v>
      </c>
      <c r="J392" s="9">
        <v>0</v>
      </c>
      <c r="K392" s="7">
        <v>0</v>
      </c>
      <c r="L392" s="7">
        <v>0</v>
      </c>
      <c r="M392" s="9">
        <v>1</v>
      </c>
      <c r="N392" s="7">
        <v>6.2</v>
      </c>
      <c r="O392" s="7">
        <v>2.2000000000000002</v>
      </c>
      <c r="P392" s="7">
        <v>3.9</v>
      </c>
      <c r="Q392" t="s">
        <v>31</v>
      </c>
      <c r="R392" s="7" t="str">
        <f>TEXT(Table1[[#This Row],[Date]],"mmm yyyy")</f>
        <v>May 2026</v>
      </c>
      <c r="S392" s="9">
        <f>YEAR(Table1[[#This Row],[Date]])</f>
        <v>2026</v>
      </c>
      <c r="T392" s="9"/>
      <c r="U392" s="9"/>
    </row>
    <row r="393" spans="1:21" x14ac:dyDescent="0.3">
      <c r="A393" t="s">
        <v>736</v>
      </c>
      <c r="B393" s="6">
        <v>45945</v>
      </c>
      <c r="C393" t="s">
        <v>18</v>
      </c>
      <c r="D393" t="s">
        <v>95</v>
      </c>
      <c r="E393" t="s">
        <v>20</v>
      </c>
      <c r="F393" t="s">
        <v>112</v>
      </c>
      <c r="G393" t="s">
        <v>44</v>
      </c>
      <c r="H393" t="s">
        <v>23</v>
      </c>
      <c r="I393" t="s">
        <v>45</v>
      </c>
      <c r="J393" s="9">
        <v>1</v>
      </c>
      <c r="K393" s="7">
        <v>14100</v>
      </c>
      <c r="L393" s="7">
        <v>0</v>
      </c>
      <c r="M393" s="9"/>
      <c r="N393" s="7">
        <v>8.3000000000000007</v>
      </c>
      <c r="O393" s="7"/>
      <c r="P393" s="7"/>
      <c r="Q393" t="s">
        <v>45</v>
      </c>
      <c r="R393" s="7" t="str">
        <f>TEXT(Table1[[#This Row],[Date]],"mmm yyyy")</f>
        <v>Oct 2025</v>
      </c>
      <c r="S393" s="9">
        <f>YEAR(Table1[[#This Row],[Date]])</f>
        <v>2025</v>
      </c>
      <c r="T393" s="9"/>
      <c r="U393" s="9"/>
    </row>
    <row r="394" spans="1:21" x14ac:dyDescent="0.3">
      <c r="A394" t="s">
        <v>737</v>
      </c>
      <c r="B394" s="6">
        <v>45934</v>
      </c>
      <c r="C394" t="s">
        <v>18</v>
      </c>
      <c r="D394" t="s">
        <v>52</v>
      </c>
      <c r="E394" t="s">
        <v>28</v>
      </c>
      <c r="F394" t="s">
        <v>738</v>
      </c>
      <c r="G394" t="s">
        <v>22</v>
      </c>
      <c r="H394" t="s">
        <v>78</v>
      </c>
      <c r="I394" t="s">
        <v>55</v>
      </c>
      <c r="J394" s="9">
        <v>1</v>
      </c>
      <c r="K394" s="7">
        <v>15300</v>
      </c>
      <c r="L394" s="7">
        <v>0</v>
      </c>
      <c r="M394" s="9"/>
      <c r="N394" s="7">
        <v>11.1</v>
      </c>
      <c r="O394" s="7"/>
      <c r="P394" s="7"/>
      <c r="Q394" t="s">
        <v>55</v>
      </c>
      <c r="R394" s="7" t="str">
        <f>TEXT(Table1[[#This Row],[Date]],"mmm yyyy")</f>
        <v>Oct 2025</v>
      </c>
      <c r="S394" s="9">
        <f>YEAR(Table1[[#This Row],[Date]])</f>
        <v>2025</v>
      </c>
      <c r="T394" s="9"/>
      <c r="U394" s="9"/>
    </row>
    <row r="395" spans="1:21" hidden="1" x14ac:dyDescent="0.3">
      <c r="A395" t="s">
        <v>739</v>
      </c>
      <c r="B395" s="6">
        <v>45910</v>
      </c>
      <c r="C395" t="s">
        <v>26</v>
      </c>
      <c r="D395" t="s">
        <v>33</v>
      </c>
      <c r="E395" t="s">
        <v>37</v>
      </c>
      <c r="F395" t="s">
        <v>740</v>
      </c>
      <c r="G395" t="s">
        <v>22</v>
      </c>
      <c r="J395" s="9">
        <v>0</v>
      </c>
      <c r="K395" s="7">
        <v>0</v>
      </c>
      <c r="L395" s="7">
        <v>0</v>
      </c>
      <c r="M395" s="9">
        <v>1</v>
      </c>
      <c r="N395" s="7">
        <v>1.3</v>
      </c>
      <c r="O395" s="7">
        <v>14</v>
      </c>
      <c r="P395" s="7">
        <v>3.4</v>
      </c>
      <c r="Q395" t="s">
        <v>39</v>
      </c>
      <c r="R395" s="7" t="str">
        <f>TEXT(Table1[[#This Row],[Date]],"mmm yyyy")</f>
        <v>Sep 2025</v>
      </c>
      <c r="S395" s="9">
        <f>YEAR(Table1[[#This Row],[Date]])</f>
        <v>2025</v>
      </c>
      <c r="T395" s="9"/>
      <c r="U395" s="9"/>
    </row>
    <row r="396" spans="1:21" x14ac:dyDescent="0.3">
      <c r="A396" t="s">
        <v>741</v>
      </c>
      <c r="B396" s="6">
        <v>46113</v>
      </c>
      <c r="C396" t="s">
        <v>18</v>
      </c>
      <c r="D396" t="s">
        <v>117</v>
      </c>
      <c r="E396" t="s">
        <v>20</v>
      </c>
      <c r="F396" t="s">
        <v>742</v>
      </c>
      <c r="G396" t="s">
        <v>22</v>
      </c>
      <c r="H396" t="s">
        <v>23</v>
      </c>
      <c r="I396" t="s">
        <v>45</v>
      </c>
      <c r="J396" s="9">
        <v>1</v>
      </c>
      <c r="K396" s="7">
        <v>20900</v>
      </c>
      <c r="L396" s="7">
        <v>0</v>
      </c>
      <c r="M396" s="9"/>
      <c r="N396" s="7">
        <v>7.3</v>
      </c>
      <c r="O396" s="7"/>
      <c r="P396" s="7"/>
      <c r="Q396" t="s">
        <v>45</v>
      </c>
      <c r="R396" s="7" t="str">
        <f>TEXT(Table1[[#This Row],[Date]],"mmm yyyy")</f>
        <v>Apr 2026</v>
      </c>
      <c r="S396" s="9">
        <f>YEAR(Table1[[#This Row],[Date]])</f>
        <v>2026</v>
      </c>
      <c r="T396" s="9"/>
      <c r="U396" s="9"/>
    </row>
    <row r="397" spans="1:21" hidden="1" x14ac:dyDescent="0.3">
      <c r="A397" t="s">
        <v>743</v>
      </c>
      <c r="B397" s="6">
        <v>46206</v>
      </c>
      <c r="C397" t="s">
        <v>26</v>
      </c>
      <c r="D397" t="s">
        <v>126</v>
      </c>
      <c r="E397" t="s">
        <v>20</v>
      </c>
      <c r="F397" t="s">
        <v>744</v>
      </c>
      <c r="G397" t="s">
        <v>30</v>
      </c>
      <c r="J397" s="9">
        <v>0</v>
      </c>
      <c r="K397" s="7">
        <v>0</v>
      </c>
      <c r="L397" s="7">
        <v>0</v>
      </c>
      <c r="M397" s="9">
        <v>1</v>
      </c>
      <c r="N397" s="7">
        <v>6.5</v>
      </c>
      <c r="O397" s="7">
        <v>1.6</v>
      </c>
      <c r="P397" s="7">
        <v>4.5999999999999996</v>
      </c>
      <c r="Q397" t="s">
        <v>31</v>
      </c>
      <c r="R397" s="7" t="str">
        <f>TEXT(Table1[[#This Row],[Date]],"mmm yyyy")</f>
        <v>Jul 2026</v>
      </c>
      <c r="S397" s="9">
        <f>YEAR(Table1[[#This Row],[Date]])</f>
        <v>2026</v>
      </c>
      <c r="T397" s="9"/>
      <c r="U397" s="9"/>
    </row>
    <row r="398" spans="1:21" hidden="1" x14ac:dyDescent="0.3">
      <c r="A398" t="s">
        <v>745</v>
      </c>
      <c r="B398" s="6">
        <v>45971</v>
      </c>
      <c r="C398" t="s">
        <v>26</v>
      </c>
      <c r="D398" t="s">
        <v>27</v>
      </c>
      <c r="E398" t="s">
        <v>20</v>
      </c>
      <c r="F398" t="s">
        <v>81</v>
      </c>
      <c r="G398" t="s">
        <v>50</v>
      </c>
      <c r="J398" s="9">
        <v>0</v>
      </c>
      <c r="K398" s="7">
        <v>0</v>
      </c>
      <c r="L398" s="7">
        <v>0</v>
      </c>
      <c r="M398" s="9">
        <v>1</v>
      </c>
      <c r="N398" s="7">
        <v>11.5</v>
      </c>
      <c r="O398" s="7">
        <v>1</v>
      </c>
      <c r="P398" s="7">
        <v>3.7</v>
      </c>
      <c r="Q398" t="s">
        <v>39</v>
      </c>
      <c r="R398" s="7" t="str">
        <f>TEXT(Table1[[#This Row],[Date]],"mmm yyyy")</f>
        <v>Nov 2025</v>
      </c>
      <c r="S398" s="9">
        <f>YEAR(Table1[[#This Row],[Date]])</f>
        <v>2025</v>
      </c>
      <c r="T398" s="9"/>
      <c r="U398" s="9"/>
    </row>
    <row r="399" spans="1:21" x14ac:dyDescent="0.3">
      <c r="A399" t="s">
        <v>746</v>
      </c>
      <c r="B399" s="6">
        <v>46056</v>
      </c>
      <c r="C399" t="s">
        <v>18</v>
      </c>
      <c r="D399" t="s">
        <v>105</v>
      </c>
      <c r="E399" t="s">
        <v>20</v>
      </c>
      <c r="F399" t="s">
        <v>320</v>
      </c>
      <c r="G399" t="s">
        <v>22</v>
      </c>
      <c r="H399" t="s">
        <v>23</v>
      </c>
      <c r="I399" t="s">
        <v>45</v>
      </c>
      <c r="J399" s="9">
        <v>1</v>
      </c>
      <c r="K399" s="7">
        <v>33800</v>
      </c>
      <c r="L399" s="7">
        <v>0</v>
      </c>
      <c r="M399" s="9"/>
      <c r="N399" s="7">
        <v>24</v>
      </c>
      <c r="O399" s="7"/>
      <c r="P399" s="7"/>
      <c r="Q399" t="s">
        <v>45</v>
      </c>
      <c r="R399" s="7" t="str">
        <f>TEXT(Table1[[#This Row],[Date]],"mmm yyyy")</f>
        <v>Feb 2026</v>
      </c>
      <c r="S399" s="9">
        <f>YEAR(Table1[[#This Row],[Date]])</f>
        <v>2026</v>
      </c>
      <c r="T399" s="9"/>
      <c r="U399" s="9"/>
    </row>
    <row r="400" spans="1:21" hidden="1" x14ac:dyDescent="0.3">
      <c r="A400" t="s">
        <v>747</v>
      </c>
      <c r="B400" s="6">
        <v>46177</v>
      </c>
      <c r="C400" t="s">
        <v>26</v>
      </c>
      <c r="D400" t="s">
        <v>69</v>
      </c>
      <c r="E400" t="s">
        <v>20</v>
      </c>
      <c r="F400" t="s">
        <v>748</v>
      </c>
      <c r="G400" t="s">
        <v>44</v>
      </c>
      <c r="J400" s="9">
        <v>0</v>
      </c>
      <c r="K400" s="7">
        <v>0</v>
      </c>
      <c r="L400" s="7">
        <v>0</v>
      </c>
      <c r="M400" s="9">
        <v>1</v>
      </c>
      <c r="N400" s="7">
        <v>4.4000000000000004</v>
      </c>
      <c r="O400" s="7">
        <v>6.3</v>
      </c>
      <c r="P400" s="7">
        <v>5</v>
      </c>
      <c r="Q400" t="s">
        <v>39</v>
      </c>
      <c r="R400" s="7" t="str">
        <f>TEXT(Table1[[#This Row],[Date]],"mmm yyyy")</f>
        <v>Jun 2026</v>
      </c>
      <c r="S400" s="9">
        <f>YEAR(Table1[[#This Row],[Date]])</f>
        <v>2026</v>
      </c>
      <c r="T400" s="9"/>
      <c r="U400" s="9"/>
    </row>
    <row r="401" spans="1:21" hidden="1" x14ac:dyDescent="0.3">
      <c r="A401" t="s">
        <v>749</v>
      </c>
      <c r="B401" s="6">
        <v>45987</v>
      </c>
      <c r="C401" t="s">
        <v>26</v>
      </c>
      <c r="D401" t="s">
        <v>232</v>
      </c>
      <c r="E401" t="s">
        <v>28</v>
      </c>
      <c r="F401" t="s">
        <v>750</v>
      </c>
      <c r="G401" t="s">
        <v>50</v>
      </c>
      <c r="J401" s="9">
        <v>0</v>
      </c>
      <c r="K401" s="7">
        <v>0</v>
      </c>
      <c r="L401" s="7">
        <v>0</v>
      </c>
      <c r="M401" s="9">
        <v>1</v>
      </c>
      <c r="N401" s="7">
        <v>8.1999999999999993</v>
      </c>
      <c r="O401" s="7">
        <v>16.600000000000001</v>
      </c>
      <c r="P401" s="7">
        <v>5</v>
      </c>
      <c r="Q401" t="s">
        <v>31</v>
      </c>
      <c r="R401" s="7" t="str">
        <f>TEXT(Table1[[#This Row],[Date]],"mmm yyyy")</f>
        <v>Nov 2025</v>
      </c>
      <c r="S401" s="9">
        <f>YEAR(Table1[[#This Row],[Date]])</f>
        <v>2025</v>
      </c>
      <c r="T401" s="9"/>
      <c r="U401" s="9"/>
    </row>
    <row r="402" spans="1:21" x14ac:dyDescent="0.3">
      <c r="A402" t="s">
        <v>751</v>
      </c>
      <c r="B402" s="6">
        <v>46229</v>
      </c>
      <c r="C402" t="s">
        <v>18</v>
      </c>
      <c r="D402" t="s">
        <v>105</v>
      </c>
      <c r="E402" t="s">
        <v>20</v>
      </c>
      <c r="F402" t="s">
        <v>752</v>
      </c>
      <c r="G402" t="s">
        <v>44</v>
      </c>
      <c r="H402" t="s">
        <v>54</v>
      </c>
      <c r="I402" t="s">
        <v>89</v>
      </c>
      <c r="J402" s="9">
        <v>1</v>
      </c>
      <c r="K402" s="7">
        <v>30800</v>
      </c>
      <c r="L402" s="7">
        <v>0</v>
      </c>
      <c r="M402" s="9"/>
      <c r="N402" s="7">
        <v>2.8</v>
      </c>
      <c r="O402" s="7"/>
      <c r="P402" s="7"/>
      <c r="Q402" t="s">
        <v>89</v>
      </c>
      <c r="R402" s="7" t="str">
        <f>TEXT(Table1[[#This Row],[Date]],"mmm yyyy")</f>
        <v>Jul 2026</v>
      </c>
      <c r="S402" s="9">
        <f>YEAR(Table1[[#This Row],[Date]])</f>
        <v>2026</v>
      </c>
      <c r="T402" s="9"/>
      <c r="U402" s="9"/>
    </row>
    <row r="403" spans="1:21" hidden="1" x14ac:dyDescent="0.3">
      <c r="A403" t="s">
        <v>753</v>
      </c>
      <c r="B403" s="6">
        <v>46097</v>
      </c>
      <c r="C403" t="s">
        <v>26</v>
      </c>
      <c r="D403" t="s">
        <v>33</v>
      </c>
      <c r="E403" t="s">
        <v>20</v>
      </c>
      <c r="F403" t="s">
        <v>754</v>
      </c>
      <c r="G403" t="s">
        <v>22</v>
      </c>
      <c r="J403" s="9">
        <v>0</v>
      </c>
      <c r="K403" s="7">
        <v>0</v>
      </c>
      <c r="L403" s="7">
        <v>0</v>
      </c>
      <c r="M403" s="9">
        <v>1</v>
      </c>
      <c r="N403" s="7">
        <v>3.3</v>
      </c>
      <c r="O403" s="7">
        <v>6</v>
      </c>
      <c r="P403" s="7">
        <v>3.9</v>
      </c>
      <c r="Q403" t="s">
        <v>39</v>
      </c>
      <c r="R403" s="7" t="str">
        <f>TEXT(Table1[[#This Row],[Date]],"mmm yyyy")</f>
        <v>Mar 2026</v>
      </c>
      <c r="S403" s="9">
        <f>YEAR(Table1[[#This Row],[Date]])</f>
        <v>2026</v>
      </c>
      <c r="T403" s="9"/>
      <c r="U403" s="9"/>
    </row>
    <row r="404" spans="1:21" x14ac:dyDescent="0.3">
      <c r="A404" t="s">
        <v>755</v>
      </c>
      <c r="B404" s="6">
        <v>46111</v>
      </c>
      <c r="C404" t="s">
        <v>18</v>
      </c>
      <c r="D404" t="s">
        <v>19</v>
      </c>
      <c r="E404" t="s">
        <v>48</v>
      </c>
      <c r="F404" t="s">
        <v>756</v>
      </c>
      <c r="G404" t="s">
        <v>22</v>
      </c>
      <c r="H404" t="s">
        <v>86</v>
      </c>
      <c r="I404" t="s">
        <v>45</v>
      </c>
      <c r="J404" s="9">
        <v>1</v>
      </c>
      <c r="K404" s="7">
        <v>14000</v>
      </c>
      <c r="L404" s="7">
        <v>0</v>
      </c>
      <c r="M404" s="9"/>
      <c r="N404" s="7">
        <v>8.6999999999999993</v>
      </c>
      <c r="O404" s="7"/>
      <c r="P404" s="7"/>
      <c r="Q404" t="s">
        <v>45</v>
      </c>
      <c r="R404" s="7" t="str">
        <f>TEXT(Table1[[#This Row],[Date]],"mmm yyyy")</f>
        <v>Mar 2026</v>
      </c>
      <c r="S404" s="9">
        <f>YEAR(Table1[[#This Row],[Date]])</f>
        <v>2026</v>
      </c>
      <c r="T404" s="9"/>
      <c r="U404" s="9"/>
    </row>
    <row r="405" spans="1:21" hidden="1" x14ac:dyDescent="0.3">
      <c r="A405" t="s">
        <v>757</v>
      </c>
      <c r="B405" s="6">
        <v>46152</v>
      </c>
      <c r="C405" t="s">
        <v>26</v>
      </c>
      <c r="D405" t="s">
        <v>36</v>
      </c>
      <c r="E405" t="s">
        <v>20</v>
      </c>
      <c r="F405" t="s">
        <v>230</v>
      </c>
      <c r="G405" t="s">
        <v>30</v>
      </c>
      <c r="J405" s="9">
        <v>0</v>
      </c>
      <c r="K405" s="7">
        <v>0</v>
      </c>
      <c r="L405" s="7">
        <v>0</v>
      </c>
      <c r="M405" s="9">
        <v>1</v>
      </c>
      <c r="N405" s="7">
        <v>9.6</v>
      </c>
      <c r="O405" s="7">
        <v>3.9</v>
      </c>
      <c r="P405" s="7">
        <v>5</v>
      </c>
      <c r="Q405" t="s">
        <v>39</v>
      </c>
      <c r="R405" s="7" t="str">
        <f>TEXT(Table1[[#This Row],[Date]],"mmm yyyy")</f>
        <v>May 2026</v>
      </c>
      <c r="S405" s="9">
        <f>YEAR(Table1[[#This Row],[Date]])</f>
        <v>2026</v>
      </c>
      <c r="T405" s="9"/>
      <c r="U405" s="9"/>
    </row>
    <row r="406" spans="1:21" x14ac:dyDescent="0.3">
      <c r="A406" t="s">
        <v>758</v>
      </c>
      <c r="B406" s="6">
        <v>46009</v>
      </c>
      <c r="C406" t="s">
        <v>18</v>
      </c>
      <c r="D406" t="s">
        <v>64</v>
      </c>
      <c r="E406" t="s">
        <v>48</v>
      </c>
      <c r="F406" t="s">
        <v>759</v>
      </c>
      <c r="G406" t="s">
        <v>30</v>
      </c>
      <c r="H406" t="s">
        <v>23</v>
      </c>
      <c r="I406" t="s">
        <v>67</v>
      </c>
      <c r="J406" s="9">
        <v>1</v>
      </c>
      <c r="K406" s="7">
        <v>31900</v>
      </c>
      <c r="L406" s="7">
        <v>0</v>
      </c>
      <c r="M406" s="9"/>
      <c r="N406" s="7">
        <v>13.9</v>
      </c>
      <c r="O406" s="7"/>
      <c r="P406" s="7"/>
      <c r="Q406" t="s">
        <v>67</v>
      </c>
      <c r="R406" s="7" t="str">
        <f>TEXT(Table1[[#This Row],[Date]],"mmm yyyy")</f>
        <v>Dec 2025</v>
      </c>
      <c r="S406" s="9">
        <f>YEAR(Table1[[#This Row],[Date]])</f>
        <v>2025</v>
      </c>
      <c r="T406" s="9"/>
      <c r="U406" s="9"/>
    </row>
    <row r="407" spans="1:21" hidden="1" x14ac:dyDescent="0.3">
      <c r="A407" t="s">
        <v>760</v>
      </c>
      <c r="B407" s="6">
        <v>45918</v>
      </c>
      <c r="C407" t="s">
        <v>26</v>
      </c>
      <c r="D407" t="s">
        <v>27</v>
      </c>
      <c r="E407" t="s">
        <v>37</v>
      </c>
      <c r="F407" t="s">
        <v>761</v>
      </c>
      <c r="G407" t="s">
        <v>30</v>
      </c>
      <c r="J407" s="9">
        <v>0</v>
      </c>
      <c r="K407" s="7">
        <v>0</v>
      </c>
      <c r="L407" s="7">
        <v>0</v>
      </c>
      <c r="M407" s="9">
        <v>1</v>
      </c>
      <c r="N407" s="7">
        <v>11.1</v>
      </c>
      <c r="O407" s="7">
        <v>3.6</v>
      </c>
      <c r="P407" s="7">
        <v>4.0999999999999996</v>
      </c>
      <c r="Q407" t="s">
        <v>39</v>
      </c>
      <c r="R407" s="7" t="str">
        <f>TEXT(Table1[[#This Row],[Date]],"mmm yyyy")</f>
        <v>Sep 2025</v>
      </c>
      <c r="S407" s="9">
        <f>YEAR(Table1[[#This Row],[Date]])</f>
        <v>2025</v>
      </c>
      <c r="T407" s="9"/>
      <c r="U407" s="9"/>
    </row>
    <row r="408" spans="1:21" x14ac:dyDescent="0.3">
      <c r="A408" t="s">
        <v>762</v>
      </c>
      <c r="B408" s="6">
        <v>46101</v>
      </c>
      <c r="C408" t="s">
        <v>18</v>
      </c>
      <c r="D408" t="s">
        <v>64</v>
      </c>
      <c r="E408" t="s">
        <v>20</v>
      </c>
      <c r="F408" t="s">
        <v>763</v>
      </c>
      <c r="G408" t="s">
        <v>22</v>
      </c>
      <c r="H408" t="s">
        <v>66</v>
      </c>
      <c r="I408" t="s">
        <v>45</v>
      </c>
      <c r="J408" s="9">
        <v>1</v>
      </c>
      <c r="K408" s="7">
        <v>72800</v>
      </c>
      <c r="L408" s="7">
        <v>0</v>
      </c>
      <c r="M408" s="9"/>
      <c r="N408" s="7">
        <v>21.5</v>
      </c>
      <c r="O408" s="7"/>
      <c r="P408" s="7"/>
      <c r="Q408" t="s">
        <v>45</v>
      </c>
      <c r="R408" s="7" t="str">
        <f>TEXT(Table1[[#This Row],[Date]],"mmm yyyy")</f>
        <v>Mar 2026</v>
      </c>
      <c r="S408" s="9">
        <f>YEAR(Table1[[#This Row],[Date]])</f>
        <v>2026</v>
      </c>
      <c r="T408" s="9"/>
      <c r="U408" s="9"/>
    </row>
    <row r="409" spans="1:21" x14ac:dyDescent="0.3">
      <c r="A409" t="s">
        <v>764</v>
      </c>
      <c r="B409" s="6">
        <v>46104</v>
      </c>
      <c r="C409" t="s">
        <v>18</v>
      </c>
      <c r="D409" t="s">
        <v>105</v>
      </c>
      <c r="E409" t="s">
        <v>20</v>
      </c>
      <c r="F409" t="s">
        <v>481</v>
      </c>
      <c r="G409" t="s">
        <v>44</v>
      </c>
      <c r="H409" t="s">
        <v>23</v>
      </c>
      <c r="I409" t="s">
        <v>55</v>
      </c>
      <c r="J409" s="9">
        <v>1</v>
      </c>
      <c r="K409" s="7">
        <v>19900</v>
      </c>
      <c r="L409" s="7">
        <v>0</v>
      </c>
      <c r="M409" s="9"/>
      <c r="N409" s="7">
        <v>8.8000000000000007</v>
      </c>
      <c r="O409" s="7"/>
      <c r="P409" s="7"/>
      <c r="Q409" t="s">
        <v>55</v>
      </c>
      <c r="R409" s="7" t="str">
        <f>TEXT(Table1[[#This Row],[Date]],"mmm yyyy")</f>
        <v>Mar 2026</v>
      </c>
      <c r="S409" s="9">
        <f>YEAR(Table1[[#This Row],[Date]])</f>
        <v>2026</v>
      </c>
      <c r="T409" s="9"/>
      <c r="U409" s="9"/>
    </row>
    <row r="410" spans="1:21" hidden="1" x14ac:dyDescent="0.3">
      <c r="A410" t="s">
        <v>765</v>
      </c>
      <c r="B410" s="6">
        <v>46085</v>
      </c>
      <c r="C410" t="s">
        <v>26</v>
      </c>
      <c r="D410" t="s">
        <v>36</v>
      </c>
      <c r="E410" t="s">
        <v>20</v>
      </c>
      <c r="F410" t="s">
        <v>766</v>
      </c>
      <c r="G410" t="s">
        <v>44</v>
      </c>
      <c r="J410" s="9">
        <v>0</v>
      </c>
      <c r="K410" s="7">
        <v>0</v>
      </c>
      <c r="L410" s="7">
        <v>0</v>
      </c>
      <c r="M410" s="9">
        <v>1</v>
      </c>
      <c r="N410" s="7">
        <v>0.2</v>
      </c>
      <c r="O410" s="7">
        <v>7.8</v>
      </c>
      <c r="P410" s="7">
        <v>3.7</v>
      </c>
      <c r="Q410" t="s">
        <v>31</v>
      </c>
      <c r="R410" s="7" t="str">
        <f>TEXT(Table1[[#This Row],[Date]],"mmm yyyy")</f>
        <v>Mar 2026</v>
      </c>
      <c r="S410" s="9">
        <f>YEAR(Table1[[#This Row],[Date]])</f>
        <v>2026</v>
      </c>
      <c r="T410" s="9"/>
      <c r="U410" s="9"/>
    </row>
    <row r="411" spans="1:21" x14ac:dyDescent="0.3">
      <c r="A411" t="s">
        <v>767</v>
      </c>
      <c r="B411" s="6">
        <v>46008</v>
      </c>
      <c r="C411" t="s">
        <v>18</v>
      </c>
      <c r="D411" t="s">
        <v>105</v>
      </c>
      <c r="E411" t="s">
        <v>42</v>
      </c>
      <c r="F411" t="s">
        <v>754</v>
      </c>
      <c r="G411" t="s">
        <v>44</v>
      </c>
      <c r="H411" t="s">
        <v>54</v>
      </c>
      <c r="I411" t="s">
        <v>67</v>
      </c>
      <c r="J411" s="9">
        <v>1</v>
      </c>
      <c r="K411" s="7">
        <v>72900</v>
      </c>
      <c r="L411" s="7">
        <v>0</v>
      </c>
      <c r="M411" s="9"/>
      <c r="N411" s="7">
        <v>2.6</v>
      </c>
      <c r="O411" s="7"/>
      <c r="P411" s="7"/>
      <c r="Q411" t="s">
        <v>67</v>
      </c>
      <c r="R411" s="7" t="str">
        <f>TEXT(Table1[[#This Row],[Date]],"mmm yyyy")</f>
        <v>Dec 2025</v>
      </c>
      <c r="S411" s="9">
        <f>YEAR(Table1[[#This Row],[Date]])</f>
        <v>2025</v>
      </c>
      <c r="T411" s="9"/>
      <c r="U411" s="9"/>
    </row>
    <row r="412" spans="1:21" x14ac:dyDescent="0.3">
      <c r="A412" t="s">
        <v>768</v>
      </c>
      <c r="B412" s="6">
        <v>46019</v>
      </c>
      <c r="C412" t="s">
        <v>18</v>
      </c>
      <c r="D412" t="s">
        <v>19</v>
      </c>
      <c r="E412" t="s">
        <v>20</v>
      </c>
      <c r="F412" t="s">
        <v>769</v>
      </c>
      <c r="G412" t="s">
        <v>22</v>
      </c>
      <c r="H412" t="s">
        <v>66</v>
      </c>
      <c r="I412" t="s">
        <v>45</v>
      </c>
      <c r="J412" s="9">
        <v>1</v>
      </c>
      <c r="K412" s="7">
        <v>45200</v>
      </c>
      <c r="L412" s="7">
        <v>0</v>
      </c>
      <c r="M412" s="9"/>
      <c r="N412" s="7">
        <v>10.3</v>
      </c>
      <c r="O412" s="7"/>
      <c r="P412" s="7"/>
      <c r="Q412" t="s">
        <v>45</v>
      </c>
      <c r="R412" s="7" t="str">
        <f>TEXT(Table1[[#This Row],[Date]],"mmm yyyy")</f>
        <v>Dec 2025</v>
      </c>
      <c r="S412" s="9">
        <f>YEAR(Table1[[#This Row],[Date]])</f>
        <v>2025</v>
      </c>
      <c r="T412" s="9"/>
      <c r="U412" s="9"/>
    </row>
    <row r="413" spans="1:21" hidden="1" x14ac:dyDescent="0.3">
      <c r="A413" t="s">
        <v>770</v>
      </c>
      <c r="B413" s="6">
        <v>45903</v>
      </c>
      <c r="C413" t="s">
        <v>26</v>
      </c>
      <c r="D413" t="s">
        <v>69</v>
      </c>
      <c r="E413" t="s">
        <v>20</v>
      </c>
      <c r="F413" t="s">
        <v>771</v>
      </c>
      <c r="G413" t="s">
        <v>22</v>
      </c>
      <c r="J413" s="9">
        <v>0</v>
      </c>
      <c r="K413" s="7">
        <v>0</v>
      </c>
      <c r="L413" s="7">
        <v>0</v>
      </c>
      <c r="M413" s="9">
        <v>1</v>
      </c>
      <c r="N413" s="7">
        <v>2.5</v>
      </c>
      <c r="O413" s="7">
        <v>16.2</v>
      </c>
      <c r="P413" s="7">
        <v>4.5</v>
      </c>
      <c r="Q413" t="s">
        <v>62</v>
      </c>
      <c r="R413" s="7" t="str">
        <f>TEXT(Table1[[#This Row],[Date]],"mmm yyyy")</f>
        <v>Sep 2025</v>
      </c>
      <c r="S413" s="9">
        <f>YEAR(Table1[[#This Row],[Date]])</f>
        <v>2025</v>
      </c>
      <c r="T413" s="9"/>
      <c r="U413" s="9"/>
    </row>
    <row r="414" spans="1:21" hidden="1" x14ac:dyDescent="0.3">
      <c r="A414" t="s">
        <v>772</v>
      </c>
      <c r="B414" s="6">
        <v>45904</v>
      </c>
      <c r="C414" t="s">
        <v>26</v>
      </c>
      <c r="D414" t="s">
        <v>114</v>
      </c>
      <c r="E414" t="s">
        <v>20</v>
      </c>
      <c r="F414" t="s">
        <v>773</v>
      </c>
      <c r="G414" t="s">
        <v>22</v>
      </c>
      <c r="J414" s="9">
        <v>0</v>
      </c>
      <c r="K414" s="7">
        <v>0</v>
      </c>
      <c r="L414" s="7">
        <v>0</v>
      </c>
      <c r="M414" s="9">
        <v>1</v>
      </c>
      <c r="N414" s="7">
        <v>9.1</v>
      </c>
      <c r="O414" s="7">
        <v>3.5</v>
      </c>
      <c r="P414" s="7">
        <v>3</v>
      </c>
      <c r="Q414" t="s">
        <v>31</v>
      </c>
      <c r="R414" s="7" t="str">
        <f>TEXT(Table1[[#This Row],[Date]],"mmm yyyy")</f>
        <v>Sep 2025</v>
      </c>
      <c r="S414" s="9">
        <f>YEAR(Table1[[#This Row],[Date]])</f>
        <v>2025</v>
      </c>
      <c r="T414" s="9"/>
      <c r="U414" s="9"/>
    </row>
    <row r="415" spans="1:21" hidden="1" x14ac:dyDescent="0.3">
      <c r="A415" t="s">
        <v>774</v>
      </c>
      <c r="B415" s="6">
        <v>46052</v>
      </c>
      <c r="C415" t="s">
        <v>26</v>
      </c>
      <c r="D415" t="s">
        <v>27</v>
      </c>
      <c r="E415" t="s">
        <v>42</v>
      </c>
      <c r="F415" t="s">
        <v>75</v>
      </c>
      <c r="G415" t="s">
        <v>22</v>
      </c>
      <c r="J415" s="9">
        <v>0</v>
      </c>
      <c r="K415" s="7">
        <v>0</v>
      </c>
      <c r="L415" s="7">
        <v>0</v>
      </c>
      <c r="M415" s="9">
        <v>1</v>
      </c>
      <c r="N415" s="7">
        <v>0.9</v>
      </c>
      <c r="O415" s="7">
        <v>3.5</v>
      </c>
      <c r="P415" s="7">
        <v>4.0999999999999996</v>
      </c>
      <c r="Q415" t="s">
        <v>62</v>
      </c>
      <c r="R415" s="7" t="str">
        <f>TEXT(Table1[[#This Row],[Date]],"mmm yyyy")</f>
        <v>Jan 2026</v>
      </c>
      <c r="S415" s="9">
        <f>YEAR(Table1[[#This Row],[Date]])</f>
        <v>2026</v>
      </c>
      <c r="T415" s="9"/>
      <c r="U415" s="9"/>
    </row>
    <row r="416" spans="1:21" hidden="1" x14ac:dyDescent="0.3">
      <c r="A416" t="s">
        <v>775</v>
      </c>
      <c r="B416" s="6">
        <v>46196</v>
      </c>
      <c r="C416" t="s">
        <v>26</v>
      </c>
      <c r="D416" t="s">
        <v>69</v>
      </c>
      <c r="E416" t="s">
        <v>20</v>
      </c>
      <c r="F416" t="s">
        <v>203</v>
      </c>
      <c r="G416" t="s">
        <v>30</v>
      </c>
      <c r="J416" s="9">
        <v>0</v>
      </c>
      <c r="K416" s="7">
        <v>0</v>
      </c>
      <c r="L416" s="7">
        <v>0</v>
      </c>
      <c r="M416" s="9">
        <v>1</v>
      </c>
      <c r="N416" s="7">
        <v>2.2999999999999998</v>
      </c>
      <c r="O416" s="7">
        <v>11.2</v>
      </c>
      <c r="P416" s="7">
        <v>3.4</v>
      </c>
      <c r="Q416" t="s">
        <v>31</v>
      </c>
      <c r="R416" s="7" t="str">
        <f>TEXT(Table1[[#This Row],[Date]],"mmm yyyy")</f>
        <v>Jun 2026</v>
      </c>
      <c r="S416" s="9">
        <f>YEAR(Table1[[#This Row],[Date]])</f>
        <v>2026</v>
      </c>
      <c r="T416" s="9"/>
      <c r="U416" s="9"/>
    </row>
    <row r="417" spans="1:21" x14ac:dyDescent="0.3">
      <c r="A417" t="s">
        <v>776</v>
      </c>
      <c r="B417" s="6">
        <v>45977</v>
      </c>
      <c r="C417" t="s">
        <v>18</v>
      </c>
      <c r="D417" t="s">
        <v>64</v>
      </c>
      <c r="E417" t="s">
        <v>20</v>
      </c>
      <c r="F417" t="s">
        <v>777</v>
      </c>
      <c r="G417" t="s">
        <v>30</v>
      </c>
      <c r="H417" t="s">
        <v>86</v>
      </c>
      <c r="I417" t="s">
        <v>55</v>
      </c>
      <c r="J417" s="9">
        <v>1</v>
      </c>
      <c r="K417" s="7">
        <v>8500</v>
      </c>
      <c r="L417" s="7">
        <v>0</v>
      </c>
      <c r="M417" s="9"/>
      <c r="N417" s="7">
        <v>20.8</v>
      </c>
      <c r="O417" s="7"/>
      <c r="P417" s="7"/>
      <c r="Q417" t="s">
        <v>55</v>
      </c>
      <c r="R417" s="7" t="str">
        <f>TEXT(Table1[[#This Row],[Date]],"mmm yyyy")</f>
        <v>Nov 2025</v>
      </c>
      <c r="S417" s="9">
        <f>YEAR(Table1[[#This Row],[Date]])</f>
        <v>2025</v>
      </c>
      <c r="T417" s="9"/>
      <c r="U417" s="9"/>
    </row>
    <row r="418" spans="1:21" x14ac:dyDescent="0.3">
      <c r="A418" t="s">
        <v>778</v>
      </c>
      <c r="B418" s="6">
        <v>46116</v>
      </c>
      <c r="C418" t="s">
        <v>18</v>
      </c>
      <c r="D418" t="s">
        <v>105</v>
      </c>
      <c r="E418" t="s">
        <v>42</v>
      </c>
      <c r="F418" t="s">
        <v>264</v>
      </c>
      <c r="G418" t="s">
        <v>22</v>
      </c>
      <c r="H418" t="s">
        <v>23</v>
      </c>
      <c r="I418" t="s">
        <v>67</v>
      </c>
      <c r="J418" s="9">
        <v>1</v>
      </c>
      <c r="K418" s="7">
        <v>5000</v>
      </c>
      <c r="L418" s="7">
        <v>0</v>
      </c>
      <c r="M418" s="9"/>
      <c r="N418" s="7">
        <v>9.8000000000000007</v>
      </c>
      <c r="O418" s="7"/>
      <c r="P418" s="7"/>
      <c r="Q418" t="s">
        <v>67</v>
      </c>
      <c r="R418" s="7" t="str">
        <f>TEXT(Table1[[#This Row],[Date]],"mmm yyyy")</f>
        <v>Apr 2026</v>
      </c>
      <c r="S418" s="9">
        <f>YEAR(Table1[[#This Row],[Date]])</f>
        <v>2026</v>
      </c>
      <c r="T418" s="9"/>
      <c r="U418" s="9"/>
    </row>
    <row r="419" spans="1:21" x14ac:dyDescent="0.3">
      <c r="A419" t="s">
        <v>779</v>
      </c>
      <c r="B419" s="6">
        <v>46236</v>
      </c>
      <c r="C419" t="s">
        <v>18</v>
      </c>
      <c r="D419" t="s">
        <v>64</v>
      </c>
      <c r="E419" t="s">
        <v>48</v>
      </c>
      <c r="F419" t="s">
        <v>101</v>
      </c>
      <c r="G419" t="s">
        <v>30</v>
      </c>
      <c r="H419" t="s">
        <v>23</v>
      </c>
      <c r="I419" t="s">
        <v>24</v>
      </c>
      <c r="J419" s="9">
        <v>1</v>
      </c>
      <c r="K419" s="7">
        <v>84900</v>
      </c>
      <c r="L419" s="7">
        <v>84900</v>
      </c>
      <c r="M419" s="9"/>
      <c r="N419" s="7">
        <v>4.5999999999999996</v>
      </c>
      <c r="O419" s="7"/>
      <c r="P419" s="7"/>
      <c r="Q419" t="s">
        <v>24</v>
      </c>
      <c r="R419" s="7" t="str">
        <f>TEXT(Table1[[#This Row],[Date]],"mmm yyyy")</f>
        <v>Aug 2026</v>
      </c>
      <c r="S419" s="9">
        <f>YEAR(Table1[[#This Row],[Date]])</f>
        <v>2026</v>
      </c>
      <c r="T419" s="9"/>
      <c r="U419" s="9"/>
    </row>
    <row r="420" spans="1:21" hidden="1" x14ac:dyDescent="0.3">
      <c r="A420" t="s">
        <v>780</v>
      </c>
      <c r="B420" s="6">
        <v>46262</v>
      </c>
      <c r="C420" t="s">
        <v>26</v>
      </c>
      <c r="D420" t="s">
        <v>33</v>
      </c>
      <c r="E420" t="s">
        <v>37</v>
      </c>
      <c r="F420" t="s">
        <v>781</v>
      </c>
      <c r="G420" t="s">
        <v>22</v>
      </c>
      <c r="J420" s="9">
        <v>0</v>
      </c>
      <c r="K420" s="7">
        <v>0</v>
      </c>
      <c r="L420" s="7">
        <v>0</v>
      </c>
      <c r="M420" s="9">
        <v>1</v>
      </c>
      <c r="N420" s="7">
        <v>5.4</v>
      </c>
      <c r="O420" s="7">
        <v>6.5</v>
      </c>
      <c r="P420" s="7">
        <v>4.4000000000000004</v>
      </c>
      <c r="Q420" t="s">
        <v>39</v>
      </c>
      <c r="R420" s="7" t="str">
        <f>TEXT(Table1[[#This Row],[Date]],"mmm yyyy")</f>
        <v>Aug 2026</v>
      </c>
      <c r="S420" s="9">
        <f>YEAR(Table1[[#This Row],[Date]])</f>
        <v>2026</v>
      </c>
      <c r="T420" s="9"/>
      <c r="U420" s="9"/>
    </row>
    <row r="421" spans="1:21" hidden="1" x14ac:dyDescent="0.3">
      <c r="A421" t="s">
        <v>782</v>
      </c>
      <c r="B421" s="6">
        <v>45920</v>
      </c>
      <c r="C421" t="s">
        <v>26</v>
      </c>
      <c r="D421" t="s">
        <v>114</v>
      </c>
      <c r="E421" t="s">
        <v>20</v>
      </c>
      <c r="F421" t="s">
        <v>783</v>
      </c>
      <c r="G421" t="s">
        <v>30</v>
      </c>
      <c r="J421" s="9">
        <v>0</v>
      </c>
      <c r="K421" s="7">
        <v>0</v>
      </c>
      <c r="L421" s="7">
        <v>0</v>
      </c>
      <c r="M421" s="9">
        <v>1</v>
      </c>
      <c r="N421" s="7">
        <v>3.6</v>
      </c>
      <c r="O421" s="7">
        <v>6.6</v>
      </c>
      <c r="P421" s="7">
        <v>3.2</v>
      </c>
      <c r="Q421" t="s">
        <v>39</v>
      </c>
      <c r="R421" s="7" t="str">
        <f>TEXT(Table1[[#This Row],[Date]],"mmm yyyy")</f>
        <v>Sep 2025</v>
      </c>
      <c r="S421" s="9">
        <f>YEAR(Table1[[#This Row],[Date]])</f>
        <v>2025</v>
      </c>
      <c r="T421" s="9"/>
      <c r="U421" s="9"/>
    </row>
    <row r="422" spans="1:21" hidden="1" x14ac:dyDescent="0.3">
      <c r="A422" t="s">
        <v>784</v>
      </c>
      <c r="B422" s="6">
        <v>46138</v>
      </c>
      <c r="C422" t="s">
        <v>26</v>
      </c>
      <c r="D422" t="s">
        <v>33</v>
      </c>
      <c r="E422" t="s">
        <v>28</v>
      </c>
      <c r="F422" t="s">
        <v>785</v>
      </c>
      <c r="G422" t="s">
        <v>44</v>
      </c>
      <c r="J422" s="9">
        <v>0</v>
      </c>
      <c r="K422" s="7">
        <v>0</v>
      </c>
      <c r="L422" s="7">
        <v>0</v>
      </c>
      <c r="M422" s="9">
        <v>1</v>
      </c>
      <c r="N422" s="7">
        <v>1.5</v>
      </c>
      <c r="O422" s="7">
        <v>9.9</v>
      </c>
      <c r="P422" s="7">
        <v>4.9000000000000004</v>
      </c>
      <c r="Q422" t="s">
        <v>62</v>
      </c>
      <c r="R422" s="7" t="str">
        <f>TEXT(Table1[[#This Row],[Date]],"mmm yyyy")</f>
        <v>Apr 2026</v>
      </c>
      <c r="S422" s="9">
        <f>YEAR(Table1[[#This Row],[Date]])</f>
        <v>2026</v>
      </c>
      <c r="T422" s="9"/>
      <c r="U422" s="9"/>
    </row>
    <row r="423" spans="1:21" hidden="1" x14ac:dyDescent="0.3">
      <c r="A423" t="s">
        <v>786</v>
      </c>
      <c r="B423" s="6">
        <v>45952</v>
      </c>
      <c r="C423" t="s">
        <v>26</v>
      </c>
      <c r="D423" t="s">
        <v>72</v>
      </c>
      <c r="E423" t="s">
        <v>20</v>
      </c>
      <c r="F423" t="s">
        <v>419</v>
      </c>
      <c r="G423" t="s">
        <v>22</v>
      </c>
      <c r="J423" s="9">
        <v>0</v>
      </c>
      <c r="K423" s="7">
        <v>0</v>
      </c>
      <c r="L423" s="7">
        <v>0</v>
      </c>
      <c r="M423" s="9">
        <v>1</v>
      </c>
      <c r="N423" s="7">
        <v>9.9</v>
      </c>
      <c r="O423" s="7">
        <v>7.4</v>
      </c>
      <c r="P423" s="7">
        <v>2.7</v>
      </c>
      <c r="Q423" t="s">
        <v>39</v>
      </c>
      <c r="R423" s="7" t="str">
        <f>TEXT(Table1[[#This Row],[Date]],"mmm yyyy")</f>
        <v>Oct 2025</v>
      </c>
      <c r="S423" s="9">
        <f>YEAR(Table1[[#This Row],[Date]])</f>
        <v>2025</v>
      </c>
      <c r="T423" s="9"/>
      <c r="U423" s="9"/>
    </row>
    <row r="424" spans="1:21" x14ac:dyDescent="0.3">
      <c r="A424" t="s">
        <v>787</v>
      </c>
      <c r="B424" s="6">
        <v>46023</v>
      </c>
      <c r="C424" t="s">
        <v>18</v>
      </c>
      <c r="D424" t="s">
        <v>105</v>
      </c>
      <c r="E424" t="s">
        <v>37</v>
      </c>
      <c r="F424" t="s">
        <v>761</v>
      </c>
      <c r="G424" t="s">
        <v>22</v>
      </c>
      <c r="H424" t="s">
        <v>23</v>
      </c>
      <c r="I424" t="s">
        <v>55</v>
      </c>
      <c r="J424" s="9">
        <v>1</v>
      </c>
      <c r="K424" s="7">
        <v>23400</v>
      </c>
      <c r="L424" s="7">
        <v>0</v>
      </c>
      <c r="M424" s="9"/>
      <c r="N424" s="7">
        <v>11.5</v>
      </c>
      <c r="O424" s="7"/>
      <c r="P424" s="7"/>
      <c r="Q424" t="s">
        <v>55</v>
      </c>
      <c r="R424" s="7" t="str">
        <f>TEXT(Table1[[#This Row],[Date]],"mmm yyyy")</f>
        <v>Jan 2026</v>
      </c>
      <c r="S424" s="9">
        <f>YEAR(Table1[[#This Row],[Date]])</f>
        <v>2026</v>
      </c>
      <c r="T424" s="9"/>
      <c r="U424" s="9"/>
    </row>
    <row r="425" spans="1:21" x14ac:dyDescent="0.3">
      <c r="A425" t="s">
        <v>788</v>
      </c>
      <c r="B425" s="6">
        <v>46215</v>
      </c>
      <c r="C425" t="s">
        <v>18</v>
      </c>
      <c r="D425" t="s">
        <v>117</v>
      </c>
      <c r="E425" t="s">
        <v>42</v>
      </c>
      <c r="F425" t="s">
        <v>789</v>
      </c>
      <c r="G425" t="s">
        <v>44</v>
      </c>
      <c r="H425" t="s">
        <v>23</v>
      </c>
      <c r="I425" t="s">
        <v>24</v>
      </c>
      <c r="J425" s="9">
        <v>1</v>
      </c>
      <c r="K425" s="7">
        <v>48600</v>
      </c>
      <c r="L425" s="7">
        <v>48600</v>
      </c>
      <c r="M425" s="9"/>
      <c r="N425" s="7">
        <v>7.9</v>
      </c>
      <c r="O425" s="7"/>
      <c r="P425" s="7"/>
      <c r="Q425" t="s">
        <v>24</v>
      </c>
      <c r="R425" s="7" t="str">
        <f>TEXT(Table1[[#This Row],[Date]],"mmm yyyy")</f>
        <v>Jul 2026</v>
      </c>
      <c r="S425" s="9">
        <f>YEAR(Table1[[#This Row],[Date]])</f>
        <v>2026</v>
      </c>
      <c r="T425" s="9"/>
      <c r="U425" s="9"/>
    </row>
    <row r="426" spans="1:21" x14ac:dyDescent="0.3">
      <c r="A426" t="s">
        <v>790</v>
      </c>
      <c r="B426" s="6">
        <v>46028</v>
      </c>
      <c r="C426" t="s">
        <v>18</v>
      </c>
      <c r="D426" t="s">
        <v>117</v>
      </c>
      <c r="E426" t="s">
        <v>20</v>
      </c>
      <c r="F426" t="s">
        <v>73</v>
      </c>
      <c r="G426" t="s">
        <v>30</v>
      </c>
      <c r="H426" t="s">
        <v>23</v>
      </c>
      <c r="I426" t="s">
        <v>24</v>
      </c>
      <c r="J426" s="9">
        <v>1</v>
      </c>
      <c r="K426" s="7">
        <v>21300</v>
      </c>
      <c r="L426" s="7">
        <v>21300</v>
      </c>
      <c r="M426" s="9"/>
      <c r="N426" s="7">
        <v>12.4</v>
      </c>
      <c r="O426" s="7"/>
      <c r="P426" s="7"/>
      <c r="Q426" t="s">
        <v>24</v>
      </c>
      <c r="R426" s="7" t="str">
        <f>TEXT(Table1[[#This Row],[Date]],"mmm yyyy")</f>
        <v>Jan 2026</v>
      </c>
      <c r="S426" s="9">
        <f>YEAR(Table1[[#This Row],[Date]])</f>
        <v>2026</v>
      </c>
      <c r="T426" s="9"/>
      <c r="U426" s="9"/>
    </row>
    <row r="427" spans="1:21" x14ac:dyDescent="0.3">
      <c r="A427" t="s">
        <v>791</v>
      </c>
      <c r="B427" s="6">
        <v>46047</v>
      </c>
      <c r="C427" t="s">
        <v>18</v>
      </c>
      <c r="D427" t="s">
        <v>19</v>
      </c>
      <c r="E427" t="s">
        <v>37</v>
      </c>
      <c r="F427" t="s">
        <v>572</v>
      </c>
      <c r="G427" t="s">
        <v>22</v>
      </c>
      <c r="H427" t="s">
        <v>54</v>
      </c>
      <c r="I427" t="s">
        <v>79</v>
      </c>
      <c r="J427" s="9">
        <v>1</v>
      </c>
      <c r="K427" s="7">
        <v>31600</v>
      </c>
      <c r="L427" s="7">
        <v>0</v>
      </c>
      <c r="M427" s="9"/>
      <c r="N427" s="7">
        <v>6.7</v>
      </c>
      <c r="O427" s="7"/>
      <c r="P427" s="7"/>
      <c r="Q427" t="s">
        <v>79</v>
      </c>
      <c r="R427" s="7" t="str">
        <f>TEXT(Table1[[#This Row],[Date]],"mmm yyyy")</f>
        <v>Jan 2026</v>
      </c>
      <c r="S427" s="9">
        <f>YEAR(Table1[[#This Row],[Date]])</f>
        <v>2026</v>
      </c>
      <c r="T427" s="9"/>
      <c r="U427" s="9"/>
    </row>
    <row r="428" spans="1:21" x14ac:dyDescent="0.3">
      <c r="A428" t="s">
        <v>792</v>
      </c>
      <c r="B428" s="6">
        <v>45964</v>
      </c>
      <c r="C428" t="s">
        <v>18</v>
      </c>
      <c r="D428" t="s">
        <v>41</v>
      </c>
      <c r="E428" t="s">
        <v>48</v>
      </c>
      <c r="F428" t="s">
        <v>793</v>
      </c>
      <c r="G428" t="s">
        <v>22</v>
      </c>
      <c r="H428" t="s">
        <v>66</v>
      </c>
      <c r="I428" t="s">
        <v>89</v>
      </c>
      <c r="J428" s="9">
        <v>1</v>
      </c>
      <c r="K428" s="7">
        <v>6000</v>
      </c>
      <c r="L428" s="7">
        <v>0</v>
      </c>
      <c r="M428" s="9"/>
      <c r="N428" s="7">
        <v>1</v>
      </c>
      <c r="O428" s="7"/>
      <c r="P428" s="7"/>
      <c r="Q428" t="s">
        <v>89</v>
      </c>
      <c r="R428" s="7" t="str">
        <f>TEXT(Table1[[#This Row],[Date]],"mmm yyyy")</f>
        <v>Nov 2025</v>
      </c>
      <c r="S428" s="9">
        <f>YEAR(Table1[[#This Row],[Date]])</f>
        <v>2025</v>
      </c>
      <c r="T428" s="9"/>
      <c r="U428" s="9"/>
    </row>
    <row r="429" spans="1:21" hidden="1" x14ac:dyDescent="0.3">
      <c r="A429" t="s">
        <v>794</v>
      </c>
      <c r="B429" s="6">
        <v>46064</v>
      </c>
      <c r="C429" t="s">
        <v>26</v>
      </c>
      <c r="D429" t="s">
        <v>69</v>
      </c>
      <c r="E429" t="s">
        <v>28</v>
      </c>
      <c r="F429" t="s">
        <v>402</v>
      </c>
      <c r="G429" t="s">
        <v>30</v>
      </c>
      <c r="J429" s="9">
        <v>0</v>
      </c>
      <c r="K429" s="7">
        <v>0</v>
      </c>
      <c r="L429" s="7">
        <v>0</v>
      </c>
      <c r="M429" s="9">
        <v>1</v>
      </c>
      <c r="N429" s="7">
        <v>1.6</v>
      </c>
      <c r="O429" s="7">
        <v>6.8</v>
      </c>
      <c r="P429" s="7">
        <v>3.3</v>
      </c>
      <c r="Q429" t="s">
        <v>39</v>
      </c>
      <c r="R429" s="7" t="str">
        <f>TEXT(Table1[[#This Row],[Date]],"mmm yyyy")</f>
        <v>Feb 2026</v>
      </c>
      <c r="S429" s="9">
        <f>YEAR(Table1[[#This Row],[Date]])</f>
        <v>2026</v>
      </c>
      <c r="T429" s="9"/>
      <c r="U429" s="9"/>
    </row>
    <row r="430" spans="1:21" x14ac:dyDescent="0.3">
      <c r="A430" t="s">
        <v>795</v>
      </c>
      <c r="B430" s="6">
        <v>45951</v>
      </c>
      <c r="C430" t="s">
        <v>18</v>
      </c>
      <c r="D430" t="s">
        <v>95</v>
      </c>
      <c r="E430" t="s">
        <v>20</v>
      </c>
      <c r="F430" t="s">
        <v>796</v>
      </c>
      <c r="G430" t="s">
        <v>44</v>
      </c>
      <c r="H430" t="s">
        <v>54</v>
      </c>
      <c r="I430" t="s">
        <v>24</v>
      </c>
      <c r="J430" s="9">
        <v>1</v>
      </c>
      <c r="K430" s="7">
        <v>41600</v>
      </c>
      <c r="L430" s="7">
        <v>41600</v>
      </c>
      <c r="M430" s="9"/>
      <c r="N430" s="7">
        <v>11.4</v>
      </c>
      <c r="O430" s="7"/>
      <c r="P430" s="7"/>
      <c r="Q430" t="s">
        <v>24</v>
      </c>
      <c r="R430" s="7" t="str">
        <f>TEXT(Table1[[#This Row],[Date]],"mmm yyyy")</f>
        <v>Oct 2025</v>
      </c>
      <c r="S430" s="9">
        <f>YEAR(Table1[[#This Row],[Date]])</f>
        <v>2025</v>
      </c>
      <c r="T430" s="9"/>
      <c r="U430" s="9"/>
    </row>
    <row r="431" spans="1:21" x14ac:dyDescent="0.3">
      <c r="A431" t="s">
        <v>797</v>
      </c>
      <c r="B431" s="6">
        <v>46130</v>
      </c>
      <c r="C431" t="s">
        <v>18</v>
      </c>
      <c r="D431" t="s">
        <v>52</v>
      </c>
      <c r="E431" t="s">
        <v>42</v>
      </c>
      <c r="F431" t="s">
        <v>246</v>
      </c>
      <c r="G431" t="s">
        <v>30</v>
      </c>
      <c r="H431" t="s">
        <v>78</v>
      </c>
      <c r="I431" t="s">
        <v>55</v>
      </c>
      <c r="J431" s="9">
        <v>1</v>
      </c>
      <c r="K431" s="7">
        <v>20900</v>
      </c>
      <c r="L431" s="7">
        <v>0</v>
      </c>
      <c r="M431" s="9"/>
      <c r="N431" s="7">
        <v>11.7</v>
      </c>
      <c r="O431" s="7"/>
      <c r="P431" s="7"/>
      <c r="Q431" t="s">
        <v>55</v>
      </c>
      <c r="R431" s="7" t="str">
        <f>TEXT(Table1[[#This Row],[Date]],"mmm yyyy")</f>
        <v>Apr 2026</v>
      </c>
      <c r="S431" s="9">
        <f>YEAR(Table1[[#This Row],[Date]])</f>
        <v>2026</v>
      </c>
      <c r="T431" s="9"/>
      <c r="U431" s="9"/>
    </row>
    <row r="432" spans="1:21" x14ac:dyDescent="0.3">
      <c r="A432" t="s">
        <v>798</v>
      </c>
      <c r="B432" s="6">
        <v>46118</v>
      </c>
      <c r="C432" t="s">
        <v>18</v>
      </c>
      <c r="D432" t="s">
        <v>19</v>
      </c>
      <c r="E432" t="s">
        <v>37</v>
      </c>
      <c r="F432" t="s">
        <v>799</v>
      </c>
      <c r="G432" t="s">
        <v>22</v>
      </c>
      <c r="H432" t="s">
        <v>78</v>
      </c>
      <c r="I432" t="s">
        <v>45</v>
      </c>
      <c r="J432" s="9">
        <v>1</v>
      </c>
      <c r="K432" s="7">
        <v>26200</v>
      </c>
      <c r="L432" s="7">
        <v>0</v>
      </c>
      <c r="M432" s="9"/>
      <c r="N432" s="7">
        <v>16.2</v>
      </c>
      <c r="O432" s="7"/>
      <c r="P432" s="7"/>
      <c r="Q432" t="s">
        <v>45</v>
      </c>
      <c r="R432" s="7" t="str">
        <f>TEXT(Table1[[#This Row],[Date]],"mmm yyyy")</f>
        <v>Apr 2026</v>
      </c>
      <c r="S432" s="9">
        <f>YEAR(Table1[[#This Row],[Date]])</f>
        <v>2026</v>
      </c>
      <c r="T432" s="9"/>
      <c r="U432" s="9"/>
    </row>
    <row r="433" spans="1:21" hidden="1" x14ac:dyDescent="0.3">
      <c r="A433" t="s">
        <v>800</v>
      </c>
      <c r="B433" s="6">
        <v>46044</v>
      </c>
      <c r="C433" t="s">
        <v>26</v>
      </c>
      <c r="D433" t="s">
        <v>69</v>
      </c>
      <c r="E433" t="s">
        <v>20</v>
      </c>
      <c r="F433" t="s">
        <v>801</v>
      </c>
      <c r="G433" t="s">
        <v>50</v>
      </c>
      <c r="J433" s="9">
        <v>0</v>
      </c>
      <c r="K433" s="7">
        <v>0</v>
      </c>
      <c r="L433" s="7">
        <v>0</v>
      </c>
      <c r="M433" s="9">
        <v>1</v>
      </c>
      <c r="N433" s="7">
        <v>10.7</v>
      </c>
      <c r="O433" s="7">
        <v>1.7</v>
      </c>
      <c r="P433" s="7">
        <v>2.8</v>
      </c>
      <c r="Q433" t="s">
        <v>39</v>
      </c>
      <c r="R433" s="7" t="str">
        <f>TEXT(Table1[[#This Row],[Date]],"mmm yyyy")</f>
        <v>Jan 2026</v>
      </c>
      <c r="S433" s="9">
        <f>YEAR(Table1[[#This Row],[Date]])</f>
        <v>2026</v>
      </c>
      <c r="T433" s="9"/>
      <c r="U433" s="9"/>
    </row>
    <row r="434" spans="1:21" hidden="1" x14ac:dyDescent="0.3">
      <c r="A434" t="s">
        <v>802</v>
      </c>
      <c r="B434" s="6">
        <v>46055</v>
      </c>
      <c r="C434" t="s">
        <v>26</v>
      </c>
      <c r="D434" t="s">
        <v>126</v>
      </c>
      <c r="E434" t="s">
        <v>28</v>
      </c>
      <c r="F434" t="s">
        <v>713</v>
      </c>
      <c r="G434" t="s">
        <v>30</v>
      </c>
      <c r="J434" s="9">
        <v>0</v>
      </c>
      <c r="K434" s="7">
        <v>0</v>
      </c>
      <c r="L434" s="7">
        <v>0</v>
      </c>
      <c r="M434" s="9">
        <v>1</v>
      </c>
      <c r="N434" s="7">
        <v>10.1</v>
      </c>
      <c r="O434" s="7">
        <v>10.199999999999999</v>
      </c>
      <c r="P434" s="7">
        <v>3.8</v>
      </c>
      <c r="Q434" t="s">
        <v>62</v>
      </c>
      <c r="R434" s="7" t="str">
        <f>TEXT(Table1[[#This Row],[Date]],"mmm yyyy")</f>
        <v>Feb 2026</v>
      </c>
      <c r="S434" s="9">
        <f>YEAR(Table1[[#This Row],[Date]])</f>
        <v>2026</v>
      </c>
      <c r="T434" s="9"/>
      <c r="U434" s="9"/>
    </row>
    <row r="435" spans="1:21" x14ac:dyDescent="0.3">
      <c r="A435" t="s">
        <v>803</v>
      </c>
      <c r="B435" s="6">
        <v>46220</v>
      </c>
      <c r="C435" t="s">
        <v>18</v>
      </c>
      <c r="D435" t="s">
        <v>64</v>
      </c>
      <c r="E435" t="s">
        <v>20</v>
      </c>
      <c r="F435" t="s">
        <v>536</v>
      </c>
      <c r="G435" t="s">
        <v>22</v>
      </c>
      <c r="H435" t="s">
        <v>54</v>
      </c>
      <c r="I435" t="s">
        <v>24</v>
      </c>
      <c r="J435" s="9">
        <v>1</v>
      </c>
      <c r="K435" s="7">
        <v>139800</v>
      </c>
      <c r="L435" s="7">
        <v>139800</v>
      </c>
      <c r="M435" s="9"/>
      <c r="N435" s="7">
        <v>15.3</v>
      </c>
      <c r="O435" s="7"/>
      <c r="P435" s="7"/>
      <c r="Q435" t="s">
        <v>24</v>
      </c>
      <c r="R435" s="7" t="str">
        <f>TEXT(Table1[[#This Row],[Date]],"mmm yyyy")</f>
        <v>Jul 2026</v>
      </c>
      <c r="S435" s="9">
        <f>YEAR(Table1[[#This Row],[Date]])</f>
        <v>2026</v>
      </c>
      <c r="T435" s="9"/>
      <c r="U435" s="9"/>
    </row>
    <row r="436" spans="1:21" x14ac:dyDescent="0.3">
      <c r="A436" t="s">
        <v>804</v>
      </c>
      <c r="B436" s="6">
        <v>45993</v>
      </c>
      <c r="C436" t="s">
        <v>18</v>
      </c>
      <c r="D436" t="s">
        <v>19</v>
      </c>
      <c r="E436" t="s">
        <v>48</v>
      </c>
      <c r="F436" t="s">
        <v>805</v>
      </c>
      <c r="G436" t="s">
        <v>30</v>
      </c>
      <c r="H436" t="s">
        <v>86</v>
      </c>
      <c r="I436" t="s">
        <v>89</v>
      </c>
      <c r="J436" s="9">
        <v>1</v>
      </c>
      <c r="K436" s="7">
        <v>28100</v>
      </c>
      <c r="L436" s="7">
        <v>0</v>
      </c>
      <c r="M436" s="9"/>
      <c r="N436" s="7">
        <v>4.9000000000000004</v>
      </c>
      <c r="O436" s="7"/>
      <c r="P436" s="7"/>
      <c r="Q436" t="s">
        <v>89</v>
      </c>
      <c r="R436" s="7" t="str">
        <f>TEXT(Table1[[#This Row],[Date]],"mmm yyyy")</f>
        <v>Dec 2025</v>
      </c>
      <c r="S436" s="9">
        <f>YEAR(Table1[[#This Row],[Date]])</f>
        <v>2025</v>
      </c>
      <c r="T436" s="9"/>
      <c r="U436" s="9"/>
    </row>
    <row r="437" spans="1:21" hidden="1" x14ac:dyDescent="0.3">
      <c r="A437" t="s">
        <v>806</v>
      </c>
      <c r="B437" s="6">
        <v>45937</v>
      </c>
      <c r="C437" t="s">
        <v>26</v>
      </c>
      <c r="D437" t="s">
        <v>114</v>
      </c>
      <c r="E437" t="s">
        <v>20</v>
      </c>
      <c r="F437" t="s">
        <v>807</v>
      </c>
      <c r="G437" t="s">
        <v>44</v>
      </c>
      <c r="J437" s="9">
        <v>0</v>
      </c>
      <c r="K437" s="7">
        <v>0</v>
      </c>
      <c r="L437" s="7">
        <v>0</v>
      </c>
      <c r="M437" s="9">
        <v>1</v>
      </c>
      <c r="N437" s="7">
        <v>0.3</v>
      </c>
      <c r="O437" s="7">
        <v>5</v>
      </c>
      <c r="P437" s="7">
        <v>4.2</v>
      </c>
      <c r="Q437" t="s">
        <v>31</v>
      </c>
      <c r="R437" s="7" t="str">
        <f>TEXT(Table1[[#This Row],[Date]],"mmm yyyy")</f>
        <v>Oct 2025</v>
      </c>
      <c r="S437" s="9">
        <f>YEAR(Table1[[#This Row],[Date]])</f>
        <v>2025</v>
      </c>
      <c r="T437" s="9"/>
      <c r="U437" s="9"/>
    </row>
    <row r="438" spans="1:21" x14ac:dyDescent="0.3">
      <c r="A438" t="s">
        <v>808</v>
      </c>
      <c r="B438" s="6">
        <v>46125</v>
      </c>
      <c r="C438" t="s">
        <v>18</v>
      </c>
      <c r="D438" t="s">
        <v>105</v>
      </c>
      <c r="E438" t="s">
        <v>48</v>
      </c>
      <c r="F438" t="s">
        <v>809</v>
      </c>
      <c r="G438" t="s">
        <v>50</v>
      </c>
      <c r="H438" t="s">
        <v>66</v>
      </c>
      <c r="I438" t="s">
        <v>45</v>
      </c>
      <c r="J438" s="9">
        <v>1</v>
      </c>
      <c r="K438" s="7">
        <v>37400</v>
      </c>
      <c r="L438" s="7">
        <v>0</v>
      </c>
      <c r="M438" s="9"/>
      <c r="N438" s="7">
        <v>17.3</v>
      </c>
      <c r="O438" s="7"/>
      <c r="P438" s="7"/>
      <c r="Q438" t="s">
        <v>45</v>
      </c>
      <c r="R438" s="7" t="str">
        <f>TEXT(Table1[[#This Row],[Date]],"mmm yyyy")</f>
        <v>Apr 2026</v>
      </c>
      <c r="S438" s="9">
        <f>YEAR(Table1[[#This Row],[Date]])</f>
        <v>2026</v>
      </c>
      <c r="T438" s="9"/>
      <c r="U438" s="9"/>
    </row>
    <row r="439" spans="1:21" hidden="1" x14ac:dyDescent="0.3">
      <c r="A439" t="s">
        <v>810</v>
      </c>
      <c r="B439" s="6">
        <v>46121</v>
      </c>
      <c r="C439" t="s">
        <v>26</v>
      </c>
      <c r="D439" t="s">
        <v>232</v>
      </c>
      <c r="E439" t="s">
        <v>37</v>
      </c>
      <c r="F439" t="s">
        <v>222</v>
      </c>
      <c r="G439" t="s">
        <v>30</v>
      </c>
      <c r="J439" s="9">
        <v>0</v>
      </c>
      <c r="K439" s="7">
        <v>0</v>
      </c>
      <c r="L439" s="7">
        <v>0</v>
      </c>
      <c r="M439" s="9">
        <v>1</v>
      </c>
      <c r="N439" s="7">
        <v>1.6</v>
      </c>
      <c r="O439" s="7">
        <v>9.5</v>
      </c>
      <c r="P439" s="7">
        <v>3.7</v>
      </c>
      <c r="Q439" t="s">
        <v>31</v>
      </c>
      <c r="R439" s="7" t="str">
        <f>TEXT(Table1[[#This Row],[Date]],"mmm yyyy")</f>
        <v>Apr 2026</v>
      </c>
      <c r="S439" s="9">
        <f>YEAR(Table1[[#This Row],[Date]])</f>
        <v>2026</v>
      </c>
      <c r="T439" s="9"/>
      <c r="U439" s="9"/>
    </row>
    <row r="440" spans="1:21" hidden="1" x14ac:dyDescent="0.3">
      <c r="A440" t="s">
        <v>811</v>
      </c>
      <c r="B440" s="6">
        <v>46029</v>
      </c>
      <c r="C440" t="s">
        <v>26</v>
      </c>
      <c r="D440" t="s">
        <v>27</v>
      </c>
      <c r="E440" t="s">
        <v>20</v>
      </c>
      <c r="F440" t="s">
        <v>566</v>
      </c>
      <c r="G440" t="s">
        <v>22</v>
      </c>
      <c r="J440" s="9">
        <v>0</v>
      </c>
      <c r="K440" s="7">
        <v>0</v>
      </c>
      <c r="L440" s="7">
        <v>0</v>
      </c>
      <c r="M440" s="9">
        <v>1</v>
      </c>
      <c r="N440" s="7">
        <v>4</v>
      </c>
      <c r="O440" s="7">
        <v>2.6</v>
      </c>
      <c r="P440" s="7">
        <v>3.5</v>
      </c>
      <c r="Q440" t="s">
        <v>31</v>
      </c>
      <c r="R440" s="7" t="str">
        <f>TEXT(Table1[[#This Row],[Date]],"mmm yyyy")</f>
        <v>Jan 2026</v>
      </c>
      <c r="S440" s="9">
        <f>YEAR(Table1[[#This Row],[Date]])</f>
        <v>2026</v>
      </c>
      <c r="T440" s="9"/>
      <c r="U440" s="9"/>
    </row>
    <row r="441" spans="1:21" x14ac:dyDescent="0.3">
      <c r="A441" t="s">
        <v>812</v>
      </c>
      <c r="B441" s="6">
        <v>46214</v>
      </c>
      <c r="C441" t="s">
        <v>18</v>
      </c>
      <c r="D441" t="s">
        <v>52</v>
      </c>
      <c r="E441" t="s">
        <v>37</v>
      </c>
      <c r="F441" t="s">
        <v>638</v>
      </c>
      <c r="G441" t="s">
        <v>44</v>
      </c>
      <c r="H441" t="s">
        <v>23</v>
      </c>
      <c r="I441" t="s">
        <v>24</v>
      </c>
      <c r="J441" s="9">
        <v>1</v>
      </c>
      <c r="K441" s="7">
        <v>44600</v>
      </c>
      <c r="L441" s="7">
        <v>44600</v>
      </c>
      <c r="M441" s="9"/>
      <c r="N441" s="7">
        <v>7.2</v>
      </c>
      <c r="O441" s="7"/>
      <c r="P441" s="7"/>
      <c r="Q441" t="s">
        <v>24</v>
      </c>
      <c r="R441" s="7" t="str">
        <f>TEXT(Table1[[#This Row],[Date]],"mmm yyyy")</f>
        <v>Jul 2026</v>
      </c>
      <c r="S441" s="9">
        <f>YEAR(Table1[[#This Row],[Date]])</f>
        <v>2026</v>
      </c>
      <c r="T441" s="9"/>
      <c r="U441" s="9"/>
    </row>
    <row r="442" spans="1:21" x14ac:dyDescent="0.3">
      <c r="A442" t="s">
        <v>813</v>
      </c>
      <c r="B442" s="6">
        <v>45965</v>
      </c>
      <c r="C442" t="s">
        <v>18</v>
      </c>
      <c r="D442" t="s">
        <v>95</v>
      </c>
      <c r="E442" t="s">
        <v>20</v>
      </c>
      <c r="F442" t="s">
        <v>814</v>
      </c>
      <c r="G442" t="s">
        <v>22</v>
      </c>
      <c r="H442" t="s">
        <v>66</v>
      </c>
      <c r="I442" t="s">
        <v>24</v>
      </c>
      <c r="J442" s="9">
        <v>1</v>
      </c>
      <c r="K442" s="7">
        <v>13000</v>
      </c>
      <c r="L442" s="7">
        <v>13000</v>
      </c>
      <c r="M442" s="9"/>
      <c r="N442" s="7">
        <v>15.1</v>
      </c>
      <c r="O442" s="7"/>
      <c r="P442" s="7"/>
      <c r="Q442" t="s">
        <v>24</v>
      </c>
      <c r="R442" s="7" t="str">
        <f>TEXT(Table1[[#This Row],[Date]],"mmm yyyy")</f>
        <v>Nov 2025</v>
      </c>
      <c r="S442" s="9">
        <f>YEAR(Table1[[#This Row],[Date]])</f>
        <v>2025</v>
      </c>
      <c r="T442" s="9"/>
      <c r="U442" s="9"/>
    </row>
    <row r="443" spans="1:21" hidden="1" x14ac:dyDescent="0.3">
      <c r="A443" t="s">
        <v>815</v>
      </c>
      <c r="B443" s="6">
        <v>46201</v>
      </c>
      <c r="C443" t="s">
        <v>26</v>
      </c>
      <c r="D443" t="s">
        <v>33</v>
      </c>
      <c r="E443" t="s">
        <v>42</v>
      </c>
      <c r="F443" t="s">
        <v>304</v>
      </c>
      <c r="G443" t="s">
        <v>22</v>
      </c>
      <c r="J443" s="9">
        <v>0</v>
      </c>
      <c r="K443" s="7">
        <v>0</v>
      </c>
      <c r="L443" s="7">
        <v>0</v>
      </c>
      <c r="M443" s="9">
        <v>1</v>
      </c>
      <c r="N443" s="7">
        <v>9.1</v>
      </c>
      <c r="O443" s="7">
        <v>13.1</v>
      </c>
      <c r="P443" s="7">
        <v>4.5999999999999996</v>
      </c>
      <c r="Q443" t="s">
        <v>39</v>
      </c>
      <c r="R443" s="7" t="str">
        <f>TEXT(Table1[[#This Row],[Date]],"mmm yyyy")</f>
        <v>Jun 2026</v>
      </c>
      <c r="S443" s="9">
        <f>YEAR(Table1[[#This Row],[Date]])</f>
        <v>2026</v>
      </c>
      <c r="T443" s="9"/>
      <c r="U443" s="9"/>
    </row>
    <row r="444" spans="1:21" x14ac:dyDescent="0.3">
      <c r="A444" t="s">
        <v>816</v>
      </c>
      <c r="B444" s="6">
        <v>46143</v>
      </c>
      <c r="C444" t="s">
        <v>18</v>
      </c>
      <c r="D444" t="s">
        <v>41</v>
      </c>
      <c r="E444" t="s">
        <v>20</v>
      </c>
      <c r="F444" t="s">
        <v>805</v>
      </c>
      <c r="G444" t="s">
        <v>44</v>
      </c>
      <c r="H444" t="s">
        <v>78</v>
      </c>
      <c r="I444" t="s">
        <v>67</v>
      </c>
      <c r="J444" s="9">
        <v>1</v>
      </c>
      <c r="K444" s="7">
        <v>22000</v>
      </c>
      <c r="L444" s="7">
        <v>0</v>
      </c>
      <c r="M444" s="9"/>
      <c r="N444" s="7">
        <v>21.9</v>
      </c>
      <c r="O444" s="7"/>
      <c r="P444" s="7"/>
      <c r="Q444" t="s">
        <v>67</v>
      </c>
      <c r="R444" s="7" t="str">
        <f>TEXT(Table1[[#This Row],[Date]],"mmm yyyy")</f>
        <v>May 2026</v>
      </c>
      <c r="S444" s="9">
        <f>YEAR(Table1[[#This Row],[Date]])</f>
        <v>2026</v>
      </c>
      <c r="T444" s="9"/>
      <c r="U444" s="9"/>
    </row>
    <row r="445" spans="1:21" x14ac:dyDescent="0.3">
      <c r="A445" t="s">
        <v>817</v>
      </c>
      <c r="B445" s="6">
        <v>46225</v>
      </c>
      <c r="C445" t="s">
        <v>18</v>
      </c>
      <c r="D445" t="s">
        <v>64</v>
      </c>
      <c r="E445" t="s">
        <v>20</v>
      </c>
      <c r="F445" t="s">
        <v>818</v>
      </c>
      <c r="G445" t="s">
        <v>22</v>
      </c>
      <c r="H445" t="s">
        <v>23</v>
      </c>
      <c r="I445" t="s">
        <v>45</v>
      </c>
      <c r="J445" s="9">
        <v>1</v>
      </c>
      <c r="K445" s="7">
        <v>6700</v>
      </c>
      <c r="L445" s="7">
        <v>0</v>
      </c>
      <c r="M445" s="9"/>
      <c r="N445" s="7">
        <v>22</v>
      </c>
      <c r="O445" s="7"/>
      <c r="P445" s="7"/>
      <c r="Q445" t="s">
        <v>45</v>
      </c>
      <c r="R445" s="7" t="str">
        <f>TEXT(Table1[[#This Row],[Date]],"mmm yyyy")</f>
        <v>Jul 2026</v>
      </c>
      <c r="S445" s="9">
        <f>YEAR(Table1[[#This Row],[Date]])</f>
        <v>2026</v>
      </c>
      <c r="T445" s="9"/>
      <c r="U445" s="9"/>
    </row>
    <row r="446" spans="1:21" hidden="1" x14ac:dyDescent="0.3">
      <c r="A446" t="s">
        <v>819</v>
      </c>
      <c r="B446" s="6">
        <v>45907</v>
      </c>
      <c r="C446" t="s">
        <v>26</v>
      </c>
      <c r="D446" t="s">
        <v>36</v>
      </c>
      <c r="E446" t="s">
        <v>28</v>
      </c>
      <c r="F446" t="s">
        <v>820</v>
      </c>
      <c r="G446" t="s">
        <v>50</v>
      </c>
      <c r="J446" s="9">
        <v>0</v>
      </c>
      <c r="K446" s="7">
        <v>0</v>
      </c>
      <c r="L446" s="7">
        <v>0</v>
      </c>
      <c r="M446" s="9">
        <v>1</v>
      </c>
      <c r="N446" s="7">
        <v>2.5</v>
      </c>
      <c r="O446" s="7">
        <v>3.1</v>
      </c>
      <c r="P446" s="7">
        <v>4.4000000000000004</v>
      </c>
      <c r="Q446" t="s">
        <v>62</v>
      </c>
      <c r="R446" s="7" t="str">
        <f>TEXT(Table1[[#This Row],[Date]],"mmm yyyy")</f>
        <v>Sep 2025</v>
      </c>
      <c r="S446" s="9">
        <f>YEAR(Table1[[#This Row],[Date]])</f>
        <v>2025</v>
      </c>
      <c r="T446" s="9"/>
      <c r="U446" s="9"/>
    </row>
    <row r="447" spans="1:21" hidden="1" x14ac:dyDescent="0.3">
      <c r="A447" t="s">
        <v>821</v>
      </c>
      <c r="B447" s="6">
        <v>46017</v>
      </c>
      <c r="C447" t="s">
        <v>26</v>
      </c>
      <c r="D447" t="s">
        <v>36</v>
      </c>
      <c r="E447" t="s">
        <v>42</v>
      </c>
      <c r="F447" t="s">
        <v>435</v>
      </c>
      <c r="G447" t="s">
        <v>22</v>
      </c>
      <c r="J447" s="9">
        <v>0</v>
      </c>
      <c r="K447" s="7">
        <v>0</v>
      </c>
      <c r="L447" s="7">
        <v>0</v>
      </c>
      <c r="M447" s="9">
        <v>1</v>
      </c>
      <c r="N447" s="7">
        <v>2.2999999999999998</v>
      </c>
      <c r="O447" s="7">
        <v>5.0999999999999996</v>
      </c>
      <c r="P447" s="7">
        <v>4.5</v>
      </c>
      <c r="Q447" t="s">
        <v>39</v>
      </c>
      <c r="R447" s="7" t="str">
        <f>TEXT(Table1[[#This Row],[Date]],"mmm yyyy")</f>
        <v>Dec 2025</v>
      </c>
      <c r="S447" s="9">
        <f>YEAR(Table1[[#This Row],[Date]])</f>
        <v>2025</v>
      </c>
      <c r="T447" s="9"/>
      <c r="U447" s="9"/>
    </row>
    <row r="448" spans="1:21" hidden="1" x14ac:dyDescent="0.3">
      <c r="A448" t="s">
        <v>822</v>
      </c>
      <c r="B448" s="6">
        <v>46117</v>
      </c>
      <c r="C448" t="s">
        <v>26</v>
      </c>
      <c r="D448" t="s">
        <v>114</v>
      </c>
      <c r="E448" t="s">
        <v>48</v>
      </c>
      <c r="F448" t="s">
        <v>286</v>
      </c>
      <c r="G448" t="s">
        <v>22</v>
      </c>
      <c r="J448" s="9">
        <v>0</v>
      </c>
      <c r="K448" s="7">
        <v>0</v>
      </c>
      <c r="L448" s="7">
        <v>0</v>
      </c>
      <c r="M448" s="9">
        <v>1</v>
      </c>
      <c r="N448" s="7">
        <v>5.0999999999999996</v>
      </c>
      <c r="O448" s="7">
        <v>22.1</v>
      </c>
      <c r="P448" s="7">
        <v>3.9</v>
      </c>
      <c r="Q448" t="s">
        <v>31</v>
      </c>
      <c r="R448" s="7" t="str">
        <f>TEXT(Table1[[#This Row],[Date]],"mmm yyyy")</f>
        <v>Apr 2026</v>
      </c>
      <c r="S448" s="9">
        <f>YEAR(Table1[[#This Row],[Date]])</f>
        <v>2026</v>
      </c>
      <c r="T448" s="9"/>
      <c r="U448" s="9"/>
    </row>
    <row r="449" spans="1:21" hidden="1" x14ac:dyDescent="0.3">
      <c r="A449" t="s">
        <v>823</v>
      </c>
      <c r="B449" s="6">
        <v>46256</v>
      </c>
      <c r="C449" t="s">
        <v>26</v>
      </c>
      <c r="D449" t="s">
        <v>27</v>
      </c>
      <c r="E449" t="s">
        <v>20</v>
      </c>
      <c r="F449" t="s">
        <v>184</v>
      </c>
      <c r="G449" t="s">
        <v>44</v>
      </c>
      <c r="J449" s="9">
        <v>0</v>
      </c>
      <c r="K449" s="7">
        <v>0</v>
      </c>
      <c r="L449" s="7">
        <v>0</v>
      </c>
      <c r="M449" s="9">
        <v>1</v>
      </c>
      <c r="N449" s="7">
        <v>4.3</v>
      </c>
      <c r="O449" s="7">
        <v>10.199999999999999</v>
      </c>
      <c r="P449" s="7">
        <v>3.8</v>
      </c>
      <c r="Q449" t="s">
        <v>225</v>
      </c>
      <c r="R449" s="7" t="str">
        <f>TEXT(Table1[[#This Row],[Date]],"mmm yyyy")</f>
        <v>Aug 2026</v>
      </c>
      <c r="S449" s="9">
        <f>YEAR(Table1[[#This Row],[Date]])</f>
        <v>2026</v>
      </c>
      <c r="T449" s="9"/>
      <c r="U449" s="9"/>
    </row>
    <row r="450" spans="1:21" x14ac:dyDescent="0.3">
      <c r="A450" t="s">
        <v>824</v>
      </c>
      <c r="B450" s="6">
        <v>46200</v>
      </c>
      <c r="C450" t="s">
        <v>18</v>
      </c>
      <c r="D450" t="s">
        <v>117</v>
      </c>
      <c r="E450" t="s">
        <v>48</v>
      </c>
      <c r="F450" t="s">
        <v>825</v>
      </c>
      <c r="G450" t="s">
        <v>30</v>
      </c>
      <c r="H450" t="s">
        <v>23</v>
      </c>
      <c r="I450" t="s">
        <v>79</v>
      </c>
      <c r="J450" s="9">
        <v>1</v>
      </c>
      <c r="K450" s="7">
        <v>104400</v>
      </c>
      <c r="L450" s="7">
        <v>0</v>
      </c>
      <c r="M450" s="9"/>
      <c r="N450" s="7">
        <v>13.9</v>
      </c>
      <c r="O450" s="7"/>
      <c r="P450" s="7"/>
      <c r="Q450" t="s">
        <v>79</v>
      </c>
      <c r="R450" s="7" t="str">
        <f>TEXT(Table1[[#This Row],[Date]],"mmm yyyy")</f>
        <v>Jun 2026</v>
      </c>
      <c r="S450" s="9">
        <f>YEAR(Table1[[#This Row],[Date]])</f>
        <v>2026</v>
      </c>
      <c r="T450" s="9"/>
      <c r="U450" s="9"/>
    </row>
    <row r="451" spans="1:21" x14ac:dyDescent="0.3">
      <c r="A451" t="s">
        <v>826</v>
      </c>
      <c r="B451" s="6">
        <v>45973</v>
      </c>
      <c r="C451" t="s">
        <v>18</v>
      </c>
      <c r="D451" t="s">
        <v>117</v>
      </c>
      <c r="E451" t="s">
        <v>20</v>
      </c>
      <c r="F451" t="s">
        <v>827</v>
      </c>
      <c r="G451" t="s">
        <v>22</v>
      </c>
      <c r="H451" t="s">
        <v>23</v>
      </c>
      <c r="I451" t="s">
        <v>45</v>
      </c>
      <c r="J451" s="9">
        <v>1</v>
      </c>
      <c r="K451" s="7">
        <v>9900</v>
      </c>
      <c r="L451" s="7">
        <v>0</v>
      </c>
      <c r="M451" s="9"/>
      <c r="N451" s="7">
        <v>3.6</v>
      </c>
      <c r="O451" s="7"/>
      <c r="P451" s="7"/>
      <c r="Q451" t="s">
        <v>45</v>
      </c>
      <c r="R451" s="7" t="str">
        <f>TEXT(Table1[[#This Row],[Date]],"mmm yyyy")</f>
        <v>Nov 2025</v>
      </c>
      <c r="S451" s="9">
        <f>YEAR(Table1[[#This Row],[Date]])</f>
        <v>2025</v>
      </c>
      <c r="T451" s="9"/>
      <c r="U451" s="9"/>
    </row>
    <row r="452" spans="1:21" hidden="1" x14ac:dyDescent="0.3">
      <c r="A452" t="s">
        <v>828</v>
      </c>
      <c r="B452" s="6">
        <v>45902</v>
      </c>
      <c r="C452" t="s">
        <v>26</v>
      </c>
      <c r="D452" t="s">
        <v>69</v>
      </c>
      <c r="E452" t="s">
        <v>20</v>
      </c>
      <c r="F452" t="s">
        <v>538</v>
      </c>
      <c r="G452" t="s">
        <v>50</v>
      </c>
      <c r="J452" s="9">
        <v>0</v>
      </c>
      <c r="K452" s="7">
        <v>0</v>
      </c>
      <c r="L452" s="7">
        <v>0</v>
      </c>
      <c r="M452" s="9">
        <v>1</v>
      </c>
      <c r="N452" s="7">
        <v>4.7</v>
      </c>
      <c r="O452" s="7">
        <v>3.8</v>
      </c>
      <c r="P452" s="7">
        <v>4.5999999999999996</v>
      </c>
      <c r="Q452" t="s">
        <v>39</v>
      </c>
      <c r="R452" s="7" t="str">
        <f>TEXT(Table1[[#This Row],[Date]],"mmm yyyy")</f>
        <v>Sep 2025</v>
      </c>
      <c r="S452" s="9">
        <f>YEAR(Table1[[#This Row],[Date]])</f>
        <v>2025</v>
      </c>
      <c r="T452" s="9"/>
      <c r="U452" s="9"/>
    </row>
    <row r="453" spans="1:21" hidden="1" x14ac:dyDescent="0.3">
      <c r="A453" t="s">
        <v>829</v>
      </c>
      <c r="B453" s="6">
        <v>46255</v>
      </c>
      <c r="C453" t="s">
        <v>26</v>
      </c>
      <c r="D453" t="s">
        <v>232</v>
      </c>
      <c r="E453" t="s">
        <v>48</v>
      </c>
      <c r="F453" t="s">
        <v>551</v>
      </c>
      <c r="G453" t="s">
        <v>30</v>
      </c>
      <c r="J453" s="9">
        <v>0</v>
      </c>
      <c r="K453" s="7">
        <v>0</v>
      </c>
      <c r="L453" s="7">
        <v>0</v>
      </c>
      <c r="M453" s="9">
        <v>1</v>
      </c>
      <c r="N453" s="7">
        <v>11.3</v>
      </c>
      <c r="O453" s="7">
        <v>5.4</v>
      </c>
      <c r="P453" s="7">
        <v>5</v>
      </c>
      <c r="Q453" t="s">
        <v>31</v>
      </c>
      <c r="R453" s="7" t="str">
        <f>TEXT(Table1[[#This Row],[Date]],"mmm yyyy")</f>
        <v>Aug 2026</v>
      </c>
      <c r="S453" s="9">
        <f>YEAR(Table1[[#This Row],[Date]])</f>
        <v>2026</v>
      </c>
      <c r="T453" s="9"/>
      <c r="U453" s="9"/>
    </row>
    <row r="454" spans="1:21" x14ac:dyDescent="0.3">
      <c r="A454" t="s">
        <v>830</v>
      </c>
      <c r="B454" s="6">
        <v>45962</v>
      </c>
      <c r="C454" t="s">
        <v>18</v>
      </c>
      <c r="D454" t="s">
        <v>19</v>
      </c>
      <c r="E454" t="s">
        <v>42</v>
      </c>
      <c r="F454" t="s">
        <v>734</v>
      </c>
      <c r="G454" t="s">
        <v>22</v>
      </c>
      <c r="H454" t="s">
        <v>78</v>
      </c>
      <c r="I454" t="s">
        <v>24</v>
      </c>
      <c r="J454" s="9">
        <v>1</v>
      </c>
      <c r="K454" s="7">
        <v>123000</v>
      </c>
      <c r="L454" s="7">
        <v>123000</v>
      </c>
      <c r="M454" s="9"/>
      <c r="N454" s="7">
        <v>16.5</v>
      </c>
      <c r="O454" s="7"/>
      <c r="P454" s="7"/>
      <c r="Q454" t="s">
        <v>24</v>
      </c>
      <c r="R454" s="7" t="str">
        <f>TEXT(Table1[[#This Row],[Date]],"mmm yyyy")</f>
        <v>Nov 2025</v>
      </c>
      <c r="S454" s="9">
        <f>YEAR(Table1[[#This Row],[Date]])</f>
        <v>2025</v>
      </c>
      <c r="T454" s="9"/>
      <c r="U454" s="9"/>
    </row>
    <row r="455" spans="1:21" hidden="1" x14ac:dyDescent="0.3">
      <c r="A455" t="s">
        <v>831</v>
      </c>
      <c r="B455" s="6">
        <v>46160</v>
      </c>
      <c r="C455" t="s">
        <v>26</v>
      </c>
      <c r="D455" t="s">
        <v>114</v>
      </c>
      <c r="E455" t="s">
        <v>48</v>
      </c>
      <c r="F455" t="s">
        <v>832</v>
      </c>
      <c r="G455" t="s">
        <v>44</v>
      </c>
      <c r="J455" s="9">
        <v>0</v>
      </c>
      <c r="K455" s="7">
        <v>0</v>
      </c>
      <c r="L455" s="7">
        <v>0</v>
      </c>
      <c r="M455" s="9">
        <v>1</v>
      </c>
      <c r="N455" s="7">
        <v>2.9</v>
      </c>
      <c r="O455" s="7">
        <v>22.6</v>
      </c>
      <c r="P455" s="7">
        <v>3.3</v>
      </c>
      <c r="Q455" t="s">
        <v>62</v>
      </c>
      <c r="R455" s="7" t="str">
        <f>TEXT(Table1[[#This Row],[Date]],"mmm yyyy")</f>
        <v>May 2026</v>
      </c>
      <c r="S455" s="9">
        <f>YEAR(Table1[[#This Row],[Date]])</f>
        <v>2026</v>
      </c>
      <c r="T455" s="9"/>
      <c r="U455" s="9"/>
    </row>
    <row r="456" spans="1:21" x14ac:dyDescent="0.3">
      <c r="A456" t="s">
        <v>833</v>
      </c>
      <c r="B456" s="6">
        <v>46220</v>
      </c>
      <c r="C456" t="s">
        <v>18</v>
      </c>
      <c r="D456" t="s">
        <v>95</v>
      </c>
      <c r="E456" t="s">
        <v>20</v>
      </c>
      <c r="F456" t="s">
        <v>763</v>
      </c>
      <c r="G456" t="s">
        <v>50</v>
      </c>
      <c r="H456" t="s">
        <v>86</v>
      </c>
      <c r="I456" t="s">
        <v>89</v>
      </c>
      <c r="J456" s="9">
        <v>1</v>
      </c>
      <c r="K456" s="7">
        <v>41700</v>
      </c>
      <c r="L456" s="7">
        <v>0</v>
      </c>
      <c r="M456" s="9"/>
      <c r="N456" s="7">
        <v>23.2</v>
      </c>
      <c r="O456" s="7"/>
      <c r="P456" s="7"/>
      <c r="Q456" t="s">
        <v>89</v>
      </c>
      <c r="R456" s="7" t="str">
        <f>TEXT(Table1[[#This Row],[Date]],"mmm yyyy")</f>
        <v>Jul 2026</v>
      </c>
      <c r="S456" s="9">
        <f>YEAR(Table1[[#This Row],[Date]])</f>
        <v>2026</v>
      </c>
      <c r="T456" s="9"/>
      <c r="U456" s="9"/>
    </row>
    <row r="457" spans="1:21" x14ac:dyDescent="0.3">
      <c r="A457" t="s">
        <v>834</v>
      </c>
      <c r="B457" s="6">
        <v>46193</v>
      </c>
      <c r="C457" t="s">
        <v>18</v>
      </c>
      <c r="D457" t="s">
        <v>95</v>
      </c>
      <c r="E457" t="s">
        <v>20</v>
      </c>
      <c r="F457" t="s">
        <v>428</v>
      </c>
      <c r="G457" t="s">
        <v>50</v>
      </c>
      <c r="H457" t="s">
        <v>54</v>
      </c>
      <c r="I457" t="s">
        <v>45</v>
      </c>
      <c r="J457" s="9">
        <v>1</v>
      </c>
      <c r="K457" s="7">
        <v>8800</v>
      </c>
      <c r="L457" s="7">
        <v>0</v>
      </c>
      <c r="M457" s="9"/>
      <c r="N457" s="7">
        <v>2</v>
      </c>
      <c r="O457" s="7"/>
      <c r="P457" s="7"/>
      <c r="Q457" t="s">
        <v>45</v>
      </c>
      <c r="R457" s="7" t="str">
        <f>TEXT(Table1[[#This Row],[Date]],"mmm yyyy")</f>
        <v>Jun 2026</v>
      </c>
      <c r="S457" s="9">
        <f>YEAR(Table1[[#This Row],[Date]])</f>
        <v>2026</v>
      </c>
      <c r="T457" s="9"/>
      <c r="U457" s="9"/>
    </row>
    <row r="458" spans="1:21" x14ac:dyDescent="0.3">
      <c r="A458" t="s">
        <v>835</v>
      </c>
      <c r="B458" s="6">
        <v>46189</v>
      </c>
      <c r="C458" t="s">
        <v>18</v>
      </c>
      <c r="D458" t="s">
        <v>52</v>
      </c>
      <c r="E458" t="s">
        <v>20</v>
      </c>
      <c r="F458" t="s">
        <v>558</v>
      </c>
      <c r="G458" t="s">
        <v>44</v>
      </c>
      <c r="H458" t="s">
        <v>23</v>
      </c>
      <c r="I458" t="s">
        <v>45</v>
      </c>
      <c r="J458" s="9">
        <v>1</v>
      </c>
      <c r="K458" s="7">
        <v>18200</v>
      </c>
      <c r="L458" s="7">
        <v>0</v>
      </c>
      <c r="M458" s="9"/>
      <c r="N458" s="7">
        <v>23.6</v>
      </c>
      <c r="O458" s="7"/>
      <c r="P458" s="7"/>
      <c r="Q458" t="s">
        <v>45</v>
      </c>
      <c r="R458" s="7" t="str">
        <f>TEXT(Table1[[#This Row],[Date]],"mmm yyyy")</f>
        <v>Jun 2026</v>
      </c>
      <c r="S458" s="9">
        <f>YEAR(Table1[[#This Row],[Date]])</f>
        <v>2026</v>
      </c>
      <c r="T458" s="9"/>
      <c r="U458" s="9"/>
    </row>
    <row r="459" spans="1:21" x14ac:dyDescent="0.3">
      <c r="A459" t="s">
        <v>836</v>
      </c>
      <c r="B459" s="6">
        <v>45968</v>
      </c>
      <c r="C459" t="s">
        <v>18</v>
      </c>
      <c r="D459" t="s">
        <v>105</v>
      </c>
      <c r="E459" t="s">
        <v>20</v>
      </c>
      <c r="F459" t="s">
        <v>203</v>
      </c>
      <c r="G459" t="s">
        <v>44</v>
      </c>
      <c r="H459" t="s">
        <v>66</v>
      </c>
      <c r="I459" t="s">
        <v>89</v>
      </c>
      <c r="J459" s="9">
        <v>1</v>
      </c>
      <c r="K459" s="7">
        <v>13400</v>
      </c>
      <c r="L459" s="7">
        <v>0</v>
      </c>
      <c r="M459" s="9"/>
      <c r="N459" s="7">
        <v>2.1</v>
      </c>
      <c r="O459" s="7"/>
      <c r="P459" s="7"/>
      <c r="Q459" t="s">
        <v>89</v>
      </c>
      <c r="R459" s="7" t="str">
        <f>TEXT(Table1[[#This Row],[Date]],"mmm yyyy")</f>
        <v>Nov 2025</v>
      </c>
      <c r="S459" s="9">
        <f>YEAR(Table1[[#This Row],[Date]])</f>
        <v>2025</v>
      </c>
      <c r="T459" s="9"/>
      <c r="U459" s="9"/>
    </row>
    <row r="460" spans="1:21" x14ac:dyDescent="0.3">
      <c r="A460" t="s">
        <v>837</v>
      </c>
      <c r="B460" s="6">
        <v>46197</v>
      </c>
      <c r="C460" t="s">
        <v>18</v>
      </c>
      <c r="D460" t="s">
        <v>95</v>
      </c>
      <c r="E460" t="s">
        <v>37</v>
      </c>
      <c r="F460" t="s">
        <v>838</v>
      </c>
      <c r="G460" t="s">
        <v>22</v>
      </c>
      <c r="H460" t="s">
        <v>86</v>
      </c>
      <c r="I460" t="s">
        <v>89</v>
      </c>
      <c r="J460" s="9">
        <v>1</v>
      </c>
      <c r="K460" s="7">
        <v>12700</v>
      </c>
      <c r="L460" s="7">
        <v>0</v>
      </c>
      <c r="M460" s="9"/>
      <c r="N460" s="7">
        <v>14.9</v>
      </c>
      <c r="O460" s="7"/>
      <c r="P460" s="7"/>
      <c r="Q460" t="s">
        <v>89</v>
      </c>
      <c r="R460" s="7" t="str">
        <f>TEXT(Table1[[#This Row],[Date]],"mmm yyyy")</f>
        <v>Jun 2026</v>
      </c>
      <c r="S460" s="9">
        <f>YEAR(Table1[[#This Row],[Date]])</f>
        <v>2026</v>
      </c>
      <c r="T460" s="9"/>
      <c r="U460" s="9"/>
    </row>
    <row r="461" spans="1:21" x14ac:dyDescent="0.3">
      <c r="A461" t="s">
        <v>839</v>
      </c>
      <c r="B461" s="6">
        <v>46212</v>
      </c>
      <c r="C461" t="s">
        <v>18</v>
      </c>
      <c r="D461" t="s">
        <v>117</v>
      </c>
      <c r="E461" t="s">
        <v>20</v>
      </c>
      <c r="F461" t="s">
        <v>840</v>
      </c>
      <c r="G461" t="s">
        <v>22</v>
      </c>
      <c r="H461" t="s">
        <v>78</v>
      </c>
      <c r="I461" t="s">
        <v>67</v>
      </c>
      <c r="J461" s="9">
        <v>1</v>
      </c>
      <c r="K461" s="7">
        <v>21600</v>
      </c>
      <c r="L461" s="7">
        <v>0</v>
      </c>
      <c r="M461" s="9"/>
      <c r="N461" s="7">
        <v>7.5</v>
      </c>
      <c r="O461" s="7"/>
      <c r="P461" s="7"/>
      <c r="Q461" t="s">
        <v>67</v>
      </c>
      <c r="R461" s="7" t="str">
        <f>TEXT(Table1[[#This Row],[Date]],"mmm yyyy")</f>
        <v>Jul 2026</v>
      </c>
      <c r="S461" s="9">
        <f>YEAR(Table1[[#This Row],[Date]])</f>
        <v>2026</v>
      </c>
      <c r="T461" s="9"/>
      <c r="U461" s="9"/>
    </row>
    <row r="462" spans="1:21" x14ac:dyDescent="0.3">
      <c r="A462" t="s">
        <v>841</v>
      </c>
      <c r="B462" s="6">
        <v>45903</v>
      </c>
      <c r="C462" t="s">
        <v>18</v>
      </c>
      <c r="D462" t="s">
        <v>47</v>
      </c>
      <c r="E462" t="s">
        <v>20</v>
      </c>
      <c r="F462" t="s">
        <v>796</v>
      </c>
      <c r="G462" t="s">
        <v>44</v>
      </c>
      <c r="H462" t="s">
        <v>78</v>
      </c>
      <c r="I462" t="s">
        <v>67</v>
      </c>
      <c r="J462" s="9">
        <v>1</v>
      </c>
      <c r="K462" s="7">
        <v>18700</v>
      </c>
      <c r="L462" s="7">
        <v>0</v>
      </c>
      <c r="M462" s="9"/>
      <c r="N462" s="7">
        <v>14.7</v>
      </c>
      <c r="O462" s="7"/>
      <c r="P462" s="7"/>
      <c r="Q462" t="s">
        <v>67</v>
      </c>
      <c r="R462" s="7" t="str">
        <f>TEXT(Table1[[#This Row],[Date]],"mmm yyyy")</f>
        <v>Sep 2025</v>
      </c>
      <c r="S462" s="9">
        <f>YEAR(Table1[[#This Row],[Date]])</f>
        <v>2025</v>
      </c>
      <c r="T462" s="9"/>
      <c r="U462" s="9"/>
    </row>
    <row r="463" spans="1:21" hidden="1" x14ac:dyDescent="0.3">
      <c r="A463" t="s">
        <v>842</v>
      </c>
      <c r="B463" s="6">
        <v>46259</v>
      </c>
      <c r="C463" t="s">
        <v>26</v>
      </c>
      <c r="D463" t="s">
        <v>36</v>
      </c>
      <c r="E463" t="s">
        <v>42</v>
      </c>
      <c r="F463" t="s">
        <v>136</v>
      </c>
      <c r="G463" t="s">
        <v>30</v>
      </c>
      <c r="J463" s="9">
        <v>0</v>
      </c>
      <c r="K463" s="7">
        <v>0</v>
      </c>
      <c r="L463" s="7">
        <v>0</v>
      </c>
      <c r="M463" s="9">
        <v>1</v>
      </c>
      <c r="N463" s="7">
        <v>0.4</v>
      </c>
      <c r="O463" s="7">
        <v>3.1</v>
      </c>
      <c r="P463" s="7">
        <v>4.8</v>
      </c>
      <c r="Q463" t="s">
        <v>39</v>
      </c>
      <c r="R463" s="7" t="str">
        <f>TEXT(Table1[[#This Row],[Date]],"mmm yyyy")</f>
        <v>Aug 2026</v>
      </c>
      <c r="S463" s="9">
        <f>YEAR(Table1[[#This Row],[Date]])</f>
        <v>2026</v>
      </c>
      <c r="T463" s="9"/>
      <c r="U463" s="9"/>
    </row>
    <row r="464" spans="1:21" hidden="1" x14ac:dyDescent="0.3">
      <c r="A464" t="s">
        <v>843</v>
      </c>
      <c r="B464" s="6">
        <v>46155</v>
      </c>
      <c r="C464" t="s">
        <v>26</v>
      </c>
      <c r="D464" t="s">
        <v>33</v>
      </c>
      <c r="E464" t="s">
        <v>20</v>
      </c>
      <c r="F464" t="s">
        <v>558</v>
      </c>
      <c r="G464" t="s">
        <v>50</v>
      </c>
      <c r="J464" s="9">
        <v>0</v>
      </c>
      <c r="K464" s="7">
        <v>0</v>
      </c>
      <c r="L464" s="7">
        <v>0</v>
      </c>
      <c r="M464" s="9">
        <v>1</v>
      </c>
      <c r="N464" s="7">
        <v>11.5</v>
      </c>
      <c r="O464" s="7">
        <v>11</v>
      </c>
      <c r="P464" s="7">
        <v>4.7</v>
      </c>
      <c r="Q464" t="s">
        <v>225</v>
      </c>
      <c r="R464" s="7" t="str">
        <f>TEXT(Table1[[#This Row],[Date]],"mmm yyyy")</f>
        <v>May 2026</v>
      </c>
      <c r="S464" s="9">
        <f>YEAR(Table1[[#This Row],[Date]])</f>
        <v>2026</v>
      </c>
      <c r="T464" s="9"/>
      <c r="U464" s="9"/>
    </row>
    <row r="465" spans="1:21" hidden="1" x14ac:dyDescent="0.3">
      <c r="A465" t="s">
        <v>844</v>
      </c>
      <c r="B465" s="6">
        <v>46231</v>
      </c>
      <c r="C465" t="s">
        <v>26</v>
      </c>
      <c r="D465" t="s">
        <v>69</v>
      </c>
      <c r="E465" t="s">
        <v>28</v>
      </c>
      <c r="F465" t="s">
        <v>845</v>
      </c>
      <c r="G465" t="s">
        <v>22</v>
      </c>
      <c r="J465" s="9">
        <v>0</v>
      </c>
      <c r="K465" s="7">
        <v>0</v>
      </c>
      <c r="L465" s="7">
        <v>0</v>
      </c>
      <c r="M465" s="9">
        <v>1</v>
      </c>
      <c r="N465" s="7">
        <v>0.3</v>
      </c>
      <c r="O465" s="7">
        <v>3.5</v>
      </c>
      <c r="P465" s="7">
        <v>3.4</v>
      </c>
      <c r="Q465" t="s">
        <v>62</v>
      </c>
      <c r="R465" s="7" t="str">
        <f>TEXT(Table1[[#This Row],[Date]],"mmm yyyy")</f>
        <v>Jul 2026</v>
      </c>
      <c r="S465" s="9">
        <f>YEAR(Table1[[#This Row],[Date]])</f>
        <v>2026</v>
      </c>
      <c r="T465" s="9"/>
      <c r="U465" s="9"/>
    </row>
    <row r="466" spans="1:21" hidden="1" x14ac:dyDescent="0.3">
      <c r="A466" t="s">
        <v>846</v>
      </c>
      <c r="B466" s="6">
        <v>46070</v>
      </c>
      <c r="C466" t="s">
        <v>26</v>
      </c>
      <c r="D466" t="s">
        <v>114</v>
      </c>
      <c r="E466" t="s">
        <v>28</v>
      </c>
      <c r="F466" t="s">
        <v>230</v>
      </c>
      <c r="G466" t="s">
        <v>22</v>
      </c>
      <c r="J466" s="9">
        <v>0</v>
      </c>
      <c r="K466" s="7">
        <v>0</v>
      </c>
      <c r="L466" s="7">
        <v>0</v>
      </c>
      <c r="M466" s="9">
        <v>1</v>
      </c>
      <c r="N466" s="7">
        <v>10.5</v>
      </c>
      <c r="O466" s="7">
        <v>3.5</v>
      </c>
      <c r="P466" s="7">
        <v>5</v>
      </c>
      <c r="Q466" t="s">
        <v>39</v>
      </c>
      <c r="R466" s="7" t="str">
        <f>TEXT(Table1[[#This Row],[Date]],"mmm yyyy")</f>
        <v>Feb 2026</v>
      </c>
      <c r="S466" s="9">
        <f>YEAR(Table1[[#This Row],[Date]])</f>
        <v>2026</v>
      </c>
      <c r="T466" s="9"/>
      <c r="U466" s="9"/>
    </row>
    <row r="467" spans="1:21" x14ac:dyDescent="0.3">
      <c r="A467" t="s">
        <v>847</v>
      </c>
      <c r="B467" s="6">
        <v>46006</v>
      </c>
      <c r="C467" t="s">
        <v>18</v>
      </c>
      <c r="D467" t="s">
        <v>52</v>
      </c>
      <c r="E467" t="s">
        <v>48</v>
      </c>
      <c r="F467" t="s">
        <v>732</v>
      </c>
      <c r="G467" t="s">
        <v>44</v>
      </c>
      <c r="H467" t="s">
        <v>54</v>
      </c>
      <c r="I467" t="s">
        <v>55</v>
      </c>
      <c r="J467" s="9">
        <v>1</v>
      </c>
      <c r="K467" s="7">
        <v>16100</v>
      </c>
      <c r="L467" s="7">
        <v>0</v>
      </c>
      <c r="M467" s="9"/>
      <c r="N467" s="7">
        <v>13.2</v>
      </c>
      <c r="O467" s="7"/>
      <c r="P467" s="7"/>
      <c r="Q467" t="s">
        <v>55</v>
      </c>
      <c r="R467" s="7" t="str">
        <f>TEXT(Table1[[#This Row],[Date]],"mmm yyyy")</f>
        <v>Dec 2025</v>
      </c>
      <c r="S467" s="9">
        <f>YEAR(Table1[[#This Row],[Date]])</f>
        <v>2025</v>
      </c>
      <c r="T467" s="9"/>
      <c r="U467" s="9"/>
    </row>
    <row r="468" spans="1:21" x14ac:dyDescent="0.3">
      <c r="A468" t="s">
        <v>848</v>
      </c>
      <c r="B468" s="6">
        <v>46253</v>
      </c>
      <c r="C468" t="s">
        <v>18</v>
      </c>
      <c r="D468" t="s">
        <v>19</v>
      </c>
      <c r="E468" t="s">
        <v>48</v>
      </c>
      <c r="F468" t="s">
        <v>814</v>
      </c>
      <c r="G468" t="s">
        <v>44</v>
      </c>
      <c r="H468" t="s">
        <v>66</v>
      </c>
      <c r="I468" t="s">
        <v>67</v>
      </c>
      <c r="J468" s="9">
        <v>1</v>
      </c>
      <c r="K468" s="7">
        <v>9900</v>
      </c>
      <c r="L468" s="7">
        <v>0</v>
      </c>
      <c r="M468" s="9"/>
      <c r="N468" s="7">
        <v>7.3</v>
      </c>
      <c r="O468" s="7"/>
      <c r="P468" s="7"/>
      <c r="Q468" t="s">
        <v>67</v>
      </c>
      <c r="R468" s="7" t="str">
        <f>TEXT(Table1[[#This Row],[Date]],"mmm yyyy")</f>
        <v>Aug 2026</v>
      </c>
      <c r="S468" s="9">
        <f>YEAR(Table1[[#This Row],[Date]])</f>
        <v>2026</v>
      </c>
      <c r="T468" s="9"/>
      <c r="U468" s="9"/>
    </row>
    <row r="469" spans="1:21" hidden="1" x14ac:dyDescent="0.3">
      <c r="A469" t="s">
        <v>849</v>
      </c>
      <c r="B469" s="6">
        <v>46034</v>
      </c>
      <c r="C469" t="s">
        <v>26</v>
      </c>
      <c r="D469" t="s">
        <v>232</v>
      </c>
      <c r="E469" t="s">
        <v>28</v>
      </c>
      <c r="F469" t="s">
        <v>850</v>
      </c>
      <c r="G469" t="s">
        <v>44</v>
      </c>
      <c r="J469" s="9">
        <v>0</v>
      </c>
      <c r="K469" s="7">
        <v>0</v>
      </c>
      <c r="L469" s="7">
        <v>0</v>
      </c>
      <c r="M469" s="9">
        <v>1</v>
      </c>
      <c r="N469" s="7">
        <v>7.1</v>
      </c>
      <c r="O469" s="7">
        <v>3</v>
      </c>
      <c r="P469" s="7">
        <v>4</v>
      </c>
      <c r="Q469" t="s">
        <v>39</v>
      </c>
      <c r="R469" s="7" t="str">
        <f>TEXT(Table1[[#This Row],[Date]],"mmm yyyy")</f>
        <v>Jan 2026</v>
      </c>
      <c r="S469" s="9">
        <f>YEAR(Table1[[#This Row],[Date]])</f>
        <v>2026</v>
      </c>
      <c r="T469" s="9"/>
      <c r="U469" s="9"/>
    </row>
    <row r="470" spans="1:21" x14ac:dyDescent="0.3">
      <c r="A470" t="s">
        <v>851</v>
      </c>
      <c r="B470" s="6">
        <v>46086</v>
      </c>
      <c r="C470" t="s">
        <v>18</v>
      </c>
      <c r="D470" t="s">
        <v>19</v>
      </c>
      <c r="E470" t="s">
        <v>42</v>
      </c>
      <c r="F470" t="s">
        <v>481</v>
      </c>
      <c r="G470" t="s">
        <v>30</v>
      </c>
      <c r="H470" t="s">
        <v>66</v>
      </c>
      <c r="I470" t="s">
        <v>24</v>
      </c>
      <c r="J470" s="9">
        <v>1</v>
      </c>
      <c r="K470" s="7">
        <v>21500</v>
      </c>
      <c r="L470" s="7">
        <v>21500</v>
      </c>
      <c r="M470" s="9"/>
      <c r="N470" s="7">
        <v>13.3</v>
      </c>
      <c r="O470" s="7"/>
      <c r="P470" s="7"/>
      <c r="Q470" t="s">
        <v>24</v>
      </c>
      <c r="R470" s="7" t="str">
        <f>TEXT(Table1[[#This Row],[Date]],"mmm yyyy")</f>
        <v>Mar 2026</v>
      </c>
      <c r="S470" s="9">
        <f>YEAR(Table1[[#This Row],[Date]])</f>
        <v>2026</v>
      </c>
      <c r="T470" s="9"/>
      <c r="U470" s="9"/>
    </row>
    <row r="471" spans="1:21" hidden="1" x14ac:dyDescent="0.3">
      <c r="A471" t="s">
        <v>852</v>
      </c>
      <c r="B471" s="6">
        <v>46051</v>
      </c>
      <c r="C471" t="s">
        <v>26</v>
      </c>
      <c r="D471" t="s">
        <v>232</v>
      </c>
      <c r="E471" t="s">
        <v>20</v>
      </c>
      <c r="F471" t="s">
        <v>166</v>
      </c>
      <c r="G471" t="s">
        <v>50</v>
      </c>
      <c r="J471" s="9">
        <v>0</v>
      </c>
      <c r="K471" s="7">
        <v>0</v>
      </c>
      <c r="L471" s="7">
        <v>0</v>
      </c>
      <c r="M471" s="9">
        <v>1</v>
      </c>
      <c r="N471" s="7">
        <v>5.6</v>
      </c>
      <c r="O471" s="7">
        <v>4.0999999999999996</v>
      </c>
      <c r="P471" s="7">
        <v>3.7</v>
      </c>
      <c r="Q471" t="s">
        <v>39</v>
      </c>
      <c r="R471" s="7" t="str">
        <f>TEXT(Table1[[#This Row],[Date]],"mmm yyyy")</f>
        <v>Jan 2026</v>
      </c>
      <c r="S471" s="9">
        <f>YEAR(Table1[[#This Row],[Date]])</f>
        <v>2026</v>
      </c>
      <c r="T471" s="9"/>
      <c r="U471" s="9"/>
    </row>
    <row r="472" spans="1:21" x14ac:dyDescent="0.3">
      <c r="A472" t="s">
        <v>853</v>
      </c>
      <c r="B472" s="6">
        <v>45952</v>
      </c>
      <c r="C472" t="s">
        <v>18</v>
      </c>
      <c r="D472" t="s">
        <v>64</v>
      </c>
      <c r="E472" t="s">
        <v>20</v>
      </c>
      <c r="F472" t="s">
        <v>88</v>
      </c>
      <c r="G472" t="s">
        <v>22</v>
      </c>
      <c r="H472" t="s">
        <v>66</v>
      </c>
      <c r="I472" t="s">
        <v>45</v>
      </c>
      <c r="J472" s="9">
        <v>1</v>
      </c>
      <c r="K472" s="7">
        <v>59700</v>
      </c>
      <c r="L472" s="7">
        <v>0</v>
      </c>
      <c r="M472" s="9"/>
      <c r="N472" s="7">
        <v>17.3</v>
      </c>
      <c r="O472" s="7"/>
      <c r="P472" s="7"/>
      <c r="Q472" t="s">
        <v>45</v>
      </c>
      <c r="R472" s="7" t="str">
        <f>TEXT(Table1[[#This Row],[Date]],"mmm yyyy")</f>
        <v>Oct 2025</v>
      </c>
      <c r="S472" s="9">
        <f>YEAR(Table1[[#This Row],[Date]])</f>
        <v>2025</v>
      </c>
      <c r="T472" s="9"/>
      <c r="U472" s="9"/>
    </row>
    <row r="473" spans="1:21" hidden="1" x14ac:dyDescent="0.3">
      <c r="A473" t="s">
        <v>854</v>
      </c>
      <c r="B473" s="6">
        <v>46110</v>
      </c>
      <c r="C473" t="s">
        <v>26</v>
      </c>
      <c r="D473" t="s">
        <v>27</v>
      </c>
      <c r="E473" t="s">
        <v>42</v>
      </c>
      <c r="F473" t="s">
        <v>855</v>
      </c>
      <c r="G473" t="s">
        <v>30</v>
      </c>
      <c r="J473" s="9">
        <v>0</v>
      </c>
      <c r="K473" s="7">
        <v>0</v>
      </c>
      <c r="L473" s="7">
        <v>0</v>
      </c>
      <c r="M473" s="9">
        <v>1</v>
      </c>
      <c r="N473" s="7">
        <v>3</v>
      </c>
      <c r="O473" s="7">
        <v>13.5</v>
      </c>
      <c r="P473" s="7">
        <v>3</v>
      </c>
      <c r="Q473" t="s">
        <v>225</v>
      </c>
      <c r="R473" s="7" t="str">
        <f>TEXT(Table1[[#This Row],[Date]],"mmm yyyy")</f>
        <v>Mar 2026</v>
      </c>
      <c r="S473" s="9">
        <f>YEAR(Table1[[#This Row],[Date]])</f>
        <v>2026</v>
      </c>
      <c r="T473" s="9"/>
      <c r="U473" s="9"/>
    </row>
    <row r="474" spans="1:21" x14ac:dyDescent="0.3">
      <c r="A474" t="s">
        <v>856</v>
      </c>
      <c r="B474" s="6">
        <v>45963</v>
      </c>
      <c r="C474" t="s">
        <v>18</v>
      </c>
      <c r="D474" t="s">
        <v>117</v>
      </c>
      <c r="E474" t="s">
        <v>20</v>
      </c>
      <c r="F474" t="s">
        <v>857</v>
      </c>
      <c r="G474" t="s">
        <v>22</v>
      </c>
      <c r="H474" t="s">
        <v>78</v>
      </c>
      <c r="I474" t="s">
        <v>45</v>
      </c>
      <c r="J474" s="9">
        <v>1</v>
      </c>
      <c r="K474" s="7">
        <v>38100</v>
      </c>
      <c r="L474" s="7">
        <v>0</v>
      </c>
      <c r="M474" s="9"/>
      <c r="N474" s="7">
        <v>5.7</v>
      </c>
      <c r="O474" s="7"/>
      <c r="P474" s="7"/>
      <c r="Q474" t="s">
        <v>45</v>
      </c>
      <c r="R474" s="7" t="str">
        <f>TEXT(Table1[[#This Row],[Date]],"mmm yyyy")</f>
        <v>Nov 2025</v>
      </c>
      <c r="S474" s="9">
        <f>YEAR(Table1[[#This Row],[Date]])</f>
        <v>2025</v>
      </c>
      <c r="T474" s="9"/>
      <c r="U474" s="9"/>
    </row>
    <row r="475" spans="1:21" hidden="1" x14ac:dyDescent="0.3">
      <c r="A475" t="s">
        <v>858</v>
      </c>
      <c r="B475" s="6">
        <v>46256</v>
      </c>
      <c r="C475" t="s">
        <v>26</v>
      </c>
      <c r="D475" t="s">
        <v>36</v>
      </c>
      <c r="E475" t="s">
        <v>42</v>
      </c>
      <c r="F475" t="s">
        <v>859</v>
      </c>
      <c r="G475" t="s">
        <v>22</v>
      </c>
      <c r="J475" s="9">
        <v>0</v>
      </c>
      <c r="K475" s="7">
        <v>0</v>
      </c>
      <c r="L475" s="7">
        <v>0</v>
      </c>
      <c r="M475" s="9">
        <v>1</v>
      </c>
      <c r="N475" s="7">
        <v>3.4</v>
      </c>
      <c r="O475" s="7">
        <v>5.4</v>
      </c>
      <c r="P475" s="7">
        <v>3</v>
      </c>
      <c r="Q475" t="s">
        <v>39</v>
      </c>
      <c r="R475" s="7" t="str">
        <f>TEXT(Table1[[#This Row],[Date]],"mmm yyyy")</f>
        <v>Aug 2026</v>
      </c>
      <c r="S475" s="9">
        <f>YEAR(Table1[[#This Row],[Date]])</f>
        <v>2026</v>
      </c>
      <c r="T475" s="9"/>
      <c r="U475" s="9"/>
    </row>
    <row r="476" spans="1:21" x14ac:dyDescent="0.3">
      <c r="A476" t="s">
        <v>860</v>
      </c>
      <c r="B476" s="6">
        <v>46230</v>
      </c>
      <c r="C476" t="s">
        <v>18</v>
      </c>
      <c r="D476" t="s">
        <v>47</v>
      </c>
      <c r="E476" t="s">
        <v>20</v>
      </c>
      <c r="F476" t="s">
        <v>34</v>
      </c>
      <c r="G476" t="s">
        <v>22</v>
      </c>
      <c r="H476" t="s">
        <v>23</v>
      </c>
      <c r="I476" t="s">
        <v>79</v>
      </c>
      <c r="J476" s="9">
        <v>1</v>
      </c>
      <c r="K476" s="7">
        <v>17900</v>
      </c>
      <c r="L476" s="7">
        <v>0</v>
      </c>
      <c r="M476" s="9"/>
      <c r="N476" s="7">
        <v>23.5</v>
      </c>
      <c r="O476" s="7"/>
      <c r="P476" s="7"/>
      <c r="Q476" t="s">
        <v>79</v>
      </c>
      <c r="R476" s="7" t="str">
        <f>TEXT(Table1[[#This Row],[Date]],"mmm yyyy")</f>
        <v>Jul 2026</v>
      </c>
      <c r="S476" s="9">
        <f>YEAR(Table1[[#This Row],[Date]])</f>
        <v>2026</v>
      </c>
      <c r="T476" s="9"/>
      <c r="U476" s="9"/>
    </row>
    <row r="477" spans="1:21" hidden="1" x14ac:dyDescent="0.3">
      <c r="A477" t="s">
        <v>861</v>
      </c>
      <c r="B477" s="6">
        <v>46234</v>
      </c>
      <c r="C477" t="s">
        <v>26</v>
      </c>
      <c r="D477" t="s">
        <v>114</v>
      </c>
      <c r="E477" t="s">
        <v>37</v>
      </c>
      <c r="F477" t="s">
        <v>862</v>
      </c>
      <c r="G477" t="s">
        <v>22</v>
      </c>
      <c r="J477" s="9">
        <v>0</v>
      </c>
      <c r="K477" s="7">
        <v>0</v>
      </c>
      <c r="L477" s="7">
        <v>0</v>
      </c>
      <c r="M477" s="9">
        <v>1</v>
      </c>
      <c r="N477" s="7">
        <v>7.6</v>
      </c>
      <c r="O477" s="7">
        <v>8.6999999999999993</v>
      </c>
      <c r="P477" s="7">
        <v>4.9000000000000004</v>
      </c>
      <c r="Q477" t="s">
        <v>39</v>
      </c>
      <c r="R477" s="7" t="str">
        <f>TEXT(Table1[[#This Row],[Date]],"mmm yyyy")</f>
        <v>Jul 2026</v>
      </c>
      <c r="S477" s="9">
        <f>YEAR(Table1[[#This Row],[Date]])</f>
        <v>2026</v>
      </c>
      <c r="T477" s="9"/>
      <c r="U477" s="9"/>
    </row>
    <row r="478" spans="1:21" x14ac:dyDescent="0.3">
      <c r="A478" t="s">
        <v>863</v>
      </c>
      <c r="B478" s="6">
        <v>46221</v>
      </c>
      <c r="C478" t="s">
        <v>18</v>
      </c>
      <c r="D478" t="s">
        <v>64</v>
      </c>
      <c r="E478" t="s">
        <v>20</v>
      </c>
      <c r="F478" t="s">
        <v>864</v>
      </c>
      <c r="G478" t="s">
        <v>44</v>
      </c>
      <c r="H478" t="s">
        <v>78</v>
      </c>
      <c r="I478" t="s">
        <v>45</v>
      </c>
      <c r="J478" s="9">
        <v>1</v>
      </c>
      <c r="K478" s="7">
        <v>40400</v>
      </c>
      <c r="L478" s="7">
        <v>0</v>
      </c>
      <c r="M478" s="9"/>
      <c r="N478" s="7">
        <v>21.6</v>
      </c>
      <c r="O478" s="7"/>
      <c r="P478" s="7"/>
      <c r="Q478" t="s">
        <v>45</v>
      </c>
      <c r="R478" s="7" t="str">
        <f>TEXT(Table1[[#This Row],[Date]],"mmm yyyy")</f>
        <v>Jul 2026</v>
      </c>
      <c r="S478" s="9">
        <f>YEAR(Table1[[#This Row],[Date]])</f>
        <v>2026</v>
      </c>
      <c r="T478" s="9"/>
      <c r="U478" s="9"/>
    </row>
    <row r="479" spans="1:21" hidden="1" x14ac:dyDescent="0.3">
      <c r="A479" t="s">
        <v>865</v>
      </c>
      <c r="B479" s="6">
        <v>46027</v>
      </c>
      <c r="C479" t="s">
        <v>26</v>
      </c>
      <c r="D479" t="s">
        <v>27</v>
      </c>
      <c r="E479" t="s">
        <v>37</v>
      </c>
      <c r="F479" t="s">
        <v>551</v>
      </c>
      <c r="G479" t="s">
        <v>22</v>
      </c>
      <c r="J479" s="9">
        <v>0</v>
      </c>
      <c r="K479" s="7">
        <v>0</v>
      </c>
      <c r="L479" s="7">
        <v>0</v>
      </c>
      <c r="M479" s="9">
        <v>1</v>
      </c>
      <c r="N479" s="7">
        <v>9.8000000000000007</v>
      </c>
      <c r="O479" s="7">
        <v>2.8</v>
      </c>
      <c r="P479" s="7">
        <v>4.3</v>
      </c>
      <c r="Q479" t="s">
        <v>31</v>
      </c>
      <c r="R479" s="7" t="str">
        <f>TEXT(Table1[[#This Row],[Date]],"mmm yyyy")</f>
        <v>Jan 2026</v>
      </c>
      <c r="S479" s="9">
        <f>YEAR(Table1[[#This Row],[Date]])</f>
        <v>2026</v>
      </c>
      <c r="T479" s="9"/>
      <c r="U479" s="9"/>
    </row>
    <row r="480" spans="1:21" hidden="1" x14ac:dyDescent="0.3">
      <c r="A480" t="s">
        <v>866</v>
      </c>
      <c r="B480" s="6">
        <v>45969</v>
      </c>
      <c r="C480" t="s">
        <v>26</v>
      </c>
      <c r="D480" t="s">
        <v>36</v>
      </c>
      <c r="E480" t="s">
        <v>20</v>
      </c>
      <c r="F480" t="s">
        <v>867</v>
      </c>
      <c r="G480" t="s">
        <v>22</v>
      </c>
      <c r="J480" s="9">
        <v>0</v>
      </c>
      <c r="K480" s="7">
        <v>0</v>
      </c>
      <c r="L480" s="7">
        <v>0</v>
      </c>
      <c r="M480" s="9">
        <v>1</v>
      </c>
      <c r="N480" s="7">
        <v>1.9</v>
      </c>
      <c r="O480" s="7">
        <v>16</v>
      </c>
      <c r="P480" s="7">
        <v>5</v>
      </c>
      <c r="Q480" t="s">
        <v>62</v>
      </c>
      <c r="R480" s="7" t="str">
        <f>TEXT(Table1[[#This Row],[Date]],"mmm yyyy")</f>
        <v>Nov 2025</v>
      </c>
      <c r="S480" s="9">
        <f>YEAR(Table1[[#This Row],[Date]])</f>
        <v>2025</v>
      </c>
      <c r="T480" s="9"/>
      <c r="U480" s="9"/>
    </row>
    <row r="481" spans="1:21" x14ac:dyDescent="0.3">
      <c r="A481" t="s">
        <v>868</v>
      </c>
      <c r="B481" s="6">
        <v>46065</v>
      </c>
      <c r="C481" t="s">
        <v>18</v>
      </c>
      <c r="D481" t="s">
        <v>64</v>
      </c>
      <c r="E481" t="s">
        <v>42</v>
      </c>
      <c r="F481" t="s">
        <v>838</v>
      </c>
      <c r="G481" t="s">
        <v>22</v>
      </c>
      <c r="H481" t="s">
        <v>23</v>
      </c>
      <c r="I481" t="s">
        <v>67</v>
      </c>
      <c r="J481" s="9">
        <v>1</v>
      </c>
      <c r="K481" s="7">
        <v>25600</v>
      </c>
      <c r="L481" s="7">
        <v>0</v>
      </c>
      <c r="M481" s="9"/>
      <c r="N481" s="7">
        <v>19.8</v>
      </c>
      <c r="O481" s="7"/>
      <c r="P481" s="7"/>
      <c r="Q481" t="s">
        <v>67</v>
      </c>
      <c r="R481" s="7" t="str">
        <f>TEXT(Table1[[#This Row],[Date]],"mmm yyyy")</f>
        <v>Feb 2026</v>
      </c>
      <c r="S481" s="9">
        <f>YEAR(Table1[[#This Row],[Date]])</f>
        <v>2026</v>
      </c>
      <c r="T481" s="9"/>
      <c r="U481" s="9"/>
    </row>
    <row r="482" spans="1:21" hidden="1" x14ac:dyDescent="0.3">
      <c r="A482" t="s">
        <v>869</v>
      </c>
      <c r="B482" s="6">
        <v>46080</v>
      </c>
      <c r="C482" t="s">
        <v>26</v>
      </c>
      <c r="D482" t="s">
        <v>72</v>
      </c>
      <c r="E482" t="s">
        <v>48</v>
      </c>
      <c r="F482" t="s">
        <v>870</v>
      </c>
      <c r="G482" t="s">
        <v>44</v>
      </c>
      <c r="J482" s="9">
        <v>0</v>
      </c>
      <c r="K482" s="7">
        <v>0</v>
      </c>
      <c r="L482" s="7">
        <v>0</v>
      </c>
      <c r="M482" s="9">
        <v>1</v>
      </c>
      <c r="N482" s="7">
        <v>8</v>
      </c>
      <c r="O482" s="7">
        <v>9.1999999999999993</v>
      </c>
      <c r="P482" s="7">
        <v>4.5</v>
      </c>
      <c r="Q482" t="s">
        <v>39</v>
      </c>
      <c r="R482" s="7" t="str">
        <f>TEXT(Table1[[#This Row],[Date]],"mmm yyyy")</f>
        <v>Feb 2026</v>
      </c>
      <c r="S482" s="9">
        <f>YEAR(Table1[[#This Row],[Date]])</f>
        <v>2026</v>
      </c>
      <c r="T482" s="9"/>
      <c r="U482" s="9"/>
    </row>
    <row r="483" spans="1:21" hidden="1" x14ac:dyDescent="0.3">
      <c r="A483" t="s">
        <v>871</v>
      </c>
      <c r="B483" s="6">
        <v>46069</v>
      </c>
      <c r="C483" t="s">
        <v>26</v>
      </c>
      <c r="D483" t="s">
        <v>69</v>
      </c>
      <c r="E483" t="s">
        <v>20</v>
      </c>
      <c r="F483" t="s">
        <v>872</v>
      </c>
      <c r="G483" t="s">
        <v>50</v>
      </c>
      <c r="J483" s="9">
        <v>0</v>
      </c>
      <c r="K483" s="7">
        <v>0</v>
      </c>
      <c r="L483" s="7">
        <v>0</v>
      </c>
      <c r="M483" s="9">
        <v>1</v>
      </c>
      <c r="N483" s="7">
        <v>2.6</v>
      </c>
      <c r="O483" s="7">
        <v>4.5</v>
      </c>
      <c r="P483" s="7">
        <v>3.7</v>
      </c>
      <c r="Q483" t="s">
        <v>62</v>
      </c>
      <c r="R483" s="7" t="str">
        <f>TEXT(Table1[[#This Row],[Date]],"mmm yyyy")</f>
        <v>Feb 2026</v>
      </c>
      <c r="S483" s="9">
        <f>YEAR(Table1[[#This Row],[Date]])</f>
        <v>2026</v>
      </c>
      <c r="T483" s="9"/>
      <c r="U483" s="9"/>
    </row>
    <row r="484" spans="1:21" x14ac:dyDescent="0.3">
      <c r="A484" t="s">
        <v>873</v>
      </c>
      <c r="B484" s="6">
        <v>45994</v>
      </c>
      <c r="C484" t="s">
        <v>18</v>
      </c>
      <c r="D484" t="s">
        <v>41</v>
      </c>
      <c r="E484" t="s">
        <v>20</v>
      </c>
      <c r="F484" t="s">
        <v>874</v>
      </c>
      <c r="G484" t="s">
        <v>44</v>
      </c>
      <c r="H484" t="s">
        <v>86</v>
      </c>
      <c r="I484" t="s">
        <v>79</v>
      </c>
      <c r="J484" s="9">
        <v>1</v>
      </c>
      <c r="K484" s="7">
        <v>25500</v>
      </c>
      <c r="L484" s="7">
        <v>0</v>
      </c>
      <c r="M484" s="9"/>
      <c r="N484" s="7">
        <v>12.3</v>
      </c>
      <c r="O484" s="7"/>
      <c r="P484" s="7"/>
      <c r="Q484" t="s">
        <v>79</v>
      </c>
      <c r="R484" s="7" t="str">
        <f>TEXT(Table1[[#This Row],[Date]],"mmm yyyy")</f>
        <v>Dec 2025</v>
      </c>
      <c r="S484" s="9">
        <f>YEAR(Table1[[#This Row],[Date]])</f>
        <v>2025</v>
      </c>
      <c r="T484" s="9"/>
      <c r="U484" s="9"/>
    </row>
    <row r="485" spans="1:21" hidden="1" x14ac:dyDescent="0.3">
      <c r="A485" t="s">
        <v>875</v>
      </c>
      <c r="B485" s="6">
        <v>46004</v>
      </c>
      <c r="C485" t="s">
        <v>26</v>
      </c>
      <c r="D485" t="s">
        <v>33</v>
      </c>
      <c r="E485" t="s">
        <v>28</v>
      </c>
      <c r="F485" t="s">
        <v>536</v>
      </c>
      <c r="G485" t="s">
        <v>30</v>
      </c>
      <c r="J485" s="9">
        <v>0</v>
      </c>
      <c r="K485" s="7">
        <v>0</v>
      </c>
      <c r="L485" s="7">
        <v>0</v>
      </c>
      <c r="M485" s="9">
        <v>1</v>
      </c>
      <c r="N485" s="7">
        <v>6.6</v>
      </c>
      <c r="O485" s="7">
        <v>4.3</v>
      </c>
      <c r="P485" s="7">
        <v>4</v>
      </c>
      <c r="Q485" t="s">
        <v>31</v>
      </c>
      <c r="R485" s="7" t="str">
        <f>TEXT(Table1[[#This Row],[Date]],"mmm yyyy")</f>
        <v>Dec 2025</v>
      </c>
      <c r="S485" s="9">
        <f>YEAR(Table1[[#This Row],[Date]])</f>
        <v>2025</v>
      </c>
      <c r="T485" s="9"/>
      <c r="U485" s="9"/>
    </row>
    <row r="486" spans="1:21" hidden="1" x14ac:dyDescent="0.3">
      <c r="A486" t="s">
        <v>876</v>
      </c>
      <c r="B486" s="6">
        <v>45939</v>
      </c>
      <c r="C486" t="s">
        <v>26</v>
      </c>
      <c r="D486" t="s">
        <v>33</v>
      </c>
      <c r="E486" t="s">
        <v>42</v>
      </c>
      <c r="F486" t="s">
        <v>353</v>
      </c>
      <c r="G486" t="s">
        <v>44</v>
      </c>
      <c r="J486" s="9">
        <v>0</v>
      </c>
      <c r="K486" s="7">
        <v>0</v>
      </c>
      <c r="L486" s="7">
        <v>0</v>
      </c>
      <c r="M486" s="9">
        <v>1</v>
      </c>
      <c r="N486" s="7">
        <v>1</v>
      </c>
      <c r="O486" s="7">
        <v>6.8</v>
      </c>
      <c r="P486" s="7">
        <v>3.4</v>
      </c>
      <c r="Q486" t="s">
        <v>39</v>
      </c>
      <c r="R486" s="7" t="str">
        <f>TEXT(Table1[[#This Row],[Date]],"mmm yyyy")</f>
        <v>Oct 2025</v>
      </c>
      <c r="S486" s="9">
        <f>YEAR(Table1[[#This Row],[Date]])</f>
        <v>2025</v>
      </c>
      <c r="T486" s="9"/>
      <c r="U486" s="9"/>
    </row>
    <row r="487" spans="1:21" hidden="1" x14ac:dyDescent="0.3">
      <c r="A487" t="s">
        <v>877</v>
      </c>
      <c r="B487" s="6">
        <v>46078</v>
      </c>
      <c r="C487" t="s">
        <v>26</v>
      </c>
      <c r="D487" t="s">
        <v>33</v>
      </c>
      <c r="E487" t="s">
        <v>48</v>
      </c>
      <c r="F487" t="s">
        <v>878</v>
      </c>
      <c r="G487" t="s">
        <v>44</v>
      </c>
      <c r="J487" s="9">
        <v>0</v>
      </c>
      <c r="K487" s="7">
        <v>0</v>
      </c>
      <c r="L487" s="7">
        <v>0</v>
      </c>
      <c r="M487" s="9">
        <v>1</v>
      </c>
      <c r="N487" s="7">
        <v>2.9</v>
      </c>
      <c r="O487" s="7">
        <v>11.4</v>
      </c>
      <c r="P487" s="7">
        <v>3.1</v>
      </c>
      <c r="Q487" t="s">
        <v>225</v>
      </c>
      <c r="R487" s="7" t="str">
        <f>TEXT(Table1[[#This Row],[Date]],"mmm yyyy")</f>
        <v>Feb 2026</v>
      </c>
      <c r="S487" s="9">
        <f>YEAR(Table1[[#This Row],[Date]])</f>
        <v>2026</v>
      </c>
      <c r="T487" s="9"/>
      <c r="U487" s="9"/>
    </row>
    <row r="488" spans="1:21" x14ac:dyDescent="0.3">
      <c r="A488" t="s">
        <v>879</v>
      </c>
      <c r="B488" s="6">
        <v>46180</v>
      </c>
      <c r="C488" t="s">
        <v>18</v>
      </c>
      <c r="D488" t="s">
        <v>105</v>
      </c>
      <c r="E488" t="s">
        <v>28</v>
      </c>
      <c r="F488" t="s">
        <v>465</v>
      </c>
      <c r="G488" t="s">
        <v>22</v>
      </c>
      <c r="H488" t="s">
        <v>78</v>
      </c>
      <c r="I488" t="s">
        <v>89</v>
      </c>
      <c r="J488" s="9">
        <v>1</v>
      </c>
      <c r="K488" s="7">
        <v>10300</v>
      </c>
      <c r="L488" s="7">
        <v>0</v>
      </c>
      <c r="M488" s="9"/>
      <c r="N488" s="7">
        <v>11.2</v>
      </c>
      <c r="O488" s="7"/>
      <c r="P488" s="7"/>
      <c r="Q488" t="s">
        <v>89</v>
      </c>
      <c r="R488" s="7" t="str">
        <f>TEXT(Table1[[#This Row],[Date]],"mmm yyyy")</f>
        <v>Jun 2026</v>
      </c>
      <c r="S488" s="9">
        <f>YEAR(Table1[[#This Row],[Date]])</f>
        <v>2026</v>
      </c>
      <c r="T488" s="9"/>
      <c r="U488" s="9"/>
    </row>
    <row r="489" spans="1:21" x14ac:dyDescent="0.3">
      <c r="A489" t="s">
        <v>880</v>
      </c>
      <c r="B489" s="6">
        <v>46145</v>
      </c>
      <c r="C489" t="s">
        <v>18</v>
      </c>
      <c r="D489" t="s">
        <v>41</v>
      </c>
      <c r="E489" t="s">
        <v>20</v>
      </c>
      <c r="F489" t="s">
        <v>447</v>
      </c>
      <c r="G489" t="s">
        <v>50</v>
      </c>
      <c r="H489" t="s">
        <v>86</v>
      </c>
      <c r="I489" t="s">
        <v>67</v>
      </c>
      <c r="J489" s="9">
        <v>1</v>
      </c>
      <c r="K489" s="7">
        <v>20000</v>
      </c>
      <c r="L489" s="7">
        <v>0</v>
      </c>
      <c r="M489" s="9"/>
      <c r="N489" s="7">
        <v>22.8</v>
      </c>
      <c r="O489" s="7"/>
      <c r="P489" s="7"/>
      <c r="Q489" t="s">
        <v>67</v>
      </c>
      <c r="R489" s="7" t="str">
        <f>TEXT(Table1[[#This Row],[Date]],"mmm yyyy")</f>
        <v>May 2026</v>
      </c>
      <c r="S489" s="9">
        <f>YEAR(Table1[[#This Row],[Date]])</f>
        <v>2026</v>
      </c>
      <c r="T489" s="9"/>
      <c r="U489" s="9"/>
    </row>
    <row r="490" spans="1:21" hidden="1" x14ac:dyDescent="0.3">
      <c r="A490" t="s">
        <v>881</v>
      </c>
      <c r="B490" s="6">
        <v>45993</v>
      </c>
      <c r="C490" t="s">
        <v>26</v>
      </c>
      <c r="D490" t="s">
        <v>72</v>
      </c>
      <c r="E490" t="s">
        <v>20</v>
      </c>
      <c r="F490" t="s">
        <v>882</v>
      </c>
      <c r="G490" t="s">
        <v>22</v>
      </c>
      <c r="J490" s="9">
        <v>0</v>
      </c>
      <c r="K490" s="7">
        <v>0</v>
      </c>
      <c r="L490" s="7">
        <v>0</v>
      </c>
      <c r="M490" s="9">
        <v>1</v>
      </c>
      <c r="N490" s="7">
        <v>9.6999999999999993</v>
      </c>
      <c r="O490" s="7">
        <v>6.7</v>
      </c>
      <c r="P490" s="7">
        <v>3.8</v>
      </c>
      <c r="Q490" t="s">
        <v>62</v>
      </c>
      <c r="R490" s="7" t="str">
        <f>TEXT(Table1[[#This Row],[Date]],"mmm yyyy")</f>
        <v>Dec 2025</v>
      </c>
      <c r="S490" s="9">
        <f>YEAR(Table1[[#This Row],[Date]])</f>
        <v>2025</v>
      </c>
      <c r="T490" s="9"/>
      <c r="U490" s="9"/>
    </row>
    <row r="491" spans="1:21" hidden="1" x14ac:dyDescent="0.3">
      <c r="A491" t="s">
        <v>883</v>
      </c>
      <c r="B491" s="6">
        <v>45973</v>
      </c>
      <c r="C491" t="s">
        <v>26</v>
      </c>
      <c r="D491" t="s">
        <v>69</v>
      </c>
      <c r="E491" t="s">
        <v>20</v>
      </c>
      <c r="F491" t="s">
        <v>495</v>
      </c>
      <c r="G491" t="s">
        <v>22</v>
      </c>
      <c r="J491" s="9">
        <v>0</v>
      </c>
      <c r="K491" s="7">
        <v>0</v>
      </c>
      <c r="L491" s="7">
        <v>0</v>
      </c>
      <c r="M491" s="9">
        <v>1</v>
      </c>
      <c r="N491" s="7">
        <v>9.5</v>
      </c>
      <c r="O491" s="7">
        <v>6.6</v>
      </c>
      <c r="P491" s="7">
        <v>2.5</v>
      </c>
      <c r="Q491" t="s">
        <v>39</v>
      </c>
      <c r="R491" s="7" t="str">
        <f>TEXT(Table1[[#This Row],[Date]],"mmm yyyy")</f>
        <v>Nov 2025</v>
      </c>
      <c r="S491" s="9">
        <f>YEAR(Table1[[#This Row],[Date]])</f>
        <v>2025</v>
      </c>
      <c r="T491" s="9"/>
      <c r="U491" s="9"/>
    </row>
    <row r="492" spans="1:21" x14ac:dyDescent="0.3">
      <c r="A492" t="s">
        <v>884</v>
      </c>
      <c r="B492" s="6">
        <v>46102</v>
      </c>
      <c r="C492" t="s">
        <v>18</v>
      </c>
      <c r="D492" t="s">
        <v>64</v>
      </c>
      <c r="E492" t="s">
        <v>28</v>
      </c>
      <c r="F492" t="s">
        <v>793</v>
      </c>
      <c r="G492" t="s">
        <v>22</v>
      </c>
      <c r="H492" t="s">
        <v>86</v>
      </c>
      <c r="I492" t="s">
        <v>45</v>
      </c>
      <c r="J492" s="9">
        <v>1</v>
      </c>
      <c r="K492" s="7">
        <v>36300</v>
      </c>
      <c r="L492" s="7">
        <v>0</v>
      </c>
      <c r="M492" s="9"/>
      <c r="N492" s="7">
        <v>21.1</v>
      </c>
      <c r="O492" s="7"/>
      <c r="P492" s="7"/>
      <c r="Q492" t="s">
        <v>45</v>
      </c>
      <c r="R492" s="7" t="str">
        <f>TEXT(Table1[[#This Row],[Date]],"mmm yyyy")</f>
        <v>Mar 2026</v>
      </c>
      <c r="S492" s="9">
        <f>YEAR(Table1[[#This Row],[Date]])</f>
        <v>2026</v>
      </c>
      <c r="T492" s="9"/>
      <c r="U492" s="9"/>
    </row>
    <row r="493" spans="1:21" hidden="1" x14ac:dyDescent="0.3">
      <c r="A493" t="s">
        <v>885</v>
      </c>
      <c r="B493" s="6">
        <v>45916</v>
      </c>
      <c r="C493" t="s">
        <v>26</v>
      </c>
      <c r="D493" t="s">
        <v>69</v>
      </c>
      <c r="E493" t="s">
        <v>48</v>
      </c>
      <c r="F493" t="s">
        <v>857</v>
      </c>
      <c r="G493" t="s">
        <v>30</v>
      </c>
      <c r="J493" s="9">
        <v>0</v>
      </c>
      <c r="K493" s="7">
        <v>0</v>
      </c>
      <c r="L493" s="7">
        <v>0</v>
      </c>
      <c r="M493" s="9">
        <v>1</v>
      </c>
      <c r="N493" s="7">
        <v>11.6</v>
      </c>
      <c r="O493" s="7">
        <v>3</v>
      </c>
      <c r="P493" s="7">
        <v>3.3</v>
      </c>
      <c r="Q493" t="s">
        <v>39</v>
      </c>
      <c r="R493" s="7" t="str">
        <f>TEXT(Table1[[#This Row],[Date]],"mmm yyyy")</f>
        <v>Sep 2025</v>
      </c>
      <c r="S493" s="9">
        <f>YEAR(Table1[[#This Row],[Date]])</f>
        <v>2025</v>
      </c>
      <c r="T493" s="9"/>
      <c r="U493" s="9"/>
    </row>
    <row r="494" spans="1:21" x14ac:dyDescent="0.3">
      <c r="A494" t="s">
        <v>886</v>
      </c>
      <c r="B494" s="6">
        <v>46183</v>
      </c>
      <c r="C494" t="s">
        <v>18</v>
      </c>
      <c r="D494" t="s">
        <v>41</v>
      </c>
      <c r="E494" t="s">
        <v>28</v>
      </c>
      <c r="F494" t="s">
        <v>887</v>
      </c>
      <c r="G494" t="s">
        <v>22</v>
      </c>
      <c r="H494" t="s">
        <v>86</v>
      </c>
      <c r="I494" t="s">
        <v>45</v>
      </c>
      <c r="J494" s="9">
        <v>1</v>
      </c>
      <c r="K494" s="7">
        <v>13000</v>
      </c>
      <c r="L494" s="7">
        <v>0</v>
      </c>
      <c r="M494" s="9"/>
      <c r="N494" s="7">
        <v>18.7</v>
      </c>
      <c r="O494" s="7"/>
      <c r="P494" s="7"/>
      <c r="Q494" t="s">
        <v>45</v>
      </c>
      <c r="R494" s="7" t="str">
        <f>TEXT(Table1[[#This Row],[Date]],"mmm yyyy")</f>
        <v>Jun 2026</v>
      </c>
      <c r="S494" s="9">
        <f>YEAR(Table1[[#This Row],[Date]])</f>
        <v>2026</v>
      </c>
      <c r="T494" s="9"/>
      <c r="U494" s="9"/>
    </row>
    <row r="495" spans="1:21" x14ac:dyDescent="0.3">
      <c r="A495" t="s">
        <v>888</v>
      </c>
      <c r="B495" s="6">
        <v>45955</v>
      </c>
      <c r="C495" t="s">
        <v>18</v>
      </c>
      <c r="D495" t="s">
        <v>117</v>
      </c>
      <c r="E495" t="s">
        <v>48</v>
      </c>
      <c r="F495" t="s">
        <v>889</v>
      </c>
      <c r="G495" t="s">
        <v>22</v>
      </c>
      <c r="H495" t="s">
        <v>86</v>
      </c>
      <c r="I495" t="s">
        <v>24</v>
      </c>
      <c r="J495" s="9">
        <v>1</v>
      </c>
      <c r="K495" s="7">
        <v>27700</v>
      </c>
      <c r="L495" s="7">
        <v>27700</v>
      </c>
      <c r="M495" s="9"/>
      <c r="N495" s="7">
        <v>8.8000000000000007</v>
      </c>
      <c r="O495" s="7"/>
      <c r="P495" s="7"/>
      <c r="Q495" t="s">
        <v>24</v>
      </c>
      <c r="R495" s="7" t="str">
        <f>TEXT(Table1[[#This Row],[Date]],"mmm yyyy")</f>
        <v>Oct 2025</v>
      </c>
      <c r="S495" s="9">
        <f>YEAR(Table1[[#This Row],[Date]])</f>
        <v>2025</v>
      </c>
      <c r="T495" s="9"/>
      <c r="U495" s="9"/>
    </row>
    <row r="496" spans="1:21" x14ac:dyDescent="0.3">
      <c r="A496" t="s">
        <v>890</v>
      </c>
      <c r="B496" s="6">
        <v>46022</v>
      </c>
      <c r="C496" t="s">
        <v>18</v>
      </c>
      <c r="D496" t="s">
        <v>105</v>
      </c>
      <c r="E496" t="s">
        <v>20</v>
      </c>
      <c r="F496" t="s">
        <v>891</v>
      </c>
      <c r="G496" t="s">
        <v>22</v>
      </c>
      <c r="H496" t="s">
        <v>23</v>
      </c>
      <c r="I496" t="s">
        <v>67</v>
      </c>
      <c r="J496" s="9">
        <v>1</v>
      </c>
      <c r="K496" s="7">
        <v>18300</v>
      </c>
      <c r="L496" s="7">
        <v>0</v>
      </c>
      <c r="M496" s="9"/>
      <c r="N496" s="7">
        <v>6</v>
      </c>
      <c r="O496" s="7"/>
      <c r="P496" s="7"/>
      <c r="Q496" t="s">
        <v>67</v>
      </c>
      <c r="R496" s="7" t="str">
        <f>TEXT(Table1[[#This Row],[Date]],"mmm yyyy")</f>
        <v>Dec 2025</v>
      </c>
      <c r="S496" s="9">
        <f>YEAR(Table1[[#This Row],[Date]])</f>
        <v>2025</v>
      </c>
      <c r="T496" s="9"/>
      <c r="U496" s="9"/>
    </row>
    <row r="497" spans="1:21" x14ac:dyDescent="0.3">
      <c r="A497" t="s">
        <v>892</v>
      </c>
      <c r="B497" s="6">
        <v>45924</v>
      </c>
      <c r="C497" t="s">
        <v>18</v>
      </c>
      <c r="D497" t="s">
        <v>64</v>
      </c>
      <c r="E497" t="s">
        <v>42</v>
      </c>
      <c r="F497" t="s">
        <v>893</v>
      </c>
      <c r="G497" t="s">
        <v>50</v>
      </c>
      <c r="H497" t="s">
        <v>78</v>
      </c>
      <c r="I497" t="s">
        <v>67</v>
      </c>
      <c r="J497" s="9">
        <v>1</v>
      </c>
      <c r="K497" s="7">
        <v>44000</v>
      </c>
      <c r="L497" s="7">
        <v>0</v>
      </c>
      <c r="M497" s="9"/>
      <c r="N497" s="7">
        <v>16</v>
      </c>
      <c r="O497" s="7"/>
      <c r="P497" s="7"/>
      <c r="Q497" t="s">
        <v>67</v>
      </c>
      <c r="R497" s="7" t="str">
        <f>TEXT(Table1[[#This Row],[Date]],"mmm yyyy")</f>
        <v>Sep 2025</v>
      </c>
      <c r="S497" s="9">
        <f>YEAR(Table1[[#This Row],[Date]])</f>
        <v>2025</v>
      </c>
      <c r="T497" s="9"/>
      <c r="U497" s="9"/>
    </row>
    <row r="498" spans="1:21" hidden="1" x14ac:dyDescent="0.3">
      <c r="A498" t="s">
        <v>894</v>
      </c>
      <c r="B498" s="6">
        <v>46220</v>
      </c>
      <c r="C498" t="s">
        <v>26</v>
      </c>
      <c r="D498" t="s">
        <v>232</v>
      </c>
      <c r="E498" t="s">
        <v>20</v>
      </c>
      <c r="F498" t="s">
        <v>596</v>
      </c>
      <c r="G498" t="s">
        <v>30</v>
      </c>
      <c r="J498" s="9">
        <v>0</v>
      </c>
      <c r="K498" s="7">
        <v>0</v>
      </c>
      <c r="L498" s="7">
        <v>0</v>
      </c>
      <c r="M498" s="9">
        <v>1</v>
      </c>
      <c r="N498" s="7">
        <v>2.5</v>
      </c>
      <c r="O498" s="7">
        <v>6.2</v>
      </c>
      <c r="P498" s="7">
        <v>3.3</v>
      </c>
      <c r="Q498" t="s">
        <v>31</v>
      </c>
      <c r="R498" s="7" t="str">
        <f>TEXT(Table1[[#This Row],[Date]],"mmm yyyy")</f>
        <v>Jul 2026</v>
      </c>
      <c r="S498" s="9">
        <f>YEAR(Table1[[#This Row],[Date]])</f>
        <v>2026</v>
      </c>
      <c r="T498" s="9"/>
      <c r="U498" s="9"/>
    </row>
    <row r="499" spans="1:21" x14ac:dyDescent="0.3">
      <c r="A499" t="s">
        <v>895</v>
      </c>
      <c r="B499" s="6">
        <v>46000</v>
      </c>
      <c r="C499" t="s">
        <v>18</v>
      </c>
      <c r="D499" t="s">
        <v>95</v>
      </c>
      <c r="E499" t="s">
        <v>37</v>
      </c>
      <c r="F499" t="s">
        <v>896</v>
      </c>
      <c r="G499" t="s">
        <v>44</v>
      </c>
      <c r="H499" t="s">
        <v>54</v>
      </c>
      <c r="I499" t="s">
        <v>89</v>
      </c>
      <c r="J499" s="9">
        <v>1</v>
      </c>
      <c r="K499" s="7">
        <v>11500</v>
      </c>
      <c r="L499" s="7">
        <v>0</v>
      </c>
      <c r="M499" s="9"/>
      <c r="N499" s="7">
        <v>21.2</v>
      </c>
      <c r="O499" s="7"/>
      <c r="P499" s="7"/>
      <c r="Q499" t="s">
        <v>89</v>
      </c>
      <c r="R499" s="7" t="str">
        <f>TEXT(Table1[[#This Row],[Date]],"mmm yyyy")</f>
        <v>Dec 2025</v>
      </c>
      <c r="S499" s="9">
        <f>YEAR(Table1[[#This Row],[Date]])</f>
        <v>2025</v>
      </c>
      <c r="T499" s="9"/>
      <c r="U499" s="9"/>
    </row>
    <row r="500" spans="1:21" hidden="1" x14ac:dyDescent="0.3">
      <c r="A500" t="s">
        <v>897</v>
      </c>
      <c r="B500" s="6">
        <v>46007</v>
      </c>
      <c r="C500" t="s">
        <v>26</v>
      </c>
      <c r="D500" t="s">
        <v>27</v>
      </c>
      <c r="E500" t="s">
        <v>20</v>
      </c>
      <c r="F500" t="s">
        <v>607</v>
      </c>
      <c r="G500" t="s">
        <v>22</v>
      </c>
      <c r="J500" s="9">
        <v>0</v>
      </c>
      <c r="K500" s="7">
        <v>0</v>
      </c>
      <c r="L500" s="7">
        <v>0</v>
      </c>
      <c r="M500" s="9">
        <v>1</v>
      </c>
      <c r="N500" s="7">
        <v>5</v>
      </c>
      <c r="O500" s="7">
        <v>10.8</v>
      </c>
      <c r="P500" s="7">
        <v>4.2</v>
      </c>
      <c r="Q500" t="s">
        <v>31</v>
      </c>
      <c r="R500" s="7" t="str">
        <f>TEXT(Table1[[#This Row],[Date]],"mmm yyyy")</f>
        <v>Dec 2025</v>
      </c>
      <c r="S500" s="9">
        <f>YEAR(Table1[[#This Row],[Date]])</f>
        <v>2025</v>
      </c>
      <c r="T500" s="9"/>
      <c r="U500" s="9"/>
    </row>
    <row r="501" spans="1:21" hidden="1" x14ac:dyDescent="0.3">
      <c r="A501" t="s">
        <v>898</v>
      </c>
      <c r="B501" s="6">
        <v>46231</v>
      </c>
      <c r="C501" t="s">
        <v>26</v>
      </c>
      <c r="D501" t="s">
        <v>33</v>
      </c>
      <c r="E501" t="s">
        <v>20</v>
      </c>
      <c r="F501" t="s">
        <v>899</v>
      </c>
      <c r="G501" t="s">
        <v>50</v>
      </c>
      <c r="J501" s="9">
        <v>0</v>
      </c>
      <c r="K501" s="7">
        <v>0</v>
      </c>
      <c r="L501" s="7">
        <v>0</v>
      </c>
      <c r="M501" s="9">
        <v>1</v>
      </c>
      <c r="N501" s="7">
        <v>9.4</v>
      </c>
      <c r="O501" s="7">
        <v>3.2</v>
      </c>
      <c r="P501" s="7">
        <v>4.0999999999999996</v>
      </c>
      <c r="Q501" t="s">
        <v>39</v>
      </c>
      <c r="R501" s="7" t="str">
        <f>TEXT(Table1[[#This Row],[Date]],"mmm yyyy")</f>
        <v>Jul 2026</v>
      </c>
      <c r="S501" s="9">
        <f>YEAR(Table1[[#This Row],[Date]])</f>
        <v>2026</v>
      </c>
      <c r="T501" s="9"/>
      <c r="U501" s="9"/>
    </row>
    <row r="502" spans="1:21" hidden="1" x14ac:dyDescent="0.3">
      <c r="A502" t="s">
        <v>900</v>
      </c>
      <c r="B502" s="6">
        <v>46091</v>
      </c>
      <c r="C502" t="s">
        <v>26</v>
      </c>
      <c r="D502" t="s">
        <v>72</v>
      </c>
      <c r="E502" t="s">
        <v>37</v>
      </c>
      <c r="F502" t="s">
        <v>882</v>
      </c>
      <c r="G502" t="s">
        <v>22</v>
      </c>
      <c r="J502" s="9">
        <v>0</v>
      </c>
      <c r="K502" s="7">
        <v>0</v>
      </c>
      <c r="L502" s="7">
        <v>0</v>
      </c>
      <c r="M502" s="9">
        <v>1</v>
      </c>
      <c r="N502" s="7">
        <v>2.2999999999999998</v>
      </c>
      <c r="O502" s="7">
        <v>9.6999999999999993</v>
      </c>
      <c r="P502" s="7">
        <v>3.6</v>
      </c>
      <c r="Q502" t="s">
        <v>31</v>
      </c>
      <c r="R502" s="7" t="str">
        <f>TEXT(Table1[[#This Row],[Date]],"mmm yyyy")</f>
        <v>Mar 2026</v>
      </c>
      <c r="S502" s="9">
        <f>YEAR(Table1[[#This Row],[Date]])</f>
        <v>2026</v>
      </c>
      <c r="T502" s="9"/>
      <c r="U502" s="9"/>
    </row>
    <row r="503" spans="1:21" x14ac:dyDescent="0.3">
      <c r="A503" t="s">
        <v>901</v>
      </c>
      <c r="B503" s="6">
        <v>46088</v>
      </c>
      <c r="C503" t="s">
        <v>18</v>
      </c>
      <c r="D503" t="s">
        <v>52</v>
      </c>
      <c r="E503" t="s">
        <v>42</v>
      </c>
      <c r="F503" t="s">
        <v>546</v>
      </c>
      <c r="G503" t="s">
        <v>50</v>
      </c>
      <c r="H503" t="s">
        <v>86</v>
      </c>
      <c r="I503" t="s">
        <v>55</v>
      </c>
      <c r="J503" s="9">
        <v>1</v>
      </c>
      <c r="K503" s="7">
        <v>7600</v>
      </c>
      <c r="L503" s="7">
        <v>0</v>
      </c>
      <c r="M503" s="9"/>
      <c r="N503" s="7">
        <v>13.8</v>
      </c>
      <c r="O503" s="7"/>
      <c r="P503" s="7"/>
      <c r="Q503" t="s">
        <v>55</v>
      </c>
      <c r="R503" s="7" t="str">
        <f>TEXT(Table1[[#This Row],[Date]],"mmm yyyy")</f>
        <v>Mar 2026</v>
      </c>
      <c r="S503" s="9">
        <f>YEAR(Table1[[#This Row],[Date]])</f>
        <v>2026</v>
      </c>
      <c r="T503" s="9"/>
      <c r="U503" s="9"/>
    </row>
    <row r="504" spans="1:21" x14ac:dyDescent="0.3">
      <c r="A504" t="s">
        <v>902</v>
      </c>
      <c r="B504" s="6">
        <v>46049</v>
      </c>
      <c r="C504" t="s">
        <v>18</v>
      </c>
      <c r="D504" t="s">
        <v>41</v>
      </c>
      <c r="E504" t="s">
        <v>20</v>
      </c>
      <c r="F504" t="s">
        <v>903</v>
      </c>
      <c r="G504" t="s">
        <v>44</v>
      </c>
      <c r="H504" t="s">
        <v>23</v>
      </c>
      <c r="I504" t="s">
        <v>67</v>
      </c>
      <c r="J504" s="9">
        <v>1</v>
      </c>
      <c r="K504" s="7">
        <v>18400</v>
      </c>
      <c r="L504" s="7">
        <v>0</v>
      </c>
      <c r="M504" s="9"/>
      <c r="N504" s="7">
        <v>12.9</v>
      </c>
      <c r="O504" s="7"/>
      <c r="P504" s="7"/>
      <c r="Q504" t="s">
        <v>67</v>
      </c>
      <c r="R504" s="7" t="str">
        <f>TEXT(Table1[[#This Row],[Date]],"mmm yyyy")</f>
        <v>Jan 2026</v>
      </c>
      <c r="S504" s="9">
        <f>YEAR(Table1[[#This Row],[Date]])</f>
        <v>2026</v>
      </c>
      <c r="T504" s="9"/>
      <c r="U504" s="9"/>
    </row>
    <row r="505" spans="1:21" hidden="1" x14ac:dyDescent="0.3">
      <c r="A505" t="s">
        <v>904</v>
      </c>
      <c r="B505" s="6">
        <v>45967</v>
      </c>
      <c r="C505" t="s">
        <v>26</v>
      </c>
      <c r="D505" t="s">
        <v>36</v>
      </c>
      <c r="E505" t="s">
        <v>28</v>
      </c>
      <c r="F505" t="s">
        <v>905</v>
      </c>
      <c r="G505" t="s">
        <v>22</v>
      </c>
      <c r="J505" s="9">
        <v>0</v>
      </c>
      <c r="K505" s="7">
        <v>0</v>
      </c>
      <c r="L505" s="7">
        <v>0</v>
      </c>
      <c r="M505" s="9">
        <v>1</v>
      </c>
      <c r="N505" s="7">
        <v>8.6999999999999993</v>
      </c>
      <c r="O505" s="7">
        <v>72</v>
      </c>
      <c r="P505" s="7">
        <v>3.8</v>
      </c>
      <c r="Q505" t="s">
        <v>39</v>
      </c>
      <c r="R505" s="7" t="str">
        <f>TEXT(Table1[[#This Row],[Date]],"mmm yyyy")</f>
        <v>Nov 2025</v>
      </c>
      <c r="S505" s="9">
        <f>YEAR(Table1[[#This Row],[Date]])</f>
        <v>2025</v>
      </c>
      <c r="T505" s="9"/>
      <c r="U505" s="9"/>
    </row>
    <row r="506" spans="1:21" hidden="1" x14ac:dyDescent="0.3">
      <c r="A506" t="s">
        <v>906</v>
      </c>
      <c r="B506" s="6">
        <v>46042</v>
      </c>
      <c r="C506" t="s">
        <v>26</v>
      </c>
      <c r="D506" t="s">
        <v>126</v>
      </c>
      <c r="E506" t="s">
        <v>20</v>
      </c>
      <c r="F506" t="s">
        <v>907</v>
      </c>
      <c r="G506" t="s">
        <v>30</v>
      </c>
      <c r="J506" s="9">
        <v>0</v>
      </c>
      <c r="K506" s="7">
        <v>0</v>
      </c>
      <c r="L506" s="7">
        <v>0</v>
      </c>
      <c r="M506" s="9">
        <v>1</v>
      </c>
      <c r="N506" s="7">
        <v>1.2</v>
      </c>
      <c r="O506" s="7">
        <v>6.3</v>
      </c>
      <c r="P506" s="7">
        <v>3.8</v>
      </c>
      <c r="Q506" t="s">
        <v>39</v>
      </c>
      <c r="R506" s="7" t="str">
        <f>TEXT(Table1[[#This Row],[Date]],"mmm yyyy")</f>
        <v>Jan 2026</v>
      </c>
      <c r="S506" s="9">
        <f>YEAR(Table1[[#This Row],[Date]])</f>
        <v>2026</v>
      </c>
      <c r="T506" s="9"/>
      <c r="U506" s="9"/>
    </row>
    <row r="507" spans="1:21" x14ac:dyDescent="0.3">
      <c r="A507" t="s">
        <v>908</v>
      </c>
      <c r="B507" s="6">
        <v>46258</v>
      </c>
      <c r="C507" t="s">
        <v>18</v>
      </c>
      <c r="D507" t="s">
        <v>105</v>
      </c>
      <c r="E507" t="s">
        <v>28</v>
      </c>
      <c r="F507" t="s">
        <v>759</v>
      </c>
      <c r="G507" t="s">
        <v>22</v>
      </c>
      <c r="H507" t="s">
        <v>54</v>
      </c>
      <c r="I507" t="s">
        <v>89</v>
      </c>
      <c r="J507" s="9">
        <v>1</v>
      </c>
      <c r="K507" s="7">
        <v>16000</v>
      </c>
      <c r="L507" s="7">
        <v>0</v>
      </c>
      <c r="M507" s="9"/>
      <c r="N507" s="7">
        <v>2.2000000000000002</v>
      </c>
      <c r="O507" s="7"/>
      <c r="P507" s="7"/>
      <c r="Q507" t="s">
        <v>89</v>
      </c>
      <c r="R507" s="7" t="str">
        <f>TEXT(Table1[[#This Row],[Date]],"mmm yyyy")</f>
        <v>Aug 2026</v>
      </c>
      <c r="S507" s="9">
        <f>YEAR(Table1[[#This Row],[Date]])</f>
        <v>2026</v>
      </c>
      <c r="T507" s="9"/>
      <c r="U507" s="9"/>
    </row>
    <row r="508" spans="1:21" hidden="1" x14ac:dyDescent="0.3">
      <c r="A508" t="s">
        <v>909</v>
      </c>
      <c r="B508" s="6">
        <v>46099</v>
      </c>
      <c r="C508" t="s">
        <v>26</v>
      </c>
      <c r="D508" t="s">
        <v>69</v>
      </c>
      <c r="E508" t="s">
        <v>20</v>
      </c>
      <c r="F508" t="s">
        <v>910</v>
      </c>
      <c r="G508" t="s">
        <v>44</v>
      </c>
      <c r="J508" s="9">
        <v>0</v>
      </c>
      <c r="K508" s="7">
        <v>0</v>
      </c>
      <c r="L508" s="7">
        <v>0</v>
      </c>
      <c r="M508" s="9">
        <v>1</v>
      </c>
      <c r="N508" s="7">
        <v>1.2</v>
      </c>
      <c r="O508" s="7">
        <v>3.8</v>
      </c>
      <c r="P508" s="7">
        <v>4.5</v>
      </c>
      <c r="Q508" t="s">
        <v>39</v>
      </c>
      <c r="R508" s="7" t="str">
        <f>TEXT(Table1[[#This Row],[Date]],"mmm yyyy")</f>
        <v>Mar 2026</v>
      </c>
      <c r="S508" s="9">
        <f>YEAR(Table1[[#This Row],[Date]])</f>
        <v>2026</v>
      </c>
      <c r="T508" s="9"/>
      <c r="U508" s="9"/>
    </row>
    <row r="509" spans="1:21" hidden="1" x14ac:dyDescent="0.3">
      <c r="A509" t="s">
        <v>911</v>
      </c>
      <c r="B509" s="6">
        <v>46006</v>
      </c>
      <c r="C509" t="s">
        <v>26</v>
      </c>
      <c r="D509" t="s">
        <v>33</v>
      </c>
      <c r="E509" t="s">
        <v>28</v>
      </c>
      <c r="F509" t="s">
        <v>912</v>
      </c>
      <c r="G509" t="s">
        <v>22</v>
      </c>
      <c r="J509" s="9">
        <v>0</v>
      </c>
      <c r="K509" s="7">
        <v>0</v>
      </c>
      <c r="L509" s="7">
        <v>0</v>
      </c>
      <c r="M509" s="9">
        <v>1</v>
      </c>
      <c r="N509" s="7">
        <v>11.2</v>
      </c>
      <c r="O509" s="7">
        <v>6.1</v>
      </c>
      <c r="P509" s="7">
        <v>2.8</v>
      </c>
      <c r="Q509" t="s">
        <v>62</v>
      </c>
      <c r="R509" s="7" t="str">
        <f>TEXT(Table1[[#This Row],[Date]],"mmm yyyy")</f>
        <v>Dec 2025</v>
      </c>
      <c r="S509" s="9">
        <f>YEAR(Table1[[#This Row],[Date]])</f>
        <v>2025</v>
      </c>
      <c r="T509" s="9"/>
      <c r="U509" s="9"/>
    </row>
    <row r="510" spans="1:21" hidden="1" x14ac:dyDescent="0.3">
      <c r="A510" t="s">
        <v>913</v>
      </c>
      <c r="B510" s="6">
        <v>45963</v>
      </c>
      <c r="C510" t="s">
        <v>26</v>
      </c>
      <c r="D510" t="s">
        <v>36</v>
      </c>
      <c r="E510" t="s">
        <v>20</v>
      </c>
      <c r="F510" t="s">
        <v>832</v>
      </c>
      <c r="G510" t="s">
        <v>44</v>
      </c>
      <c r="J510" s="9">
        <v>0</v>
      </c>
      <c r="K510" s="7">
        <v>0</v>
      </c>
      <c r="L510" s="7">
        <v>0</v>
      </c>
      <c r="M510" s="9">
        <v>1</v>
      </c>
      <c r="N510" s="7">
        <v>8.5</v>
      </c>
      <c r="O510" s="7">
        <v>5.4</v>
      </c>
      <c r="P510" s="7">
        <v>3.7</v>
      </c>
      <c r="Q510" t="s">
        <v>39</v>
      </c>
      <c r="R510" s="7" t="str">
        <f>TEXT(Table1[[#This Row],[Date]],"mmm yyyy")</f>
        <v>Nov 2025</v>
      </c>
      <c r="S510" s="9">
        <f>YEAR(Table1[[#This Row],[Date]])</f>
        <v>2025</v>
      </c>
      <c r="T510" s="9"/>
      <c r="U510" s="9"/>
    </row>
    <row r="511" spans="1:21" hidden="1" x14ac:dyDescent="0.3">
      <c r="A511" t="s">
        <v>914</v>
      </c>
      <c r="B511" s="6">
        <v>45953</v>
      </c>
      <c r="C511" t="s">
        <v>26</v>
      </c>
      <c r="D511" t="s">
        <v>232</v>
      </c>
      <c r="E511" t="s">
        <v>20</v>
      </c>
      <c r="F511" t="s">
        <v>224</v>
      </c>
      <c r="G511" t="s">
        <v>44</v>
      </c>
      <c r="J511" s="9">
        <v>0</v>
      </c>
      <c r="K511" s="7">
        <v>0</v>
      </c>
      <c r="L511" s="7">
        <v>0</v>
      </c>
      <c r="M511" s="9">
        <v>1</v>
      </c>
      <c r="N511" s="7">
        <v>4.7</v>
      </c>
      <c r="O511" s="7">
        <v>12.6</v>
      </c>
      <c r="P511" s="7">
        <v>3.2</v>
      </c>
      <c r="Q511" t="s">
        <v>62</v>
      </c>
      <c r="R511" s="7" t="str">
        <f>TEXT(Table1[[#This Row],[Date]],"mmm yyyy")</f>
        <v>Oct 2025</v>
      </c>
      <c r="S511" s="9">
        <f>YEAR(Table1[[#This Row],[Date]])</f>
        <v>2025</v>
      </c>
      <c r="T511" s="9"/>
      <c r="U511" s="9"/>
    </row>
    <row r="512" spans="1:21" hidden="1" x14ac:dyDescent="0.3">
      <c r="A512" t="s">
        <v>915</v>
      </c>
      <c r="B512" s="6">
        <v>46123</v>
      </c>
      <c r="C512" t="s">
        <v>26</v>
      </c>
      <c r="D512" t="s">
        <v>27</v>
      </c>
      <c r="E512" t="s">
        <v>20</v>
      </c>
      <c r="F512" t="s">
        <v>134</v>
      </c>
      <c r="G512" t="s">
        <v>22</v>
      </c>
      <c r="J512" s="9">
        <v>0</v>
      </c>
      <c r="K512" s="7">
        <v>0</v>
      </c>
      <c r="L512" s="7">
        <v>0</v>
      </c>
      <c r="M512" s="9">
        <v>1</v>
      </c>
      <c r="N512" s="7">
        <v>4.3</v>
      </c>
      <c r="O512" s="7">
        <v>2.2000000000000002</v>
      </c>
      <c r="P512" s="7">
        <v>4.2</v>
      </c>
      <c r="Q512" t="s">
        <v>225</v>
      </c>
      <c r="R512" s="7" t="str">
        <f>TEXT(Table1[[#This Row],[Date]],"mmm yyyy")</f>
        <v>Apr 2026</v>
      </c>
      <c r="S512" s="9">
        <f>YEAR(Table1[[#This Row],[Date]])</f>
        <v>2026</v>
      </c>
      <c r="T512" s="9"/>
      <c r="U512" s="9"/>
    </row>
    <row r="513" spans="1:21" x14ac:dyDescent="0.3">
      <c r="A513" t="s">
        <v>916</v>
      </c>
      <c r="B513" s="6">
        <v>46190</v>
      </c>
      <c r="C513" t="s">
        <v>18</v>
      </c>
      <c r="D513" t="s">
        <v>41</v>
      </c>
      <c r="E513" t="s">
        <v>48</v>
      </c>
      <c r="F513" t="s">
        <v>917</v>
      </c>
      <c r="G513" t="s">
        <v>30</v>
      </c>
      <c r="H513" t="s">
        <v>86</v>
      </c>
      <c r="I513" t="s">
        <v>89</v>
      </c>
      <c r="J513" s="9">
        <v>1</v>
      </c>
      <c r="K513" s="7">
        <v>8000</v>
      </c>
      <c r="L513" s="7">
        <v>0</v>
      </c>
      <c r="M513" s="9"/>
      <c r="N513" s="7">
        <v>19.2</v>
      </c>
      <c r="O513" s="7"/>
      <c r="P513" s="7"/>
      <c r="Q513" t="s">
        <v>89</v>
      </c>
      <c r="R513" s="7" t="str">
        <f>TEXT(Table1[[#This Row],[Date]],"mmm yyyy")</f>
        <v>Jun 2026</v>
      </c>
      <c r="S513" s="9">
        <f>YEAR(Table1[[#This Row],[Date]])</f>
        <v>2026</v>
      </c>
      <c r="T513" s="9"/>
      <c r="U513" s="9"/>
    </row>
    <row r="514" spans="1:21" hidden="1" x14ac:dyDescent="0.3">
      <c r="A514" t="s">
        <v>918</v>
      </c>
      <c r="B514" s="6">
        <v>45978</v>
      </c>
      <c r="C514" t="s">
        <v>26</v>
      </c>
      <c r="D514" t="s">
        <v>72</v>
      </c>
      <c r="E514" t="s">
        <v>20</v>
      </c>
      <c r="F514" t="s">
        <v>896</v>
      </c>
      <c r="G514" t="s">
        <v>22</v>
      </c>
      <c r="J514" s="9">
        <v>0</v>
      </c>
      <c r="K514" s="7">
        <v>0</v>
      </c>
      <c r="L514" s="7">
        <v>0</v>
      </c>
      <c r="M514" s="9">
        <v>1</v>
      </c>
      <c r="N514" s="7">
        <v>4.0999999999999996</v>
      </c>
      <c r="O514" s="7">
        <v>6.3</v>
      </c>
      <c r="P514" s="7">
        <v>4.0999999999999996</v>
      </c>
      <c r="Q514" t="s">
        <v>62</v>
      </c>
      <c r="R514" s="7" t="str">
        <f>TEXT(Table1[[#This Row],[Date]],"mmm yyyy")</f>
        <v>Nov 2025</v>
      </c>
      <c r="S514" s="9">
        <f>YEAR(Table1[[#This Row],[Date]])</f>
        <v>2025</v>
      </c>
      <c r="T514" s="9"/>
      <c r="U514" s="9"/>
    </row>
    <row r="515" spans="1:21" hidden="1" x14ac:dyDescent="0.3">
      <c r="A515" t="s">
        <v>919</v>
      </c>
      <c r="B515" s="6">
        <v>46155</v>
      </c>
      <c r="C515" t="s">
        <v>26</v>
      </c>
      <c r="D515" t="s">
        <v>72</v>
      </c>
      <c r="E515" t="s">
        <v>42</v>
      </c>
      <c r="F515" t="s">
        <v>920</v>
      </c>
      <c r="G515" t="s">
        <v>50</v>
      </c>
      <c r="J515" s="9">
        <v>0</v>
      </c>
      <c r="K515" s="7">
        <v>0</v>
      </c>
      <c r="L515" s="7">
        <v>0</v>
      </c>
      <c r="M515" s="9">
        <v>1</v>
      </c>
      <c r="N515" s="7">
        <v>10.6</v>
      </c>
      <c r="O515" s="7">
        <v>1.3</v>
      </c>
      <c r="P515" s="7">
        <v>5</v>
      </c>
      <c r="Q515" t="s">
        <v>39</v>
      </c>
      <c r="R515" s="7" t="str">
        <f>TEXT(Table1[[#This Row],[Date]],"mmm yyyy")</f>
        <v>May 2026</v>
      </c>
      <c r="S515" s="9">
        <f>YEAR(Table1[[#This Row],[Date]])</f>
        <v>2026</v>
      </c>
      <c r="T515" s="9"/>
      <c r="U515" s="9"/>
    </row>
    <row r="516" spans="1:21" x14ac:dyDescent="0.3">
      <c r="A516" t="s">
        <v>921</v>
      </c>
      <c r="B516" s="6">
        <v>46158</v>
      </c>
      <c r="C516" t="s">
        <v>18</v>
      </c>
      <c r="D516" t="s">
        <v>64</v>
      </c>
      <c r="E516" t="s">
        <v>20</v>
      </c>
      <c r="F516" t="s">
        <v>29</v>
      </c>
      <c r="G516" t="s">
        <v>30</v>
      </c>
      <c r="H516" t="s">
        <v>78</v>
      </c>
      <c r="I516" t="s">
        <v>45</v>
      </c>
      <c r="J516" s="9">
        <v>1</v>
      </c>
      <c r="K516" s="7">
        <v>115200</v>
      </c>
      <c r="L516" s="7">
        <v>0</v>
      </c>
      <c r="M516" s="9"/>
      <c r="N516" s="7">
        <v>15.8</v>
      </c>
      <c r="O516" s="7"/>
      <c r="P516" s="7"/>
      <c r="Q516" t="s">
        <v>45</v>
      </c>
      <c r="R516" s="7" t="str">
        <f>TEXT(Table1[[#This Row],[Date]],"mmm yyyy")</f>
        <v>May 2026</v>
      </c>
      <c r="S516" s="9">
        <f>YEAR(Table1[[#This Row],[Date]])</f>
        <v>2026</v>
      </c>
      <c r="T516" s="9"/>
      <c r="U516" s="9"/>
    </row>
    <row r="517" spans="1:21" x14ac:dyDescent="0.3">
      <c r="A517" t="s">
        <v>922</v>
      </c>
      <c r="B517" s="6">
        <v>46257</v>
      </c>
      <c r="C517" t="s">
        <v>18</v>
      </c>
      <c r="D517" t="s">
        <v>19</v>
      </c>
      <c r="E517" t="s">
        <v>48</v>
      </c>
      <c r="F517" t="s">
        <v>923</v>
      </c>
      <c r="G517" t="s">
        <v>44</v>
      </c>
      <c r="H517" t="s">
        <v>23</v>
      </c>
      <c r="I517" t="s">
        <v>67</v>
      </c>
      <c r="J517" s="9">
        <v>1</v>
      </c>
      <c r="K517" s="7">
        <v>54100</v>
      </c>
      <c r="L517" s="7">
        <v>0</v>
      </c>
      <c r="M517" s="9"/>
      <c r="N517" s="7">
        <v>18.399999999999999</v>
      </c>
      <c r="O517" s="7"/>
      <c r="P517" s="7"/>
      <c r="Q517" t="s">
        <v>67</v>
      </c>
      <c r="R517" s="7" t="str">
        <f>TEXT(Table1[[#This Row],[Date]],"mmm yyyy")</f>
        <v>Aug 2026</v>
      </c>
      <c r="S517" s="9">
        <f>YEAR(Table1[[#This Row],[Date]])</f>
        <v>2026</v>
      </c>
      <c r="T517" s="9"/>
      <c r="U517" s="9"/>
    </row>
    <row r="518" spans="1:21" x14ac:dyDescent="0.3">
      <c r="A518" t="s">
        <v>924</v>
      </c>
      <c r="B518" s="6">
        <v>46135</v>
      </c>
      <c r="C518" t="s">
        <v>18</v>
      </c>
      <c r="D518" t="s">
        <v>47</v>
      </c>
      <c r="E518" t="s">
        <v>20</v>
      </c>
      <c r="F518" t="s">
        <v>442</v>
      </c>
      <c r="G518" t="s">
        <v>22</v>
      </c>
      <c r="H518" t="s">
        <v>23</v>
      </c>
      <c r="I518" t="s">
        <v>67</v>
      </c>
      <c r="J518" s="9">
        <v>1</v>
      </c>
      <c r="K518" s="7">
        <v>18300</v>
      </c>
      <c r="L518" s="7">
        <v>0</v>
      </c>
      <c r="M518" s="9"/>
      <c r="N518" s="7">
        <v>18</v>
      </c>
      <c r="O518" s="7"/>
      <c r="P518" s="7"/>
      <c r="Q518" t="s">
        <v>67</v>
      </c>
      <c r="R518" s="7" t="str">
        <f>TEXT(Table1[[#This Row],[Date]],"mmm yyyy")</f>
        <v>Apr 2026</v>
      </c>
      <c r="S518" s="9">
        <f>YEAR(Table1[[#This Row],[Date]])</f>
        <v>2026</v>
      </c>
      <c r="T518" s="9"/>
      <c r="U518" s="9"/>
    </row>
    <row r="519" spans="1:21" hidden="1" x14ac:dyDescent="0.3">
      <c r="A519" t="s">
        <v>925</v>
      </c>
      <c r="B519" s="6">
        <v>46142</v>
      </c>
      <c r="C519" t="s">
        <v>26</v>
      </c>
      <c r="D519" t="s">
        <v>126</v>
      </c>
      <c r="E519" t="s">
        <v>42</v>
      </c>
      <c r="F519" t="s">
        <v>926</v>
      </c>
      <c r="G519" t="s">
        <v>50</v>
      </c>
      <c r="J519" s="9">
        <v>0</v>
      </c>
      <c r="K519" s="7">
        <v>0</v>
      </c>
      <c r="L519" s="7">
        <v>0</v>
      </c>
      <c r="M519" s="9">
        <v>1</v>
      </c>
      <c r="N519" s="7">
        <v>10.6</v>
      </c>
      <c r="O519" s="7">
        <v>4.8</v>
      </c>
      <c r="P519" s="7">
        <v>3.7</v>
      </c>
      <c r="Q519" t="s">
        <v>225</v>
      </c>
      <c r="R519" s="7" t="str">
        <f>TEXT(Table1[[#This Row],[Date]],"mmm yyyy")</f>
        <v>Apr 2026</v>
      </c>
      <c r="S519" s="9">
        <f>YEAR(Table1[[#This Row],[Date]])</f>
        <v>2026</v>
      </c>
      <c r="T519" s="9"/>
      <c r="U519" s="9"/>
    </row>
    <row r="520" spans="1:21" hidden="1" x14ac:dyDescent="0.3">
      <c r="A520" t="s">
        <v>927</v>
      </c>
      <c r="B520" s="6">
        <v>46202</v>
      </c>
      <c r="C520" t="s">
        <v>26</v>
      </c>
      <c r="D520" t="s">
        <v>33</v>
      </c>
      <c r="E520" t="s">
        <v>20</v>
      </c>
      <c r="F520" t="s">
        <v>77</v>
      </c>
      <c r="G520" t="s">
        <v>22</v>
      </c>
      <c r="J520" s="9">
        <v>0</v>
      </c>
      <c r="K520" s="7">
        <v>0</v>
      </c>
      <c r="L520" s="7">
        <v>0</v>
      </c>
      <c r="M520" s="9">
        <v>1</v>
      </c>
      <c r="N520" s="7">
        <v>7.6</v>
      </c>
      <c r="O520" s="7">
        <v>8.6</v>
      </c>
      <c r="P520" s="7">
        <v>3.9</v>
      </c>
      <c r="Q520" t="s">
        <v>62</v>
      </c>
      <c r="R520" s="7" t="str">
        <f>TEXT(Table1[[#This Row],[Date]],"mmm yyyy")</f>
        <v>Jun 2026</v>
      </c>
      <c r="S520" s="9">
        <f>YEAR(Table1[[#This Row],[Date]])</f>
        <v>2026</v>
      </c>
      <c r="T520" s="9"/>
      <c r="U520" s="9"/>
    </row>
    <row r="521" spans="1:21" x14ac:dyDescent="0.3">
      <c r="A521" t="s">
        <v>928</v>
      </c>
      <c r="B521" s="6">
        <v>46248</v>
      </c>
      <c r="C521" t="s">
        <v>18</v>
      </c>
      <c r="D521" t="s">
        <v>95</v>
      </c>
      <c r="E521" t="s">
        <v>20</v>
      </c>
      <c r="F521" t="s">
        <v>683</v>
      </c>
      <c r="G521" t="s">
        <v>50</v>
      </c>
      <c r="H521" t="s">
        <v>86</v>
      </c>
      <c r="I521" t="s">
        <v>45</v>
      </c>
      <c r="J521" s="9">
        <v>1</v>
      </c>
      <c r="K521" s="7">
        <v>8900</v>
      </c>
      <c r="L521" s="7">
        <v>0</v>
      </c>
      <c r="M521" s="9"/>
      <c r="N521" s="7">
        <v>17.600000000000001</v>
      </c>
      <c r="O521" s="7"/>
      <c r="P521" s="7"/>
      <c r="Q521" t="s">
        <v>45</v>
      </c>
      <c r="R521" s="7" t="str">
        <f>TEXT(Table1[[#This Row],[Date]],"mmm yyyy")</f>
        <v>Aug 2026</v>
      </c>
      <c r="S521" s="9">
        <f>YEAR(Table1[[#This Row],[Date]])</f>
        <v>2026</v>
      </c>
      <c r="T521" s="9"/>
      <c r="U521" s="9"/>
    </row>
    <row r="522" spans="1:21" hidden="1" x14ac:dyDescent="0.3">
      <c r="A522" t="s">
        <v>929</v>
      </c>
      <c r="B522" s="6">
        <v>46121</v>
      </c>
      <c r="C522" t="s">
        <v>26</v>
      </c>
      <c r="D522" t="s">
        <v>114</v>
      </c>
      <c r="E522" t="s">
        <v>20</v>
      </c>
      <c r="F522" t="s">
        <v>740</v>
      </c>
      <c r="G522" t="s">
        <v>44</v>
      </c>
      <c r="J522" s="9">
        <v>0</v>
      </c>
      <c r="K522" s="7">
        <v>0</v>
      </c>
      <c r="L522" s="7">
        <v>0</v>
      </c>
      <c r="M522" s="9">
        <v>1</v>
      </c>
      <c r="N522" s="7">
        <v>7</v>
      </c>
      <c r="O522" s="7">
        <v>7.7</v>
      </c>
      <c r="P522" s="7">
        <v>3.9</v>
      </c>
      <c r="Q522" t="s">
        <v>62</v>
      </c>
      <c r="R522" s="7" t="str">
        <f>TEXT(Table1[[#This Row],[Date]],"mmm yyyy")</f>
        <v>Apr 2026</v>
      </c>
      <c r="S522" s="9">
        <f>YEAR(Table1[[#This Row],[Date]])</f>
        <v>2026</v>
      </c>
      <c r="T522" s="9"/>
      <c r="U522" s="9"/>
    </row>
    <row r="523" spans="1:21" x14ac:dyDescent="0.3">
      <c r="A523" t="s">
        <v>930</v>
      </c>
      <c r="B523" s="6">
        <v>46021</v>
      </c>
      <c r="C523" t="s">
        <v>18</v>
      </c>
      <c r="D523" t="s">
        <v>41</v>
      </c>
      <c r="E523" t="s">
        <v>20</v>
      </c>
      <c r="F523" t="s">
        <v>380</v>
      </c>
      <c r="G523" t="s">
        <v>30</v>
      </c>
      <c r="H523" t="s">
        <v>78</v>
      </c>
      <c r="I523" t="s">
        <v>24</v>
      </c>
      <c r="J523" s="9">
        <v>1</v>
      </c>
      <c r="K523" s="7">
        <v>51700</v>
      </c>
      <c r="L523" s="7">
        <v>51700</v>
      </c>
      <c r="M523" s="9"/>
      <c r="N523" s="7">
        <v>21</v>
      </c>
      <c r="O523" s="7"/>
      <c r="P523" s="7"/>
      <c r="Q523" t="s">
        <v>24</v>
      </c>
      <c r="R523" s="7" t="str">
        <f>TEXT(Table1[[#This Row],[Date]],"mmm yyyy")</f>
        <v>Dec 2025</v>
      </c>
      <c r="S523" s="9">
        <f>YEAR(Table1[[#This Row],[Date]])</f>
        <v>2025</v>
      </c>
      <c r="T523" s="9"/>
      <c r="U523" s="9"/>
    </row>
    <row r="524" spans="1:21" hidden="1" x14ac:dyDescent="0.3">
      <c r="A524" t="s">
        <v>931</v>
      </c>
      <c r="B524" s="6">
        <v>46077</v>
      </c>
      <c r="C524" t="s">
        <v>26</v>
      </c>
      <c r="D524" t="s">
        <v>126</v>
      </c>
      <c r="E524" t="s">
        <v>20</v>
      </c>
      <c r="F524" t="s">
        <v>932</v>
      </c>
      <c r="G524" t="s">
        <v>30</v>
      </c>
      <c r="J524" s="9">
        <v>0</v>
      </c>
      <c r="K524" s="7">
        <v>0</v>
      </c>
      <c r="L524" s="7">
        <v>0</v>
      </c>
      <c r="M524" s="9">
        <v>1</v>
      </c>
      <c r="N524" s="7">
        <v>6.2</v>
      </c>
      <c r="O524" s="7">
        <v>12.5</v>
      </c>
      <c r="P524" s="7">
        <v>3.2</v>
      </c>
      <c r="Q524" t="s">
        <v>39</v>
      </c>
      <c r="R524" s="7" t="str">
        <f>TEXT(Table1[[#This Row],[Date]],"mmm yyyy")</f>
        <v>Feb 2026</v>
      </c>
      <c r="S524" s="9">
        <f>YEAR(Table1[[#This Row],[Date]])</f>
        <v>2026</v>
      </c>
      <c r="T524" s="9"/>
      <c r="U524" s="9"/>
    </row>
    <row r="525" spans="1:21" hidden="1" x14ac:dyDescent="0.3">
      <c r="A525" t="s">
        <v>933</v>
      </c>
      <c r="B525" s="6">
        <v>45956</v>
      </c>
      <c r="C525" t="s">
        <v>26</v>
      </c>
      <c r="D525" t="s">
        <v>126</v>
      </c>
      <c r="E525" t="s">
        <v>28</v>
      </c>
      <c r="F525" t="s">
        <v>934</v>
      </c>
      <c r="G525" t="s">
        <v>44</v>
      </c>
      <c r="J525" s="9">
        <v>0</v>
      </c>
      <c r="K525" s="7">
        <v>0</v>
      </c>
      <c r="L525" s="7">
        <v>0</v>
      </c>
      <c r="M525" s="9">
        <v>1</v>
      </c>
      <c r="N525" s="7">
        <v>1.4</v>
      </c>
      <c r="O525" s="7">
        <v>15.3</v>
      </c>
      <c r="P525" s="7">
        <v>3.5</v>
      </c>
      <c r="Q525" t="s">
        <v>31</v>
      </c>
      <c r="R525" s="7" t="str">
        <f>TEXT(Table1[[#This Row],[Date]],"mmm yyyy")</f>
        <v>Oct 2025</v>
      </c>
      <c r="S525" s="9">
        <f>YEAR(Table1[[#This Row],[Date]])</f>
        <v>2025</v>
      </c>
      <c r="T525" s="9"/>
      <c r="U525" s="9"/>
    </row>
    <row r="526" spans="1:21" hidden="1" x14ac:dyDescent="0.3">
      <c r="A526" t="s">
        <v>935</v>
      </c>
      <c r="B526" s="6">
        <v>46208</v>
      </c>
      <c r="C526" t="s">
        <v>26</v>
      </c>
      <c r="D526" t="s">
        <v>36</v>
      </c>
      <c r="E526" t="s">
        <v>20</v>
      </c>
      <c r="F526" t="s">
        <v>197</v>
      </c>
      <c r="G526" t="s">
        <v>50</v>
      </c>
      <c r="J526" s="9">
        <v>0</v>
      </c>
      <c r="K526" s="7">
        <v>0</v>
      </c>
      <c r="L526" s="7">
        <v>0</v>
      </c>
      <c r="M526" s="9">
        <v>1</v>
      </c>
      <c r="N526" s="7">
        <v>7.2</v>
      </c>
      <c r="O526" s="7">
        <v>5.0999999999999996</v>
      </c>
      <c r="P526" s="7">
        <v>5</v>
      </c>
      <c r="Q526" t="s">
        <v>62</v>
      </c>
      <c r="R526" s="7" t="str">
        <f>TEXT(Table1[[#This Row],[Date]],"mmm yyyy")</f>
        <v>Jul 2026</v>
      </c>
      <c r="S526" s="9">
        <f>YEAR(Table1[[#This Row],[Date]])</f>
        <v>2026</v>
      </c>
      <c r="T526" s="9"/>
      <c r="U526" s="9"/>
    </row>
    <row r="527" spans="1:21" x14ac:dyDescent="0.3">
      <c r="A527" t="s">
        <v>936</v>
      </c>
      <c r="B527" s="6">
        <v>46262</v>
      </c>
      <c r="C527" t="s">
        <v>18</v>
      </c>
      <c r="D527" t="s">
        <v>47</v>
      </c>
      <c r="E527" t="s">
        <v>20</v>
      </c>
      <c r="F527" t="s">
        <v>937</v>
      </c>
      <c r="G527" t="s">
        <v>50</v>
      </c>
      <c r="H527" t="s">
        <v>66</v>
      </c>
      <c r="I527" t="s">
        <v>45</v>
      </c>
      <c r="J527" s="9">
        <v>1</v>
      </c>
      <c r="K527" s="7">
        <v>22400</v>
      </c>
      <c r="L527" s="7">
        <v>0</v>
      </c>
      <c r="M527" s="9"/>
      <c r="N527" s="7">
        <v>5.4</v>
      </c>
      <c r="O527" s="7"/>
      <c r="P527" s="7"/>
      <c r="Q527" t="s">
        <v>45</v>
      </c>
      <c r="R527" s="7" t="str">
        <f>TEXT(Table1[[#This Row],[Date]],"mmm yyyy")</f>
        <v>Aug 2026</v>
      </c>
      <c r="S527" s="9">
        <f>YEAR(Table1[[#This Row],[Date]])</f>
        <v>2026</v>
      </c>
      <c r="T527" s="9"/>
      <c r="U527" s="9"/>
    </row>
    <row r="528" spans="1:21" x14ac:dyDescent="0.3">
      <c r="A528" t="s">
        <v>938</v>
      </c>
      <c r="B528" s="6">
        <v>46245</v>
      </c>
      <c r="C528" t="s">
        <v>18</v>
      </c>
      <c r="D528" t="s">
        <v>52</v>
      </c>
      <c r="E528" t="s">
        <v>20</v>
      </c>
      <c r="F528" t="s">
        <v>939</v>
      </c>
      <c r="G528" t="s">
        <v>30</v>
      </c>
      <c r="H528" t="s">
        <v>78</v>
      </c>
      <c r="I528" t="s">
        <v>67</v>
      </c>
      <c r="J528" s="9">
        <v>1</v>
      </c>
      <c r="K528" s="7">
        <v>10200</v>
      </c>
      <c r="L528" s="7">
        <v>0</v>
      </c>
      <c r="M528" s="9"/>
      <c r="N528" s="7">
        <v>12.3</v>
      </c>
      <c r="O528" s="7"/>
      <c r="P528" s="7"/>
      <c r="Q528" t="s">
        <v>67</v>
      </c>
      <c r="R528" s="7" t="str">
        <f>TEXT(Table1[[#This Row],[Date]],"mmm yyyy")</f>
        <v>Aug 2026</v>
      </c>
      <c r="S528" s="9">
        <f>YEAR(Table1[[#This Row],[Date]])</f>
        <v>2026</v>
      </c>
      <c r="T528" s="9"/>
      <c r="U528" s="9"/>
    </row>
    <row r="529" spans="1:21" x14ac:dyDescent="0.3">
      <c r="A529" t="s">
        <v>940</v>
      </c>
      <c r="B529" s="6">
        <v>46176</v>
      </c>
      <c r="C529" t="s">
        <v>18</v>
      </c>
      <c r="D529" t="s">
        <v>41</v>
      </c>
      <c r="E529" t="s">
        <v>42</v>
      </c>
      <c r="F529" t="s">
        <v>144</v>
      </c>
      <c r="G529" t="s">
        <v>30</v>
      </c>
      <c r="H529" t="s">
        <v>23</v>
      </c>
      <c r="I529" t="s">
        <v>24</v>
      </c>
      <c r="J529" s="9">
        <v>1</v>
      </c>
      <c r="K529" s="7">
        <v>15800</v>
      </c>
      <c r="L529" s="7">
        <v>15800</v>
      </c>
      <c r="M529" s="9"/>
      <c r="N529" s="7">
        <v>12.9</v>
      </c>
      <c r="O529" s="7"/>
      <c r="P529" s="7"/>
      <c r="Q529" t="s">
        <v>24</v>
      </c>
      <c r="R529" s="7" t="str">
        <f>TEXT(Table1[[#This Row],[Date]],"mmm yyyy")</f>
        <v>Jun 2026</v>
      </c>
      <c r="S529" s="9">
        <f>YEAR(Table1[[#This Row],[Date]])</f>
        <v>2026</v>
      </c>
      <c r="T529" s="9"/>
      <c r="U529" s="9"/>
    </row>
    <row r="530" spans="1:21" x14ac:dyDescent="0.3">
      <c r="A530" t="s">
        <v>941</v>
      </c>
      <c r="B530" s="6">
        <v>45985</v>
      </c>
      <c r="C530" t="s">
        <v>18</v>
      </c>
      <c r="D530" t="s">
        <v>52</v>
      </c>
      <c r="E530" t="s">
        <v>48</v>
      </c>
      <c r="F530" t="s">
        <v>942</v>
      </c>
      <c r="G530" t="s">
        <v>30</v>
      </c>
      <c r="H530" t="s">
        <v>86</v>
      </c>
      <c r="I530" t="s">
        <v>67</v>
      </c>
      <c r="J530" s="9">
        <v>1</v>
      </c>
      <c r="K530" s="7">
        <v>113400</v>
      </c>
      <c r="L530" s="7">
        <v>0</v>
      </c>
      <c r="M530" s="9"/>
      <c r="N530" s="7">
        <v>13.6</v>
      </c>
      <c r="O530" s="7"/>
      <c r="P530" s="7"/>
      <c r="Q530" t="s">
        <v>67</v>
      </c>
      <c r="R530" s="7" t="str">
        <f>TEXT(Table1[[#This Row],[Date]],"mmm yyyy")</f>
        <v>Nov 2025</v>
      </c>
      <c r="S530" s="9">
        <f>YEAR(Table1[[#This Row],[Date]])</f>
        <v>2025</v>
      </c>
      <c r="T530" s="9"/>
      <c r="U530" s="9"/>
    </row>
    <row r="531" spans="1:21" hidden="1" x14ac:dyDescent="0.3">
      <c r="A531" t="s">
        <v>943</v>
      </c>
      <c r="B531" s="6">
        <v>46009</v>
      </c>
      <c r="C531" t="s">
        <v>26</v>
      </c>
      <c r="D531" t="s">
        <v>232</v>
      </c>
      <c r="E531" t="s">
        <v>20</v>
      </c>
      <c r="F531" t="s">
        <v>944</v>
      </c>
      <c r="G531" t="s">
        <v>30</v>
      </c>
      <c r="J531" s="9">
        <v>0</v>
      </c>
      <c r="K531" s="7">
        <v>0</v>
      </c>
      <c r="L531" s="7">
        <v>0</v>
      </c>
      <c r="M531" s="9">
        <v>1</v>
      </c>
      <c r="N531" s="7">
        <v>7.8</v>
      </c>
      <c r="O531" s="7">
        <v>12.5</v>
      </c>
      <c r="P531" s="7">
        <v>3.6</v>
      </c>
      <c r="Q531" t="s">
        <v>39</v>
      </c>
      <c r="R531" s="7" t="str">
        <f>TEXT(Table1[[#This Row],[Date]],"mmm yyyy")</f>
        <v>Dec 2025</v>
      </c>
      <c r="S531" s="9">
        <f>YEAR(Table1[[#This Row],[Date]])</f>
        <v>2025</v>
      </c>
      <c r="T531" s="9"/>
      <c r="U531" s="9"/>
    </row>
    <row r="532" spans="1:21" hidden="1" x14ac:dyDescent="0.3">
      <c r="A532" t="s">
        <v>945</v>
      </c>
      <c r="B532" s="6">
        <v>46104</v>
      </c>
      <c r="C532" t="s">
        <v>26</v>
      </c>
      <c r="D532" t="s">
        <v>69</v>
      </c>
      <c r="E532" t="s">
        <v>20</v>
      </c>
      <c r="F532" t="s">
        <v>946</v>
      </c>
      <c r="G532" t="s">
        <v>22</v>
      </c>
      <c r="J532" s="9">
        <v>0</v>
      </c>
      <c r="K532" s="7">
        <v>0</v>
      </c>
      <c r="L532" s="7">
        <v>0</v>
      </c>
      <c r="M532" s="9">
        <v>1</v>
      </c>
      <c r="N532" s="7">
        <v>5.3</v>
      </c>
      <c r="O532" s="7">
        <v>9.8000000000000007</v>
      </c>
      <c r="P532" s="7">
        <v>5</v>
      </c>
      <c r="Q532" t="s">
        <v>31</v>
      </c>
      <c r="R532" s="7" t="str">
        <f>TEXT(Table1[[#This Row],[Date]],"mmm yyyy")</f>
        <v>Mar 2026</v>
      </c>
      <c r="S532" s="9">
        <f>YEAR(Table1[[#This Row],[Date]])</f>
        <v>2026</v>
      </c>
      <c r="T532" s="9"/>
      <c r="U532" s="9"/>
    </row>
    <row r="533" spans="1:21" hidden="1" x14ac:dyDescent="0.3">
      <c r="A533" t="s">
        <v>947</v>
      </c>
      <c r="B533" s="6">
        <v>46014</v>
      </c>
      <c r="C533" t="s">
        <v>26</v>
      </c>
      <c r="D533" t="s">
        <v>33</v>
      </c>
      <c r="E533" t="s">
        <v>28</v>
      </c>
      <c r="F533" t="s">
        <v>742</v>
      </c>
      <c r="G533" t="s">
        <v>50</v>
      </c>
      <c r="J533" s="9">
        <v>0</v>
      </c>
      <c r="K533" s="7">
        <v>0</v>
      </c>
      <c r="L533" s="7">
        <v>0</v>
      </c>
      <c r="M533" s="9">
        <v>1</v>
      </c>
      <c r="N533" s="7">
        <v>4</v>
      </c>
      <c r="O533" s="7">
        <v>8</v>
      </c>
      <c r="P533" s="7">
        <v>4.7</v>
      </c>
      <c r="Q533" t="s">
        <v>31</v>
      </c>
      <c r="R533" s="7" t="str">
        <f>TEXT(Table1[[#This Row],[Date]],"mmm yyyy")</f>
        <v>Dec 2025</v>
      </c>
      <c r="S533" s="9">
        <f>YEAR(Table1[[#This Row],[Date]])</f>
        <v>2025</v>
      </c>
      <c r="T533" s="9"/>
      <c r="U533" s="9"/>
    </row>
    <row r="534" spans="1:21" hidden="1" x14ac:dyDescent="0.3">
      <c r="A534" t="s">
        <v>948</v>
      </c>
      <c r="B534" s="6">
        <v>45990</v>
      </c>
      <c r="C534" t="s">
        <v>26</v>
      </c>
      <c r="D534" t="s">
        <v>27</v>
      </c>
      <c r="E534" t="s">
        <v>20</v>
      </c>
      <c r="F534" t="s">
        <v>740</v>
      </c>
      <c r="G534" t="s">
        <v>22</v>
      </c>
      <c r="J534" s="9">
        <v>0</v>
      </c>
      <c r="K534" s="7">
        <v>0</v>
      </c>
      <c r="L534" s="7">
        <v>0</v>
      </c>
      <c r="M534" s="9">
        <v>1</v>
      </c>
      <c r="N534" s="7">
        <v>1.6</v>
      </c>
      <c r="O534" s="7">
        <v>11.6</v>
      </c>
      <c r="P534" s="7">
        <v>2.6</v>
      </c>
      <c r="Q534" t="s">
        <v>31</v>
      </c>
      <c r="R534" s="7" t="str">
        <f>TEXT(Table1[[#This Row],[Date]],"mmm yyyy")</f>
        <v>Nov 2025</v>
      </c>
      <c r="S534" s="9">
        <f>YEAR(Table1[[#This Row],[Date]])</f>
        <v>2025</v>
      </c>
      <c r="T534" s="9"/>
      <c r="U534" s="9"/>
    </row>
    <row r="535" spans="1:21" hidden="1" x14ac:dyDescent="0.3">
      <c r="A535" t="s">
        <v>949</v>
      </c>
      <c r="B535" s="6">
        <v>46003</v>
      </c>
      <c r="C535" t="s">
        <v>26</v>
      </c>
      <c r="D535" t="s">
        <v>126</v>
      </c>
      <c r="E535" t="s">
        <v>28</v>
      </c>
      <c r="F535" t="s">
        <v>950</v>
      </c>
      <c r="G535" t="s">
        <v>50</v>
      </c>
      <c r="J535" s="9">
        <v>0</v>
      </c>
      <c r="K535" s="7">
        <v>0</v>
      </c>
      <c r="L535" s="7">
        <v>0</v>
      </c>
      <c r="M535" s="9">
        <v>1</v>
      </c>
      <c r="N535" s="7">
        <v>5.6</v>
      </c>
      <c r="O535" s="7">
        <v>3.4</v>
      </c>
      <c r="P535" s="7">
        <v>3.8</v>
      </c>
      <c r="Q535" t="s">
        <v>31</v>
      </c>
      <c r="R535" s="7" t="str">
        <f>TEXT(Table1[[#This Row],[Date]],"mmm yyyy")</f>
        <v>Dec 2025</v>
      </c>
      <c r="S535" s="9">
        <f>YEAR(Table1[[#This Row],[Date]])</f>
        <v>2025</v>
      </c>
      <c r="T535" s="9"/>
      <c r="U535" s="9"/>
    </row>
    <row r="536" spans="1:21" hidden="1" x14ac:dyDescent="0.3">
      <c r="A536" t="s">
        <v>951</v>
      </c>
      <c r="B536" s="6">
        <v>46245</v>
      </c>
      <c r="C536" t="s">
        <v>26</v>
      </c>
      <c r="D536" t="s">
        <v>72</v>
      </c>
      <c r="E536" t="s">
        <v>20</v>
      </c>
      <c r="F536" t="s">
        <v>952</v>
      </c>
      <c r="G536" t="s">
        <v>50</v>
      </c>
      <c r="J536" s="9">
        <v>0</v>
      </c>
      <c r="K536" s="7">
        <v>0</v>
      </c>
      <c r="L536" s="7">
        <v>0</v>
      </c>
      <c r="M536" s="9">
        <v>1</v>
      </c>
      <c r="N536" s="7">
        <v>10.6</v>
      </c>
      <c r="O536" s="7">
        <v>20.2</v>
      </c>
      <c r="P536" s="7">
        <v>3.9</v>
      </c>
      <c r="Q536" t="s">
        <v>62</v>
      </c>
      <c r="R536" s="7" t="str">
        <f>TEXT(Table1[[#This Row],[Date]],"mmm yyyy")</f>
        <v>Aug 2026</v>
      </c>
      <c r="S536" s="9">
        <f>YEAR(Table1[[#This Row],[Date]])</f>
        <v>2026</v>
      </c>
      <c r="T536" s="9"/>
      <c r="U536" s="9"/>
    </row>
    <row r="537" spans="1:21" hidden="1" x14ac:dyDescent="0.3">
      <c r="A537" t="s">
        <v>953</v>
      </c>
      <c r="B537" s="6">
        <v>46033</v>
      </c>
      <c r="C537" t="s">
        <v>26</v>
      </c>
      <c r="D537" t="s">
        <v>69</v>
      </c>
      <c r="E537" t="s">
        <v>20</v>
      </c>
      <c r="F537" t="s">
        <v>38</v>
      </c>
      <c r="G537" t="s">
        <v>50</v>
      </c>
      <c r="J537" s="9">
        <v>0</v>
      </c>
      <c r="K537" s="7">
        <v>0</v>
      </c>
      <c r="L537" s="7">
        <v>0</v>
      </c>
      <c r="M537" s="9">
        <v>1</v>
      </c>
      <c r="N537" s="7">
        <v>8.5</v>
      </c>
      <c r="O537" s="7">
        <v>3.9</v>
      </c>
      <c r="P537" s="7">
        <v>4.2</v>
      </c>
      <c r="Q537" t="s">
        <v>225</v>
      </c>
      <c r="R537" s="7" t="str">
        <f>TEXT(Table1[[#This Row],[Date]],"mmm yyyy")</f>
        <v>Jan 2026</v>
      </c>
      <c r="S537" s="9">
        <f>YEAR(Table1[[#This Row],[Date]])</f>
        <v>2026</v>
      </c>
      <c r="T537" s="9"/>
      <c r="U537" s="9"/>
    </row>
    <row r="538" spans="1:21" hidden="1" x14ac:dyDescent="0.3">
      <c r="A538" t="s">
        <v>954</v>
      </c>
      <c r="B538" s="6">
        <v>46234</v>
      </c>
      <c r="C538" t="s">
        <v>26</v>
      </c>
      <c r="D538" t="s">
        <v>232</v>
      </c>
      <c r="E538" t="s">
        <v>48</v>
      </c>
      <c r="F538" t="s">
        <v>955</v>
      </c>
      <c r="G538" t="s">
        <v>50</v>
      </c>
      <c r="J538" s="9">
        <v>0</v>
      </c>
      <c r="K538" s="7">
        <v>0</v>
      </c>
      <c r="L538" s="7">
        <v>0</v>
      </c>
      <c r="M538" s="9">
        <v>1</v>
      </c>
      <c r="N538" s="7">
        <v>5.9</v>
      </c>
      <c r="O538" s="7">
        <v>7.8</v>
      </c>
      <c r="P538" s="7">
        <v>4.7</v>
      </c>
      <c r="Q538" t="s">
        <v>31</v>
      </c>
      <c r="R538" s="7" t="str">
        <f>TEXT(Table1[[#This Row],[Date]],"mmm yyyy")</f>
        <v>Jul 2026</v>
      </c>
      <c r="S538" s="9">
        <f>YEAR(Table1[[#This Row],[Date]])</f>
        <v>2026</v>
      </c>
      <c r="T538" s="9"/>
      <c r="U538" s="9"/>
    </row>
    <row r="539" spans="1:21" x14ac:dyDescent="0.3">
      <c r="A539" t="s">
        <v>956</v>
      </c>
      <c r="B539" s="6">
        <v>46013</v>
      </c>
      <c r="C539" t="s">
        <v>18</v>
      </c>
      <c r="D539" t="s">
        <v>19</v>
      </c>
      <c r="E539" t="s">
        <v>20</v>
      </c>
      <c r="F539" t="s">
        <v>957</v>
      </c>
      <c r="G539" t="s">
        <v>22</v>
      </c>
      <c r="H539" t="s">
        <v>54</v>
      </c>
      <c r="I539" t="s">
        <v>24</v>
      </c>
      <c r="J539" s="9">
        <v>1</v>
      </c>
      <c r="K539" s="7">
        <v>12900</v>
      </c>
      <c r="L539" s="7">
        <v>12900</v>
      </c>
      <c r="M539" s="9"/>
      <c r="N539" s="7">
        <v>5.9</v>
      </c>
      <c r="O539" s="7"/>
      <c r="P539" s="7"/>
      <c r="Q539" t="s">
        <v>24</v>
      </c>
      <c r="R539" s="7" t="str">
        <f>TEXT(Table1[[#This Row],[Date]],"mmm yyyy")</f>
        <v>Dec 2025</v>
      </c>
      <c r="S539" s="9">
        <f>YEAR(Table1[[#This Row],[Date]])</f>
        <v>2025</v>
      </c>
      <c r="T539" s="9"/>
      <c r="U539" s="9"/>
    </row>
    <row r="540" spans="1:21" x14ac:dyDescent="0.3">
      <c r="A540" t="s">
        <v>958</v>
      </c>
      <c r="B540" s="6">
        <v>46112</v>
      </c>
      <c r="C540" t="s">
        <v>18</v>
      </c>
      <c r="D540" t="s">
        <v>47</v>
      </c>
      <c r="E540" t="s">
        <v>20</v>
      </c>
      <c r="F540" t="s">
        <v>959</v>
      </c>
      <c r="G540" t="s">
        <v>50</v>
      </c>
      <c r="H540" t="s">
        <v>54</v>
      </c>
      <c r="I540" t="s">
        <v>89</v>
      </c>
      <c r="J540" s="9">
        <v>1</v>
      </c>
      <c r="K540" s="7">
        <v>12400</v>
      </c>
      <c r="L540" s="7">
        <v>0</v>
      </c>
      <c r="M540" s="9"/>
      <c r="N540" s="7">
        <v>22.4</v>
      </c>
      <c r="O540" s="7"/>
      <c r="P540" s="7"/>
      <c r="Q540" t="s">
        <v>89</v>
      </c>
      <c r="R540" s="7" t="str">
        <f>TEXT(Table1[[#This Row],[Date]],"mmm yyyy")</f>
        <v>Mar 2026</v>
      </c>
      <c r="S540" s="9">
        <f>YEAR(Table1[[#This Row],[Date]])</f>
        <v>2026</v>
      </c>
      <c r="T540" s="9"/>
      <c r="U540" s="9"/>
    </row>
    <row r="541" spans="1:21" x14ac:dyDescent="0.3">
      <c r="A541" t="s">
        <v>960</v>
      </c>
      <c r="B541" s="6">
        <v>46128</v>
      </c>
      <c r="C541" t="s">
        <v>18</v>
      </c>
      <c r="D541" t="s">
        <v>52</v>
      </c>
      <c r="E541" t="s">
        <v>37</v>
      </c>
      <c r="F541" t="s">
        <v>34</v>
      </c>
      <c r="G541" t="s">
        <v>44</v>
      </c>
      <c r="H541" t="s">
        <v>78</v>
      </c>
      <c r="I541" t="s">
        <v>67</v>
      </c>
      <c r="J541" s="9">
        <v>1</v>
      </c>
      <c r="K541" s="7">
        <v>23200</v>
      </c>
      <c r="L541" s="7">
        <v>0</v>
      </c>
      <c r="M541" s="9"/>
      <c r="N541" s="7">
        <v>15.8</v>
      </c>
      <c r="O541" s="7"/>
      <c r="P541" s="7"/>
      <c r="Q541" t="s">
        <v>67</v>
      </c>
      <c r="R541" s="7" t="str">
        <f>TEXT(Table1[[#This Row],[Date]],"mmm yyyy")</f>
        <v>Apr 2026</v>
      </c>
      <c r="S541" s="9">
        <f>YEAR(Table1[[#This Row],[Date]])</f>
        <v>2026</v>
      </c>
      <c r="T541" s="9"/>
      <c r="U541" s="9"/>
    </row>
    <row r="542" spans="1:21" hidden="1" x14ac:dyDescent="0.3">
      <c r="A542" t="s">
        <v>961</v>
      </c>
      <c r="B542" s="6">
        <v>46257</v>
      </c>
      <c r="C542" t="s">
        <v>26</v>
      </c>
      <c r="D542" t="s">
        <v>36</v>
      </c>
      <c r="E542" t="s">
        <v>48</v>
      </c>
      <c r="F542" t="s">
        <v>962</v>
      </c>
      <c r="G542" t="s">
        <v>44</v>
      </c>
      <c r="J542" s="9">
        <v>0</v>
      </c>
      <c r="K542" s="7">
        <v>0</v>
      </c>
      <c r="L542" s="7">
        <v>0</v>
      </c>
      <c r="M542" s="9">
        <v>1</v>
      </c>
      <c r="N542" s="7">
        <v>7.6</v>
      </c>
      <c r="O542" s="7">
        <v>2.4</v>
      </c>
      <c r="P542" s="7">
        <v>3.2</v>
      </c>
      <c r="Q542" t="s">
        <v>31</v>
      </c>
      <c r="R542" s="7" t="str">
        <f>TEXT(Table1[[#This Row],[Date]],"mmm yyyy")</f>
        <v>Aug 2026</v>
      </c>
      <c r="S542" s="9">
        <f>YEAR(Table1[[#This Row],[Date]])</f>
        <v>2026</v>
      </c>
      <c r="T542" s="9"/>
      <c r="U542" s="9"/>
    </row>
    <row r="543" spans="1:21" hidden="1" x14ac:dyDescent="0.3">
      <c r="A543" t="s">
        <v>963</v>
      </c>
      <c r="B543" s="6">
        <v>46172</v>
      </c>
      <c r="C543" t="s">
        <v>26</v>
      </c>
      <c r="D543" t="s">
        <v>33</v>
      </c>
      <c r="E543" t="s">
        <v>48</v>
      </c>
      <c r="F543" t="s">
        <v>964</v>
      </c>
      <c r="G543" t="s">
        <v>44</v>
      </c>
      <c r="J543" s="9">
        <v>0</v>
      </c>
      <c r="K543" s="7">
        <v>0</v>
      </c>
      <c r="L543" s="7">
        <v>0</v>
      </c>
      <c r="M543" s="9">
        <v>1</v>
      </c>
      <c r="N543" s="7">
        <v>2</v>
      </c>
      <c r="O543" s="7">
        <v>6.7</v>
      </c>
      <c r="P543" s="7">
        <v>3.9</v>
      </c>
      <c r="Q543" t="s">
        <v>225</v>
      </c>
      <c r="R543" s="7" t="str">
        <f>TEXT(Table1[[#This Row],[Date]],"mmm yyyy")</f>
        <v>May 2026</v>
      </c>
      <c r="S543" s="9">
        <f>YEAR(Table1[[#This Row],[Date]])</f>
        <v>2026</v>
      </c>
      <c r="T543" s="9"/>
      <c r="U543" s="9"/>
    </row>
    <row r="544" spans="1:21" x14ac:dyDescent="0.3">
      <c r="A544" t="s">
        <v>965</v>
      </c>
      <c r="B544" s="6">
        <v>46211</v>
      </c>
      <c r="C544" t="s">
        <v>18</v>
      </c>
      <c r="D544" t="s">
        <v>117</v>
      </c>
      <c r="E544" t="s">
        <v>20</v>
      </c>
      <c r="F544" t="s">
        <v>966</v>
      </c>
      <c r="G544" t="s">
        <v>30</v>
      </c>
      <c r="H544" t="s">
        <v>23</v>
      </c>
      <c r="I544" t="s">
        <v>55</v>
      </c>
      <c r="J544" s="9">
        <v>1</v>
      </c>
      <c r="K544" s="7">
        <v>36900</v>
      </c>
      <c r="L544" s="7">
        <v>0</v>
      </c>
      <c r="M544" s="9"/>
      <c r="N544" s="7">
        <v>5.2</v>
      </c>
      <c r="O544" s="7"/>
      <c r="P544" s="7"/>
      <c r="Q544" t="s">
        <v>55</v>
      </c>
      <c r="R544" s="7" t="str">
        <f>TEXT(Table1[[#This Row],[Date]],"mmm yyyy")</f>
        <v>Jul 2026</v>
      </c>
      <c r="S544" s="9">
        <f>YEAR(Table1[[#This Row],[Date]])</f>
        <v>2026</v>
      </c>
      <c r="T544" s="9"/>
      <c r="U544" s="9"/>
    </row>
    <row r="545" spans="1:21" hidden="1" x14ac:dyDescent="0.3">
      <c r="A545" t="s">
        <v>967</v>
      </c>
      <c r="B545" s="6">
        <v>46125</v>
      </c>
      <c r="C545" t="s">
        <v>26</v>
      </c>
      <c r="D545" t="s">
        <v>114</v>
      </c>
      <c r="E545" t="s">
        <v>42</v>
      </c>
      <c r="F545" t="s">
        <v>932</v>
      </c>
      <c r="G545" t="s">
        <v>22</v>
      </c>
      <c r="J545" s="9">
        <v>0</v>
      </c>
      <c r="K545" s="7">
        <v>0</v>
      </c>
      <c r="L545" s="7">
        <v>0</v>
      </c>
      <c r="M545" s="9">
        <v>1</v>
      </c>
      <c r="N545" s="7">
        <v>9.6999999999999993</v>
      </c>
      <c r="O545" s="7">
        <v>8.1</v>
      </c>
      <c r="P545" s="7">
        <v>3.6</v>
      </c>
      <c r="Q545" t="s">
        <v>31</v>
      </c>
      <c r="R545" s="7" t="str">
        <f>TEXT(Table1[[#This Row],[Date]],"mmm yyyy")</f>
        <v>Apr 2026</v>
      </c>
      <c r="S545" s="9">
        <f>YEAR(Table1[[#This Row],[Date]])</f>
        <v>2026</v>
      </c>
      <c r="T545" s="9"/>
      <c r="U545" s="9"/>
    </row>
    <row r="546" spans="1:21" hidden="1" x14ac:dyDescent="0.3">
      <c r="A546" t="s">
        <v>968</v>
      </c>
      <c r="B546" s="6">
        <v>46129</v>
      </c>
      <c r="C546" t="s">
        <v>26</v>
      </c>
      <c r="D546" t="s">
        <v>114</v>
      </c>
      <c r="E546" t="s">
        <v>20</v>
      </c>
      <c r="F546" t="s">
        <v>969</v>
      </c>
      <c r="G546" t="s">
        <v>44</v>
      </c>
      <c r="J546" s="9">
        <v>0</v>
      </c>
      <c r="K546" s="7">
        <v>0</v>
      </c>
      <c r="L546" s="7">
        <v>0</v>
      </c>
      <c r="M546" s="9">
        <v>1</v>
      </c>
      <c r="N546" s="7">
        <v>9.6</v>
      </c>
      <c r="O546" s="7">
        <v>2.6</v>
      </c>
      <c r="P546" s="7">
        <v>4.2</v>
      </c>
      <c r="Q546" t="s">
        <v>31</v>
      </c>
      <c r="R546" s="7" t="str">
        <f>TEXT(Table1[[#This Row],[Date]],"mmm yyyy")</f>
        <v>Apr 2026</v>
      </c>
      <c r="S546" s="9">
        <f>YEAR(Table1[[#This Row],[Date]])</f>
        <v>2026</v>
      </c>
      <c r="T546" s="9"/>
      <c r="U546" s="9"/>
    </row>
    <row r="547" spans="1:21" x14ac:dyDescent="0.3">
      <c r="A547" t="s">
        <v>970</v>
      </c>
      <c r="B547" s="6">
        <v>46259</v>
      </c>
      <c r="C547" t="s">
        <v>18</v>
      </c>
      <c r="D547" t="s">
        <v>52</v>
      </c>
      <c r="E547" t="s">
        <v>42</v>
      </c>
      <c r="F547" t="s">
        <v>971</v>
      </c>
      <c r="G547" t="s">
        <v>22</v>
      </c>
      <c r="H547" t="s">
        <v>23</v>
      </c>
      <c r="I547" t="s">
        <v>24</v>
      </c>
      <c r="J547" s="9">
        <v>1</v>
      </c>
      <c r="K547" s="7">
        <v>22900</v>
      </c>
      <c r="L547" s="7">
        <v>22900</v>
      </c>
      <c r="M547" s="9"/>
      <c r="N547" s="7">
        <v>4.9000000000000004</v>
      </c>
      <c r="O547" s="7"/>
      <c r="P547" s="7"/>
      <c r="Q547" t="s">
        <v>24</v>
      </c>
      <c r="R547" s="7" t="str">
        <f>TEXT(Table1[[#This Row],[Date]],"mmm yyyy")</f>
        <v>Aug 2026</v>
      </c>
      <c r="S547" s="9">
        <f>YEAR(Table1[[#This Row],[Date]])</f>
        <v>2026</v>
      </c>
      <c r="T547" s="9"/>
      <c r="U547" s="9"/>
    </row>
    <row r="548" spans="1:21" x14ac:dyDescent="0.3">
      <c r="A548" t="s">
        <v>972</v>
      </c>
      <c r="B548" s="6">
        <v>45977</v>
      </c>
      <c r="C548" t="s">
        <v>18</v>
      </c>
      <c r="D548" t="s">
        <v>95</v>
      </c>
      <c r="E548" t="s">
        <v>42</v>
      </c>
      <c r="F548" t="s">
        <v>973</v>
      </c>
      <c r="G548" t="s">
        <v>22</v>
      </c>
      <c r="H548" t="s">
        <v>86</v>
      </c>
      <c r="I548" t="s">
        <v>45</v>
      </c>
      <c r="J548" s="9">
        <v>1</v>
      </c>
      <c r="K548" s="7">
        <v>16300</v>
      </c>
      <c r="L548" s="7">
        <v>0</v>
      </c>
      <c r="M548" s="9"/>
      <c r="N548" s="7">
        <v>3.2</v>
      </c>
      <c r="O548" s="7"/>
      <c r="P548" s="7"/>
      <c r="Q548" t="s">
        <v>45</v>
      </c>
      <c r="R548" s="7" t="str">
        <f>TEXT(Table1[[#This Row],[Date]],"mmm yyyy")</f>
        <v>Nov 2025</v>
      </c>
      <c r="S548" s="9">
        <f>YEAR(Table1[[#This Row],[Date]])</f>
        <v>2025</v>
      </c>
      <c r="T548" s="9"/>
      <c r="U548" s="9"/>
    </row>
    <row r="549" spans="1:21" hidden="1" x14ac:dyDescent="0.3">
      <c r="A549" t="s">
        <v>974</v>
      </c>
      <c r="B549" s="6">
        <v>45961</v>
      </c>
      <c r="C549" t="s">
        <v>26</v>
      </c>
      <c r="D549" t="s">
        <v>69</v>
      </c>
      <c r="E549" t="s">
        <v>20</v>
      </c>
      <c r="F549" t="s">
        <v>264</v>
      </c>
      <c r="G549" t="s">
        <v>44</v>
      </c>
      <c r="J549" s="9">
        <v>0</v>
      </c>
      <c r="K549" s="7">
        <v>0</v>
      </c>
      <c r="L549" s="7">
        <v>0</v>
      </c>
      <c r="M549" s="9">
        <v>1</v>
      </c>
      <c r="N549" s="7">
        <v>10.7</v>
      </c>
      <c r="O549" s="7">
        <v>32.4</v>
      </c>
      <c r="P549" s="7">
        <v>4.5</v>
      </c>
      <c r="Q549" t="s">
        <v>39</v>
      </c>
      <c r="R549" s="7" t="str">
        <f>TEXT(Table1[[#This Row],[Date]],"mmm yyyy")</f>
        <v>Oct 2025</v>
      </c>
      <c r="S549" s="9">
        <f>YEAR(Table1[[#This Row],[Date]])</f>
        <v>2025</v>
      </c>
      <c r="T549" s="9"/>
      <c r="U549" s="9"/>
    </row>
    <row r="550" spans="1:21" x14ac:dyDescent="0.3">
      <c r="A550" t="s">
        <v>975</v>
      </c>
      <c r="B550" s="6">
        <v>46013</v>
      </c>
      <c r="C550" t="s">
        <v>18</v>
      </c>
      <c r="D550" t="s">
        <v>95</v>
      </c>
      <c r="E550" t="s">
        <v>48</v>
      </c>
      <c r="F550" t="s">
        <v>233</v>
      </c>
      <c r="G550" t="s">
        <v>50</v>
      </c>
      <c r="H550" t="s">
        <v>78</v>
      </c>
      <c r="I550" t="s">
        <v>24</v>
      </c>
      <c r="J550" s="9">
        <v>1</v>
      </c>
      <c r="K550" s="7">
        <v>11600</v>
      </c>
      <c r="L550" s="7">
        <v>11600</v>
      </c>
      <c r="M550" s="9"/>
      <c r="N550" s="7">
        <v>16.3</v>
      </c>
      <c r="O550" s="7"/>
      <c r="P550" s="7"/>
      <c r="Q550" t="s">
        <v>24</v>
      </c>
      <c r="R550" s="7" t="str">
        <f>TEXT(Table1[[#This Row],[Date]],"mmm yyyy")</f>
        <v>Dec 2025</v>
      </c>
      <c r="S550" s="9">
        <f>YEAR(Table1[[#This Row],[Date]])</f>
        <v>2025</v>
      </c>
      <c r="T550" s="9"/>
      <c r="U550" s="9"/>
    </row>
    <row r="551" spans="1:21" hidden="1" x14ac:dyDescent="0.3">
      <c r="A551" t="s">
        <v>976</v>
      </c>
      <c r="B551" s="6">
        <v>46162</v>
      </c>
      <c r="C551" t="s">
        <v>26</v>
      </c>
      <c r="D551" t="s">
        <v>69</v>
      </c>
      <c r="E551" t="s">
        <v>20</v>
      </c>
      <c r="F551" t="s">
        <v>789</v>
      </c>
      <c r="G551" t="s">
        <v>22</v>
      </c>
      <c r="J551" s="9">
        <v>0</v>
      </c>
      <c r="K551" s="7">
        <v>0</v>
      </c>
      <c r="L551" s="7">
        <v>0</v>
      </c>
      <c r="M551" s="9">
        <v>1</v>
      </c>
      <c r="N551" s="7">
        <v>6.3</v>
      </c>
      <c r="O551" s="7">
        <v>7.5</v>
      </c>
      <c r="P551" s="7">
        <v>4</v>
      </c>
      <c r="Q551" t="s">
        <v>31</v>
      </c>
      <c r="R551" s="7" t="str">
        <f>TEXT(Table1[[#This Row],[Date]],"mmm yyyy")</f>
        <v>May 2026</v>
      </c>
      <c r="S551" s="9">
        <f>YEAR(Table1[[#This Row],[Date]])</f>
        <v>2026</v>
      </c>
      <c r="T551" s="9"/>
      <c r="U551" s="9"/>
    </row>
    <row r="552" spans="1:21" x14ac:dyDescent="0.3">
      <c r="A552" t="s">
        <v>977</v>
      </c>
      <c r="B552" s="6">
        <v>46106</v>
      </c>
      <c r="C552" t="s">
        <v>18</v>
      </c>
      <c r="D552" t="s">
        <v>105</v>
      </c>
      <c r="E552" t="s">
        <v>20</v>
      </c>
      <c r="F552" t="s">
        <v>978</v>
      </c>
      <c r="G552" t="s">
        <v>22</v>
      </c>
      <c r="H552" t="s">
        <v>23</v>
      </c>
      <c r="I552" t="s">
        <v>79</v>
      </c>
      <c r="J552" s="9">
        <v>1</v>
      </c>
      <c r="K552" s="7">
        <v>78300</v>
      </c>
      <c r="L552" s="7">
        <v>0</v>
      </c>
      <c r="M552" s="9"/>
      <c r="N552" s="7">
        <v>10</v>
      </c>
      <c r="O552" s="7"/>
      <c r="P552" s="7"/>
      <c r="Q552" t="s">
        <v>79</v>
      </c>
      <c r="R552" s="7" t="str">
        <f>TEXT(Table1[[#This Row],[Date]],"mmm yyyy")</f>
        <v>Mar 2026</v>
      </c>
      <c r="S552" s="9">
        <f>YEAR(Table1[[#This Row],[Date]])</f>
        <v>2026</v>
      </c>
      <c r="T552" s="9"/>
      <c r="U552" s="9"/>
    </row>
    <row r="553" spans="1:21" hidden="1" x14ac:dyDescent="0.3">
      <c r="A553" t="s">
        <v>979</v>
      </c>
      <c r="B553" s="6">
        <v>46242</v>
      </c>
      <c r="C553" t="s">
        <v>26</v>
      </c>
      <c r="D553" t="s">
        <v>126</v>
      </c>
      <c r="E553" t="s">
        <v>20</v>
      </c>
      <c r="F553" t="s">
        <v>966</v>
      </c>
      <c r="G553" t="s">
        <v>44</v>
      </c>
      <c r="J553" s="9">
        <v>0</v>
      </c>
      <c r="K553" s="7">
        <v>0</v>
      </c>
      <c r="L553" s="7">
        <v>0</v>
      </c>
      <c r="M553" s="9">
        <v>1</v>
      </c>
      <c r="N553" s="7">
        <v>6.8</v>
      </c>
      <c r="O553" s="7">
        <v>3.2</v>
      </c>
      <c r="P553" s="7">
        <v>5</v>
      </c>
      <c r="Q553" t="s">
        <v>62</v>
      </c>
      <c r="R553" s="7" t="str">
        <f>TEXT(Table1[[#This Row],[Date]],"mmm yyyy")</f>
        <v>Aug 2026</v>
      </c>
      <c r="S553" s="9">
        <f>YEAR(Table1[[#This Row],[Date]])</f>
        <v>2026</v>
      </c>
      <c r="T553" s="9"/>
      <c r="U553" s="9"/>
    </row>
    <row r="554" spans="1:21" hidden="1" x14ac:dyDescent="0.3">
      <c r="A554" t="s">
        <v>980</v>
      </c>
      <c r="B554" s="6">
        <v>46061</v>
      </c>
      <c r="C554" t="s">
        <v>26</v>
      </c>
      <c r="D554" t="s">
        <v>114</v>
      </c>
      <c r="E554" t="s">
        <v>20</v>
      </c>
      <c r="F554" t="s">
        <v>981</v>
      </c>
      <c r="G554" t="s">
        <v>22</v>
      </c>
      <c r="J554" s="9">
        <v>0</v>
      </c>
      <c r="K554" s="7">
        <v>0</v>
      </c>
      <c r="L554" s="7">
        <v>0</v>
      </c>
      <c r="M554" s="9">
        <v>1</v>
      </c>
      <c r="N554" s="7">
        <v>8.5</v>
      </c>
      <c r="O554" s="7">
        <v>6.5</v>
      </c>
      <c r="P554" s="7">
        <v>2.7</v>
      </c>
      <c r="Q554" t="s">
        <v>39</v>
      </c>
      <c r="R554" s="7" t="str">
        <f>TEXT(Table1[[#This Row],[Date]],"mmm yyyy")</f>
        <v>Feb 2026</v>
      </c>
      <c r="S554" s="9">
        <f>YEAR(Table1[[#This Row],[Date]])</f>
        <v>2026</v>
      </c>
      <c r="T554" s="9"/>
      <c r="U554" s="9"/>
    </row>
    <row r="555" spans="1:21" hidden="1" x14ac:dyDescent="0.3">
      <c r="A555" t="s">
        <v>982</v>
      </c>
      <c r="B555" s="6">
        <v>46244</v>
      </c>
      <c r="C555" t="s">
        <v>26</v>
      </c>
      <c r="D555" t="s">
        <v>114</v>
      </c>
      <c r="E555" t="s">
        <v>48</v>
      </c>
      <c r="F555" t="s">
        <v>540</v>
      </c>
      <c r="G555" t="s">
        <v>50</v>
      </c>
      <c r="J555" s="9">
        <v>0</v>
      </c>
      <c r="K555" s="7">
        <v>0</v>
      </c>
      <c r="L555" s="7">
        <v>0</v>
      </c>
      <c r="M555" s="9">
        <v>1</v>
      </c>
      <c r="N555" s="7">
        <v>10.5</v>
      </c>
      <c r="O555" s="7">
        <v>1.1000000000000001</v>
      </c>
      <c r="P555" s="7">
        <v>4.4000000000000004</v>
      </c>
      <c r="Q555" t="s">
        <v>39</v>
      </c>
      <c r="R555" s="7" t="str">
        <f>TEXT(Table1[[#This Row],[Date]],"mmm yyyy")</f>
        <v>Aug 2026</v>
      </c>
      <c r="S555" s="9">
        <f>YEAR(Table1[[#This Row],[Date]])</f>
        <v>2026</v>
      </c>
      <c r="T555" s="9"/>
      <c r="U555" s="9"/>
    </row>
    <row r="556" spans="1:21" hidden="1" x14ac:dyDescent="0.3">
      <c r="A556" t="s">
        <v>983</v>
      </c>
      <c r="B556" s="6">
        <v>46041</v>
      </c>
      <c r="C556" t="s">
        <v>26</v>
      </c>
      <c r="D556" t="s">
        <v>69</v>
      </c>
      <c r="E556" t="s">
        <v>20</v>
      </c>
      <c r="F556" t="s">
        <v>984</v>
      </c>
      <c r="G556" t="s">
        <v>30</v>
      </c>
      <c r="J556" s="9">
        <v>0</v>
      </c>
      <c r="K556" s="7">
        <v>0</v>
      </c>
      <c r="L556" s="7">
        <v>0</v>
      </c>
      <c r="M556" s="9">
        <v>1</v>
      </c>
      <c r="N556" s="7">
        <v>2.2000000000000002</v>
      </c>
      <c r="O556" s="7">
        <v>13.3</v>
      </c>
      <c r="P556" s="7">
        <v>4.2</v>
      </c>
      <c r="Q556" t="s">
        <v>39</v>
      </c>
      <c r="R556" s="7" t="str">
        <f>TEXT(Table1[[#This Row],[Date]],"mmm yyyy")</f>
        <v>Jan 2026</v>
      </c>
      <c r="S556" s="9">
        <f>YEAR(Table1[[#This Row],[Date]])</f>
        <v>2026</v>
      </c>
      <c r="T556" s="9"/>
      <c r="U556" s="9"/>
    </row>
    <row r="557" spans="1:21" x14ac:dyDescent="0.3">
      <c r="A557" t="s">
        <v>985</v>
      </c>
      <c r="B557" s="6">
        <v>45948</v>
      </c>
      <c r="C557" t="s">
        <v>18</v>
      </c>
      <c r="D557" t="s">
        <v>95</v>
      </c>
      <c r="E557" t="s">
        <v>42</v>
      </c>
      <c r="F557" t="s">
        <v>905</v>
      </c>
      <c r="G557" t="s">
        <v>50</v>
      </c>
      <c r="H557" t="s">
        <v>86</v>
      </c>
      <c r="I557" t="s">
        <v>45</v>
      </c>
      <c r="J557" s="9">
        <v>1</v>
      </c>
      <c r="K557" s="7">
        <v>69200</v>
      </c>
      <c r="L557" s="7">
        <v>0</v>
      </c>
      <c r="M557" s="9"/>
      <c r="N557" s="7">
        <v>13.4</v>
      </c>
      <c r="O557" s="7"/>
      <c r="P557" s="7"/>
      <c r="Q557" t="s">
        <v>45</v>
      </c>
      <c r="R557" s="7" t="str">
        <f>TEXT(Table1[[#This Row],[Date]],"mmm yyyy")</f>
        <v>Oct 2025</v>
      </c>
      <c r="S557" s="9">
        <f>YEAR(Table1[[#This Row],[Date]])</f>
        <v>2025</v>
      </c>
      <c r="T557" s="9"/>
      <c r="U557" s="9"/>
    </row>
    <row r="558" spans="1:21" x14ac:dyDescent="0.3">
      <c r="A558" t="s">
        <v>986</v>
      </c>
      <c r="B558" s="6">
        <v>46243</v>
      </c>
      <c r="C558" t="s">
        <v>18</v>
      </c>
      <c r="D558" t="s">
        <v>41</v>
      </c>
      <c r="E558" t="s">
        <v>20</v>
      </c>
      <c r="F558" t="s">
        <v>987</v>
      </c>
      <c r="G558" t="s">
        <v>22</v>
      </c>
      <c r="H558" t="s">
        <v>78</v>
      </c>
      <c r="I558" t="s">
        <v>55</v>
      </c>
      <c r="J558" s="9">
        <v>1</v>
      </c>
      <c r="K558" s="7">
        <v>37900</v>
      </c>
      <c r="L558" s="7">
        <v>0</v>
      </c>
      <c r="M558" s="9"/>
      <c r="N558" s="7">
        <v>7.7</v>
      </c>
      <c r="O558" s="7"/>
      <c r="P558" s="7"/>
      <c r="Q558" t="s">
        <v>55</v>
      </c>
      <c r="R558" s="7" t="str">
        <f>TEXT(Table1[[#This Row],[Date]],"mmm yyyy")</f>
        <v>Aug 2026</v>
      </c>
      <c r="S558" s="9">
        <f>YEAR(Table1[[#This Row],[Date]])</f>
        <v>2026</v>
      </c>
      <c r="T558" s="9"/>
      <c r="U558" s="9"/>
    </row>
    <row r="559" spans="1:21" x14ac:dyDescent="0.3">
      <c r="A559" t="s">
        <v>988</v>
      </c>
      <c r="B559" s="6">
        <v>45923</v>
      </c>
      <c r="C559" t="s">
        <v>18</v>
      </c>
      <c r="D559" t="s">
        <v>117</v>
      </c>
      <c r="E559" t="s">
        <v>20</v>
      </c>
      <c r="F559" t="s">
        <v>809</v>
      </c>
      <c r="G559" t="s">
        <v>44</v>
      </c>
      <c r="H559" t="s">
        <v>23</v>
      </c>
      <c r="I559" t="s">
        <v>67</v>
      </c>
      <c r="J559" s="9">
        <v>1</v>
      </c>
      <c r="K559" s="7">
        <v>23100</v>
      </c>
      <c r="L559" s="7">
        <v>0</v>
      </c>
      <c r="M559" s="9"/>
      <c r="N559" s="7">
        <v>16.100000000000001</v>
      </c>
      <c r="O559" s="7"/>
      <c r="P559" s="7"/>
      <c r="Q559" t="s">
        <v>67</v>
      </c>
      <c r="R559" s="7" t="str">
        <f>TEXT(Table1[[#This Row],[Date]],"mmm yyyy")</f>
        <v>Sep 2025</v>
      </c>
      <c r="S559" s="9">
        <f>YEAR(Table1[[#This Row],[Date]])</f>
        <v>2025</v>
      </c>
      <c r="T559" s="9"/>
      <c r="U559" s="9"/>
    </row>
    <row r="560" spans="1:21" hidden="1" x14ac:dyDescent="0.3">
      <c r="A560" t="s">
        <v>989</v>
      </c>
      <c r="B560" s="6">
        <v>46053</v>
      </c>
      <c r="C560" t="s">
        <v>26</v>
      </c>
      <c r="D560" t="s">
        <v>33</v>
      </c>
      <c r="E560" t="s">
        <v>20</v>
      </c>
      <c r="F560" t="s">
        <v>990</v>
      </c>
      <c r="G560" t="s">
        <v>22</v>
      </c>
      <c r="J560" s="9">
        <v>0</v>
      </c>
      <c r="K560" s="7">
        <v>0</v>
      </c>
      <c r="L560" s="7">
        <v>0</v>
      </c>
      <c r="M560" s="9">
        <v>1</v>
      </c>
      <c r="N560" s="7">
        <v>4.9000000000000004</v>
      </c>
      <c r="O560" s="7">
        <v>3.7</v>
      </c>
      <c r="P560" s="7">
        <v>5</v>
      </c>
      <c r="Q560" t="s">
        <v>31</v>
      </c>
      <c r="R560" s="7" t="str">
        <f>TEXT(Table1[[#This Row],[Date]],"mmm yyyy")</f>
        <v>Jan 2026</v>
      </c>
      <c r="S560" s="9">
        <f>YEAR(Table1[[#This Row],[Date]])</f>
        <v>2026</v>
      </c>
      <c r="T560" s="9"/>
      <c r="U560" s="9"/>
    </row>
    <row r="561" spans="1:21" hidden="1" x14ac:dyDescent="0.3">
      <c r="A561" t="s">
        <v>991</v>
      </c>
      <c r="B561" s="6">
        <v>45936</v>
      </c>
      <c r="C561" t="s">
        <v>26</v>
      </c>
      <c r="D561" t="s">
        <v>232</v>
      </c>
      <c r="E561" t="s">
        <v>20</v>
      </c>
      <c r="F561" t="s">
        <v>430</v>
      </c>
      <c r="G561" t="s">
        <v>44</v>
      </c>
      <c r="J561" s="9">
        <v>0</v>
      </c>
      <c r="K561" s="7">
        <v>0</v>
      </c>
      <c r="L561" s="7">
        <v>0</v>
      </c>
      <c r="M561" s="9">
        <v>1</v>
      </c>
      <c r="N561" s="7">
        <v>5.3</v>
      </c>
      <c r="O561" s="7">
        <v>17.3</v>
      </c>
      <c r="P561" s="7">
        <v>4.3</v>
      </c>
      <c r="Q561" t="s">
        <v>31</v>
      </c>
      <c r="R561" s="7" t="str">
        <f>TEXT(Table1[[#This Row],[Date]],"mmm yyyy")</f>
        <v>Oct 2025</v>
      </c>
      <c r="S561" s="9">
        <f>YEAR(Table1[[#This Row],[Date]])</f>
        <v>2025</v>
      </c>
      <c r="T561" s="9"/>
      <c r="U561" s="9"/>
    </row>
    <row r="562" spans="1:21" hidden="1" x14ac:dyDescent="0.3">
      <c r="A562" t="s">
        <v>992</v>
      </c>
      <c r="B562" s="6">
        <v>46214</v>
      </c>
      <c r="C562" t="s">
        <v>26</v>
      </c>
      <c r="D562" t="s">
        <v>72</v>
      </c>
      <c r="E562" t="s">
        <v>20</v>
      </c>
      <c r="F562" t="s">
        <v>280</v>
      </c>
      <c r="G562" t="s">
        <v>30</v>
      </c>
      <c r="J562" s="9">
        <v>0</v>
      </c>
      <c r="K562" s="7">
        <v>0</v>
      </c>
      <c r="L562" s="7">
        <v>0</v>
      </c>
      <c r="M562" s="9">
        <v>1</v>
      </c>
      <c r="N562" s="7">
        <v>1.1000000000000001</v>
      </c>
      <c r="O562" s="7">
        <v>6</v>
      </c>
      <c r="P562" s="7">
        <v>5</v>
      </c>
      <c r="Q562" t="s">
        <v>31</v>
      </c>
      <c r="R562" s="7" t="str">
        <f>TEXT(Table1[[#This Row],[Date]],"mmm yyyy")</f>
        <v>Jul 2026</v>
      </c>
      <c r="S562" s="9">
        <f>YEAR(Table1[[#This Row],[Date]])</f>
        <v>2026</v>
      </c>
      <c r="T562" s="9"/>
      <c r="U562" s="9"/>
    </row>
    <row r="563" spans="1:21" x14ac:dyDescent="0.3">
      <c r="A563" t="s">
        <v>993</v>
      </c>
      <c r="B563" s="6">
        <v>46098</v>
      </c>
      <c r="C563" t="s">
        <v>18</v>
      </c>
      <c r="D563" t="s">
        <v>105</v>
      </c>
      <c r="E563" t="s">
        <v>28</v>
      </c>
      <c r="F563" t="s">
        <v>987</v>
      </c>
      <c r="G563" t="s">
        <v>44</v>
      </c>
      <c r="H563" t="s">
        <v>23</v>
      </c>
      <c r="I563" t="s">
        <v>89</v>
      </c>
      <c r="J563" s="9">
        <v>1</v>
      </c>
      <c r="K563" s="7">
        <v>19500</v>
      </c>
      <c r="L563" s="7">
        <v>0</v>
      </c>
      <c r="M563" s="9"/>
      <c r="N563" s="7">
        <v>5.2</v>
      </c>
      <c r="O563" s="7"/>
      <c r="P563" s="7"/>
      <c r="Q563" t="s">
        <v>89</v>
      </c>
      <c r="R563" s="7" t="str">
        <f>TEXT(Table1[[#This Row],[Date]],"mmm yyyy")</f>
        <v>Mar 2026</v>
      </c>
      <c r="S563" s="9">
        <f>YEAR(Table1[[#This Row],[Date]])</f>
        <v>2026</v>
      </c>
      <c r="T563" s="9"/>
      <c r="U563" s="9"/>
    </row>
    <row r="564" spans="1:21" x14ac:dyDescent="0.3">
      <c r="A564" t="s">
        <v>994</v>
      </c>
      <c r="B564" s="6">
        <v>45982</v>
      </c>
      <c r="C564" t="s">
        <v>18</v>
      </c>
      <c r="D564" t="s">
        <v>52</v>
      </c>
      <c r="E564" t="s">
        <v>20</v>
      </c>
      <c r="F564" t="s">
        <v>773</v>
      </c>
      <c r="G564" t="s">
        <v>30</v>
      </c>
      <c r="H564" t="s">
        <v>23</v>
      </c>
      <c r="I564" t="s">
        <v>89</v>
      </c>
      <c r="J564" s="9">
        <v>1</v>
      </c>
      <c r="K564" s="7">
        <v>44600</v>
      </c>
      <c r="L564" s="7">
        <v>0</v>
      </c>
      <c r="M564" s="9"/>
      <c r="N564" s="7">
        <v>8</v>
      </c>
      <c r="O564" s="7"/>
      <c r="P564" s="7"/>
      <c r="Q564" t="s">
        <v>89</v>
      </c>
      <c r="R564" s="7" t="str">
        <f>TEXT(Table1[[#This Row],[Date]],"mmm yyyy")</f>
        <v>Nov 2025</v>
      </c>
      <c r="S564" s="9">
        <f>YEAR(Table1[[#This Row],[Date]])</f>
        <v>2025</v>
      </c>
      <c r="T564" s="9"/>
      <c r="U564" s="9"/>
    </row>
    <row r="565" spans="1:21" x14ac:dyDescent="0.3">
      <c r="A565" t="s">
        <v>995</v>
      </c>
      <c r="B565" s="6">
        <v>46198</v>
      </c>
      <c r="C565" t="s">
        <v>18</v>
      </c>
      <c r="D565" t="s">
        <v>52</v>
      </c>
      <c r="E565" t="s">
        <v>37</v>
      </c>
      <c r="F565" t="s">
        <v>996</v>
      </c>
      <c r="G565" t="s">
        <v>44</v>
      </c>
      <c r="H565" t="s">
        <v>78</v>
      </c>
      <c r="I565" t="s">
        <v>45</v>
      </c>
      <c r="J565" s="9">
        <v>1</v>
      </c>
      <c r="K565" s="7">
        <v>13600</v>
      </c>
      <c r="L565" s="7">
        <v>0</v>
      </c>
      <c r="M565" s="9"/>
      <c r="N565" s="7">
        <v>2.2000000000000002</v>
      </c>
      <c r="O565" s="7"/>
      <c r="P565" s="7"/>
      <c r="Q565" t="s">
        <v>45</v>
      </c>
      <c r="R565" s="7" t="str">
        <f>TEXT(Table1[[#This Row],[Date]],"mmm yyyy")</f>
        <v>Jun 2026</v>
      </c>
      <c r="S565" s="9">
        <f>YEAR(Table1[[#This Row],[Date]])</f>
        <v>2026</v>
      </c>
      <c r="T565" s="9"/>
      <c r="U565" s="9"/>
    </row>
    <row r="566" spans="1:21" x14ac:dyDescent="0.3">
      <c r="A566" t="s">
        <v>997</v>
      </c>
      <c r="B566" s="6">
        <v>46178</v>
      </c>
      <c r="C566" t="s">
        <v>18</v>
      </c>
      <c r="D566" t="s">
        <v>19</v>
      </c>
      <c r="E566" t="s">
        <v>20</v>
      </c>
      <c r="F566" t="s">
        <v>998</v>
      </c>
      <c r="G566" t="s">
        <v>30</v>
      </c>
      <c r="H566" t="s">
        <v>23</v>
      </c>
      <c r="I566" t="s">
        <v>79</v>
      </c>
      <c r="J566" s="9">
        <v>1</v>
      </c>
      <c r="K566" s="7">
        <v>46000</v>
      </c>
      <c r="L566" s="7">
        <v>0</v>
      </c>
      <c r="M566" s="9"/>
      <c r="N566" s="7">
        <v>1.5</v>
      </c>
      <c r="O566" s="7"/>
      <c r="P566" s="7"/>
      <c r="Q566" t="s">
        <v>79</v>
      </c>
      <c r="R566" s="7" t="str">
        <f>TEXT(Table1[[#This Row],[Date]],"mmm yyyy")</f>
        <v>Jun 2026</v>
      </c>
      <c r="S566" s="9">
        <f>YEAR(Table1[[#This Row],[Date]])</f>
        <v>2026</v>
      </c>
      <c r="T566" s="9"/>
      <c r="U566" s="9"/>
    </row>
    <row r="567" spans="1:21" hidden="1" x14ac:dyDescent="0.3">
      <c r="A567" t="s">
        <v>999</v>
      </c>
      <c r="B567" s="6">
        <v>46251</v>
      </c>
      <c r="C567" t="s">
        <v>26</v>
      </c>
      <c r="D567" t="s">
        <v>33</v>
      </c>
      <c r="E567" t="s">
        <v>48</v>
      </c>
      <c r="F567" t="s">
        <v>1000</v>
      </c>
      <c r="G567" t="s">
        <v>30</v>
      </c>
      <c r="J567" s="9">
        <v>0</v>
      </c>
      <c r="K567" s="7">
        <v>0</v>
      </c>
      <c r="L567" s="7">
        <v>0</v>
      </c>
      <c r="M567" s="9">
        <v>1</v>
      </c>
      <c r="N567" s="7">
        <v>10.5</v>
      </c>
      <c r="O567" s="7">
        <v>10.4</v>
      </c>
      <c r="P567" s="7">
        <v>4.4000000000000004</v>
      </c>
      <c r="Q567" t="s">
        <v>39</v>
      </c>
      <c r="R567" s="7" t="str">
        <f>TEXT(Table1[[#This Row],[Date]],"mmm yyyy")</f>
        <v>Aug 2026</v>
      </c>
      <c r="S567" s="9">
        <f>YEAR(Table1[[#This Row],[Date]])</f>
        <v>2026</v>
      </c>
      <c r="T567" s="9"/>
      <c r="U567" s="9"/>
    </row>
    <row r="568" spans="1:21" x14ac:dyDescent="0.3">
      <c r="A568" t="s">
        <v>1001</v>
      </c>
      <c r="B568" s="6">
        <v>45929</v>
      </c>
      <c r="C568" t="s">
        <v>18</v>
      </c>
      <c r="D568" t="s">
        <v>19</v>
      </c>
      <c r="E568" t="s">
        <v>37</v>
      </c>
      <c r="F568" t="s">
        <v>713</v>
      </c>
      <c r="G568" t="s">
        <v>30</v>
      </c>
      <c r="H568" t="s">
        <v>78</v>
      </c>
      <c r="I568" t="s">
        <v>67</v>
      </c>
      <c r="J568" s="9">
        <v>1</v>
      </c>
      <c r="K568" s="7">
        <v>36600</v>
      </c>
      <c r="L568" s="7">
        <v>0</v>
      </c>
      <c r="M568" s="9"/>
      <c r="N568" s="7">
        <v>19.399999999999999</v>
      </c>
      <c r="O568" s="7"/>
      <c r="P568" s="7"/>
      <c r="Q568" t="s">
        <v>67</v>
      </c>
      <c r="R568" s="7" t="str">
        <f>TEXT(Table1[[#This Row],[Date]],"mmm yyyy")</f>
        <v>Sep 2025</v>
      </c>
      <c r="S568" s="9">
        <f>YEAR(Table1[[#This Row],[Date]])</f>
        <v>2025</v>
      </c>
      <c r="T568" s="9"/>
      <c r="U568" s="9"/>
    </row>
    <row r="569" spans="1:21" x14ac:dyDescent="0.3">
      <c r="A569" t="s">
        <v>1002</v>
      </c>
      <c r="B569" s="6">
        <v>46188</v>
      </c>
      <c r="C569" t="s">
        <v>18</v>
      </c>
      <c r="D569" t="s">
        <v>64</v>
      </c>
      <c r="E569" t="s">
        <v>48</v>
      </c>
      <c r="F569" t="s">
        <v>1003</v>
      </c>
      <c r="G569" t="s">
        <v>30</v>
      </c>
      <c r="H569" t="s">
        <v>78</v>
      </c>
      <c r="I569" t="s">
        <v>45</v>
      </c>
      <c r="J569" s="9">
        <v>1</v>
      </c>
      <c r="K569" s="7">
        <v>9800</v>
      </c>
      <c r="L569" s="7">
        <v>0</v>
      </c>
      <c r="M569" s="9"/>
      <c r="N569" s="7">
        <v>7.7</v>
      </c>
      <c r="O569" s="7"/>
      <c r="P569" s="7"/>
      <c r="Q569" t="s">
        <v>45</v>
      </c>
      <c r="R569" s="7" t="str">
        <f>TEXT(Table1[[#This Row],[Date]],"mmm yyyy")</f>
        <v>Jun 2026</v>
      </c>
      <c r="S569" s="9">
        <f>YEAR(Table1[[#This Row],[Date]])</f>
        <v>2026</v>
      </c>
      <c r="T569" s="9"/>
      <c r="U569" s="9"/>
    </row>
    <row r="570" spans="1:21" hidden="1" x14ac:dyDescent="0.3">
      <c r="A570" t="s">
        <v>1004</v>
      </c>
      <c r="B570" s="6">
        <v>46131</v>
      </c>
      <c r="C570" t="s">
        <v>26</v>
      </c>
      <c r="D570" t="s">
        <v>114</v>
      </c>
      <c r="E570" t="s">
        <v>20</v>
      </c>
      <c r="F570" t="s">
        <v>250</v>
      </c>
      <c r="G570" t="s">
        <v>30</v>
      </c>
      <c r="J570" s="9">
        <v>0</v>
      </c>
      <c r="K570" s="7">
        <v>0</v>
      </c>
      <c r="L570" s="7">
        <v>0</v>
      </c>
      <c r="M570" s="9">
        <v>1</v>
      </c>
      <c r="N570" s="7">
        <v>10.199999999999999</v>
      </c>
      <c r="O570" s="7">
        <v>12.7</v>
      </c>
      <c r="P570" s="7">
        <v>3.6</v>
      </c>
      <c r="Q570" t="s">
        <v>39</v>
      </c>
      <c r="R570" s="7" t="str">
        <f>TEXT(Table1[[#This Row],[Date]],"mmm yyyy")</f>
        <v>Apr 2026</v>
      </c>
      <c r="S570" s="9">
        <f>YEAR(Table1[[#This Row],[Date]])</f>
        <v>2026</v>
      </c>
      <c r="T570" s="9"/>
      <c r="U570" s="9"/>
    </row>
    <row r="571" spans="1:21" x14ac:dyDescent="0.3">
      <c r="A571" t="s">
        <v>1005</v>
      </c>
      <c r="B571" s="6">
        <v>46068</v>
      </c>
      <c r="C571" t="s">
        <v>18</v>
      </c>
      <c r="D571" t="s">
        <v>47</v>
      </c>
      <c r="E571" t="s">
        <v>20</v>
      </c>
      <c r="F571" t="s">
        <v>1006</v>
      </c>
      <c r="G571" t="s">
        <v>44</v>
      </c>
      <c r="H571" t="s">
        <v>86</v>
      </c>
      <c r="I571" t="s">
        <v>24</v>
      </c>
      <c r="J571" s="9">
        <v>1</v>
      </c>
      <c r="K571" s="7">
        <v>11900</v>
      </c>
      <c r="L571" s="7">
        <v>11900</v>
      </c>
      <c r="M571" s="9"/>
      <c r="N571" s="7">
        <v>10.8</v>
      </c>
      <c r="O571" s="7"/>
      <c r="P571" s="7"/>
      <c r="Q571" t="s">
        <v>24</v>
      </c>
      <c r="R571" s="7" t="str">
        <f>TEXT(Table1[[#This Row],[Date]],"mmm yyyy")</f>
        <v>Feb 2026</v>
      </c>
      <c r="S571" s="9">
        <f>YEAR(Table1[[#This Row],[Date]])</f>
        <v>2026</v>
      </c>
      <c r="T571" s="9"/>
      <c r="U571" s="9"/>
    </row>
    <row r="572" spans="1:21" x14ac:dyDescent="0.3">
      <c r="A572" t="s">
        <v>1007</v>
      </c>
      <c r="B572" s="6">
        <v>45907</v>
      </c>
      <c r="C572" t="s">
        <v>18</v>
      </c>
      <c r="D572" t="s">
        <v>117</v>
      </c>
      <c r="E572" t="s">
        <v>20</v>
      </c>
      <c r="F572" t="s">
        <v>1008</v>
      </c>
      <c r="G572" t="s">
        <v>44</v>
      </c>
      <c r="H572" t="s">
        <v>86</v>
      </c>
      <c r="I572" t="s">
        <v>55</v>
      </c>
      <c r="J572" s="9">
        <v>1</v>
      </c>
      <c r="K572" s="7">
        <v>19400</v>
      </c>
      <c r="L572" s="7">
        <v>0</v>
      </c>
      <c r="M572" s="9"/>
      <c r="N572" s="7">
        <v>14</v>
      </c>
      <c r="O572" s="7"/>
      <c r="P572" s="7"/>
      <c r="Q572" t="s">
        <v>55</v>
      </c>
      <c r="R572" s="7" t="str">
        <f>TEXT(Table1[[#This Row],[Date]],"mmm yyyy")</f>
        <v>Sep 2025</v>
      </c>
      <c r="S572" s="9">
        <f>YEAR(Table1[[#This Row],[Date]])</f>
        <v>2025</v>
      </c>
      <c r="T572" s="9"/>
      <c r="U572" s="9"/>
    </row>
    <row r="573" spans="1:21" hidden="1" x14ac:dyDescent="0.3">
      <c r="A573" t="s">
        <v>1009</v>
      </c>
      <c r="B573" s="6">
        <v>46114</v>
      </c>
      <c r="C573" t="s">
        <v>26</v>
      </c>
      <c r="D573" t="s">
        <v>114</v>
      </c>
      <c r="E573" t="s">
        <v>20</v>
      </c>
      <c r="F573" t="s">
        <v>1010</v>
      </c>
      <c r="G573" t="s">
        <v>50</v>
      </c>
      <c r="J573" s="9">
        <v>0</v>
      </c>
      <c r="K573" s="7">
        <v>0</v>
      </c>
      <c r="L573" s="7">
        <v>0</v>
      </c>
      <c r="M573" s="9">
        <v>1</v>
      </c>
      <c r="N573" s="7">
        <v>5.7</v>
      </c>
      <c r="O573" s="7">
        <v>6.2</v>
      </c>
      <c r="P573" s="7">
        <v>3.2</v>
      </c>
      <c r="Q573" t="s">
        <v>225</v>
      </c>
      <c r="R573" s="7" t="str">
        <f>TEXT(Table1[[#This Row],[Date]],"mmm yyyy")</f>
        <v>Apr 2026</v>
      </c>
      <c r="S573" s="9">
        <f>YEAR(Table1[[#This Row],[Date]])</f>
        <v>2026</v>
      </c>
      <c r="T573" s="9"/>
      <c r="U573" s="9"/>
    </row>
    <row r="574" spans="1:21" x14ac:dyDescent="0.3">
      <c r="A574" t="s">
        <v>1011</v>
      </c>
      <c r="B574" s="6">
        <v>45977</v>
      </c>
      <c r="C574" t="s">
        <v>18</v>
      </c>
      <c r="D574" t="s">
        <v>117</v>
      </c>
      <c r="E574" t="s">
        <v>42</v>
      </c>
      <c r="F574" t="s">
        <v>1012</v>
      </c>
      <c r="G574" t="s">
        <v>50</v>
      </c>
      <c r="H574" t="s">
        <v>23</v>
      </c>
      <c r="I574" t="s">
        <v>89</v>
      </c>
      <c r="J574" s="9">
        <v>1</v>
      </c>
      <c r="K574" s="7">
        <v>25100</v>
      </c>
      <c r="L574" s="7">
        <v>0</v>
      </c>
      <c r="M574" s="9"/>
      <c r="N574" s="7">
        <v>20.8</v>
      </c>
      <c r="O574" s="7"/>
      <c r="P574" s="7"/>
      <c r="Q574" t="s">
        <v>89</v>
      </c>
      <c r="R574" s="7" t="str">
        <f>TEXT(Table1[[#This Row],[Date]],"mmm yyyy")</f>
        <v>Nov 2025</v>
      </c>
      <c r="S574" s="9">
        <f>YEAR(Table1[[#This Row],[Date]])</f>
        <v>2025</v>
      </c>
      <c r="T574" s="9"/>
      <c r="U574" s="9"/>
    </row>
    <row r="575" spans="1:21" hidden="1" x14ac:dyDescent="0.3">
      <c r="A575" t="s">
        <v>1013</v>
      </c>
      <c r="B575" s="6">
        <v>46025</v>
      </c>
      <c r="C575" t="s">
        <v>26</v>
      </c>
      <c r="D575" t="s">
        <v>36</v>
      </c>
      <c r="E575" t="s">
        <v>37</v>
      </c>
      <c r="F575" t="s">
        <v>710</v>
      </c>
      <c r="G575" t="s">
        <v>30</v>
      </c>
      <c r="J575" s="9">
        <v>0</v>
      </c>
      <c r="K575" s="7">
        <v>0</v>
      </c>
      <c r="L575" s="7">
        <v>0</v>
      </c>
      <c r="M575" s="9">
        <v>1</v>
      </c>
      <c r="N575" s="7">
        <v>9</v>
      </c>
      <c r="O575" s="7">
        <v>7.6</v>
      </c>
      <c r="P575" s="7">
        <v>3.4</v>
      </c>
      <c r="Q575" t="s">
        <v>62</v>
      </c>
      <c r="R575" s="7" t="str">
        <f>TEXT(Table1[[#This Row],[Date]],"mmm yyyy")</f>
        <v>Jan 2026</v>
      </c>
      <c r="S575" s="9">
        <f>YEAR(Table1[[#This Row],[Date]])</f>
        <v>2026</v>
      </c>
      <c r="T575" s="9"/>
      <c r="U575" s="9"/>
    </row>
    <row r="576" spans="1:21" hidden="1" x14ac:dyDescent="0.3">
      <c r="A576" t="s">
        <v>1014</v>
      </c>
      <c r="B576" s="6">
        <v>45956</v>
      </c>
      <c r="C576" t="s">
        <v>26</v>
      </c>
      <c r="D576" t="s">
        <v>69</v>
      </c>
      <c r="E576" t="s">
        <v>20</v>
      </c>
      <c r="F576" t="s">
        <v>1015</v>
      </c>
      <c r="G576" t="s">
        <v>44</v>
      </c>
      <c r="J576" s="9">
        <v>0</v>
      </c>
      <c r="K576" s="7">
        <v>0</v>
      </c>
      <c r="L576" s="7">
        <v>0</v>
      </c>
      <c r="M576" s="9">
        <v>1</v>
      </c>
      <c r="N576" s="7">
        <v>6.9</v>
      </c>
      <c r="O576" s="7">
        <v>4.5</v>
      </c>
      <c r="P576" s="7">
        <v>3.3</v>
      </c>
      <c r="Q576" t="s">
        <v>39</v>
      </c>
      <c r="R576" s="7" t="str">
        <f>TEXT(Table1[[#This Row],[Date]],"mmm yyyy")</f>
        <v>Oct 2025</v>
      </c>
      <c r="S576" s="9">
        <f>YEAR(Table1[[#This Row],[Date]])</f>
        <v>2025</v>
      </c>
      <c r="T576" s="9"/>
      <c r="U576" s="9"/>
    </row>
    <row r="577" spans="1:21" hidden="1" x14ac:dyDescent="0.3">
      <c r="A577" t="s">
        <v>1016</v>
      </c>
      <c r="B577" s="6">
        <v>46187</v>
      </c>
      <c r="C577" t="s">
        <v>26</v>
      </c>
      <c r="D577" t="s">
        <v>36</v>
      </c>
      <c r="E577" t="s">
        <v>42</v>
      </c>
      <c r="F577" t="s">
        <v>112</v>
      </c>
      <c r="G577" t="s">
        <v>30</v>
      </c>
      <c r="J577" s="9">
        <v>0</v>
      </c>
      <c r="K577" s="7">
        <v>0</v>
      </c>
      <c r="L577" s="7">
        <v>0</v>
      </c>
      <c r="M577" s="9">
        <v>1</v>
      </c>
      <c r="N577" s="7">
        <v>6.3</v>
      </c>
      <c r="O577" s="7">
        <v>2.9</v>
      </c>
      <c r="P577" s="7">
        <v>3.7</v>
      </c>
      <c r="Q577" t="s">
        <v>39</v>
      </c>
      <c r="R577" s="7" t="str">
        <f>TEXT(Table1[[#This Row],[Date]],"mmm yyyy")</f>
        <v>Jun 2026</v>
      </c>
      <c r="S577" s="9">
        <f>YEAR(Table1[[#This Row],[Date]])</f>
        <v>2026</v>
      </c>
      <c r="T577" s="9"/>
      <c r="U577" s="9"/>
    </row>
    <row r="578" spans="1:21" x14ac:dyDescent="0.3">
      <c r="A578" t="s">
        <v>1017</v>
      </c>
      <c r="B578" s="6">
        <v>45985</v>
      </c>
      <c r="C578" t="s">
        <v>18</v>
      </c>
      <c r="D578" t="s">
        <v>47</v>
      </c>
      <c r="E578" t="s">
        <v>28</v>
      </c>
      <c r="F578" t="s">
        <v>1018</v>
      </c>
      <c r="G578" t="s">
        <v>30</v>
      </c>
      <c r="H578" t="s">
        <v>23</v>
      </c>
      <c r="I578" t="s">
        <v>89</v>
      </c>
      <c r="J578" s="9">
        <v>1</v>
      </c>
      <c r="K578" s="7">
        <v>36900</v>
      </c>
      <c r="L578" s="7">
        <v>0</v>
      </c>
      <c r="M578" s="9"/>
      <c r="N578" s="7">
        <v>17.8</v>
      </c>
      <c r="O578" s="7"/>
      <c r="P578" s="7"/>
      <c r="Q578" t="s">
        <v>89</v>
      </c>
      <c r="R578" s="7" t="str">
        <f>TEXT(Table1[[#This Row],[Date]],"mmm yyyy")</f>
        <v>Nov 2025</v>
      </c>
      <c r="S578" s="9">
        <f>YEAR(Table1[[#This Row],[Date]])</f>
        <v>2025</v>
      </c>
      <c r="T578" s="9"/>
      <c r="U578" s="9"/>
    </row>
    <row r="579" spans="1:21" hidden="1" x14ac:dyDescent="0.3">
      <c r="A579" t="s">
        <v>1019</v>
      </c>
      <c r="B579" s="6">
        <v>45929</v>
      </c>
      <c r="C579" t="s">
        <v>26</v>
      </c>
      <c r="D579" t="s">
        <v>232</v>
      </c>
      <c r="E579" t="s">
        <v>20</v>
      </c>
      <c r="F579" t="s">
        <v>1020</v>
      </c>
      <c r="G579" t="s">
        <v>22</v>
      </c>
      <c r="J579" s="9">
        <v>0</v>
      </c>
      <c r="K579" s="7">
        <v>0</v>
      </c>
      <c r="L579" s="7">
        <v>0</v>
      </c>
      <c r="M579" s="9">
        <v>1</v>
      </c>
      <c r="N579" s="7">
        <v>5.2</v>
      </c>
      <c r="O579" s="7">
        <v>15.5</v>
      </c>
      <c r="P579" s="7">
        <v>5</v>
      </c>
      <c r="Q579" t="s">
        <v>39</v>
      </c>
      <c r="R579" s="7" t="str">
        <f>TEXT(Table1[[#This Row],[Date]],"mmm yyyy")</f>
        <v>Sep 2025</v>
      </c>
      <c r="S579" s="9">
        <f>YEAR(Table1[[#This Row],[Date]])</f>
        <v>2025</v>
      </c>
      <c r="T579" s="9"/>
      <c r="U579" s="9"/>
    </row>
    <row r="580" spans="1:21" x14ac:dyDescent="0.3">
      <c r="A580" t="s">
        <v>1021</v>
      </c>
      <c r="B580" s="6">
        <v>46038</v>
      </c>
      <c r="C580" t="s">
        <v>18</v>
      </c>
      <c r="D580" t="s">
        <v>95</v>
      </c>
      <c r="E580" t="s">
        <v>28</v>
      </c>
      <c r="F580" t="s">
        <v>598</v>
      </c>
      <c r="G580" t="s">
        <v>30</v>
      </c>
      <c r="H580" t="s">
        <v>86</v>
      </c>
      <c r="I580" t="s">
        <v>45</v>
      </c>
      <c r="J580" s="9">
        <v>1</v>
      </c>
      <c r="K580" s="7">
        <v>12000</v>
      </c>
      <c r="L580" s="7">
        <v>0</v>
      </c>
      <c r="M580" s="9"/>
      <c r="N580" s="7">
        <v>3</v>
      </c>
      <c r="O580" s="7"/>
      <c r="P580" s="7"/>
      <c r="Q580" t="s">
        <v>45</v>
      </c>
      <c r="R580" s="7" t="str">
        <f>TEXT(Table1[[#This Row],[Date]],"mmm yyyy")</f>
        <v>Jan 2026</v>
      </c>
      <c r="S580" s="9">
        <f>YEAR(Table1[[#This Row],[Date]])</f>
        <v>2026</v>
      </c>
      <c r="T580" s="9"/>
      <c r="U580" s="9"/>
    </row>
    <row r="581" spans="1:21" x14ac:dyDescent="0.3">
      <c r="A581" t="s">
        <v>1022</v>
      </c>
      <c r="B581" s="6">
        <v>46033</v>
      </c>
      <c r="C581" t="s">
        <v>18</v>
      </c>
      <c r="D581" t="s">
        <v>105</v>
      </c>
      <c r="E581" t="s">
        <v>20</v>
      </c>
      <c r="F581" t="s">
        <v>336</v>
      </c>
      <c r="G581" t="s">
        <v>22</v>
      </c>
      <c r="H581" t="s">
        <v>66</v>
      </c>
      <c r="I581" t="s">
        <v>55</v>
      </c>
      <c r="J581" s="9">
        <v>1</v>
      </c>
      <c r="K581" s="7">
        <v>16800</v>
      </c>
      <c r="L581" s="7">
        <v>0</v>
      </c>
      <c r="M581" s="9"/>
      <c r="N581" s="7">
        <v>2.8</v>
      </c>
      <c r="O581" s="7"/>
      <c r="P581" s="7"/>
      <c r="Q581" t="s">
        <v>55</v>
      </c>
      <c r="R581" s="7" t="str">
        <f>TEXT(Table1[[#This Row],[Date]],"mmm yyyy")</f>
        <v>Jan 2026</v>
      </c>
      <c r="S581" s="9">
        <f>YEAR(Table1[[#This Row],[Date]])</f>
        <v>2026</v>
      </c>
      <c r="T581" s="9"/>
      <c r="U581" s="9"/>
    </row>
    <row r="582" spans="1:21" x14ac:dyDescent="0.3">
      <c r="A582" t="s">
        <v>1023</v>
      </c>
      <c r="B582" s="6">
        <v>46039</v>
      </c>
      <c r="C582" t="s">
        <v>18</v>
      </c>
      <c r="D582" t="s">
        <v>117</v>
      </c>
      <c r="E582" t="s">
        <v>48</v>
      </c>
      <c r="F582" t="s">
        <v>1024</v>
      </c>
      <c r="G582" t="s">
        <v>44</v>
      </c>
      <c r="H582" t="s">
        <v>78</v>
      </c>
      <c r="I582" t="s">
        <v>24</v>
      </c>
      <c r="J582" s="9">
        <v>1</v>
      </c>
      <c r="K582" s="7">
        <v>5500</v>
      </c>
      <c r="L582" s="7">
        <v>5500</v>
      </c>
      <c r="M582" s="9"/>
      <c r="N582" s="7">
        <v>7.9</v>
      </c>
      <c r="O582" s="7"/>
      <c r="P582" s="7"/>
      <c r="Q582" t="s">
        <v>24</v>
      </c>
      <c r="R582" s="7" t="str">
        <f>TEXT(Table1[[#This Row],[Date]],"mmm yyyy")</f>
        <v>Jan 2026</v>
      </c>
      <c r="S582" s="9">
        <f>YEAR(Table1[[#This Row],[Date]])</f>
        <v>2026</v>
      </c>
      <c r="T582" s="9"/>
      <c r="U582" s="9"/>
    </row>
    <row r="583" spans="1:21" hidden="1" x14ac:dyDescent="0.3">
      <c r="A583" t="s">
        <v>1025</v>
      </c>
      <c r="B583" s="6">
        <v>46097</v>
      </c>
      <c r="C583" t="s">
        <v>26</v>
      </c>
      <c r="D583" t="s">
        <v>114</v>
      </c>
      <c r="E583" t="s">
        <v>20</v>
      </c>
      <c r="F583" t="s">
        <v>426</v>
      </c>
      <c r="G583" t="s">
        <v>44</v>
      </c>
      <c r="J583" s="9">
        <v>0</v>
      </c>
      <c r="K583" s="7">
        <v>0</v>
      </c>
      <c r="L583" s="7">
        <v>0</v>
      </c>
      <c r="M583" s="9">
        <v>1</v>
      </c>
      <c r="N583" s="7">
        <v>9.6999999999999993</v>
      </c>
      <c r="O583" s="7">
        <v>4.7</v>
      </c>
      <c r="P583" s="7">
        <v>3.5</v>
      </c>
      <c r="Q583" t="s">
        <v>62</v>
      </c>
      <c r="R583" s="7" t="str">
        <f>TEXT(Table1[[#This Row],[Date]],"mmm yyyy")</f>
        <v>Mar 2026</v>
      </c>
      <c r="S583" s="9">
        <f>YEAR(Table1[[#This Row],[Date]])</f>
        <v>2026</v>
      </c>
      <c r="T583" s="9"/>
      <c r="U583" s="9"/>
    </row>
    <row r="584" spans="1:21" x14ac:dyDescent="0.3">
      <c r="A584" t="s">
        <v>1026</v>
      </c>
      <c r="B584" s="6">
        <v>46181</v>
      </c>
      <c r="C584" t="s">
        <v>18</v>
      </c>
      <c r="D584" t="s">
        <v>95</v>
      </c>
      <c r="E584" t="s">
        <v>48</v>
      </c>
      <c r="F584" t="s">
        <v>292</v>
      </c>
      <c r="G584" t="s">
        <v>50</v>
      </c>
      <c r="H584" t="s">
        <v>78</v>
      </c>
      <c r="I584" t="s">
        <v>79</v>
      </c>
      <c r="J584" s="9">
        <v>1</v>
      </c>
      <c r="K584" s="7">
        <v>22200</v>
      </c>
      <c r="L584" s="7">
        <v>0</v>
      </c>
      <c r="M584" s="9"/>
      <c r="N584" s="7">
        <v>5.6</v>
      </c>
      <c r="O584" s="7"/>
      <c r="P584" s="7"/>
      <c r="Q584" t="s">
        <v>79</v>
      </c>
      <c r="R584" s="7" t="str">
        <f>TEXT(Table1[[#This Row],[Date]],"mmm yyyy")</f>
        <v>Jun 2026</v>
      </c>
      <c r="S584" s="9">
        <f>YEAR(Table1[[#This Row],[Date]])</f>
        <v>2026</v>
      </c>
      <c r="T584" s="9"/>
      <c r="U584" s="9"/>
    </row>
    <row r="585" spans="1:21" x14ac:dyDescent="0.3">
      <c r="A585" t="s">
        <v>1027</v>
      </c>
      <c r="B585" s="6">
        <v>46030</v>
      </c>
      <c r="C585" t="s">
        <v>18</v>
      </c>
      <c r="D585" t="s">
        <v>52</v>
      </c>
      <c r="E585" t="s">
        <v>20</v>
      </c>
      <c r="F585" t="s">
        <v>1028</v>
      </c>
      <c r="G585" t="s">
        <v>50</v>
      </c>
      <c r="H585" t="s">
        <v>23</v>
      </c>
      <c r="I585" t="s">
        <v>89</v>
      </c>
      <c r="J585" s="9">
        <v>1</v>
      </c>
      <c r="K585" s="7">
        <v>17200</v>
      </c>
      <c r="L585" s="7">
        <v>0</v>
      </c>
      <c r="M585" s="9"/>
      <c r="N585" s="7">
        <v>8.1</v>
      </c>
      <c r="O585" s="7"/>
      <c r="P585" s="7"/>
      <c r="Q585" t="s">
        <v>89</v>
      </c>
      <c r="R585" s="7" t="str">
        <f>TEXT(Table1[[#This Row],[Date]],"mmm yyyy")</f>
        <v>Jan 2026</v>
      </c>
      <c r="S585" s="9">
        <f>YEAR(Table1[[#This Row],[Date]])</f>
        <v>2026</v>
      </c>
      <c r="T585" s="9"/>
      <c r="U585" s="9"/>
    </row>
    <row r="586" spans="1:21" hidden="1" x14ac:dyDescent="0.3">
      <c r="A586" t="s">
        <v>1029</v>
      </c>
      <c r="B586" s="6">
        <v>46230</v>
      </c>
      <c r="C586" t="s">
        <v>26</v>
      </c>
      <c r="D586" t="s">
        <v>69</v>
      </c>
      <c r="E586" t="s">
        <v>42</v>
      </c>
      <c r="F586" t="s">
        <v>734</v>
      </c>
      <c r="G586" t="s">
        <v>30</v>
      </c>
      <c r="J586" s="9">
        <v>0</v>
      </c>
      <c r="K586" s="7">
        <v>0</v>
      </c>
      <c r="L586" s="7">
        <v>0</v>
      </c>
      <c r="M586" s="9">
        <v>1</v>
      </c>
      <c r="N586" s="7">
        <v>7.5</v>
      </c>
      <c r="O586" s="7">
        <v>3.1</v>
      </c>
      <c r="P586" s="7">
        <v>4.9000000000000004</v>
      </c>
      <c r="Q586" t="s">
        <v>62</v>
      </c>
      <c r="R586" s="7" t="str">
        <f>TEXT(Table1[[#This Row],[Date]],"mmm yyyy")</f>
        <v>Jul 2026</v>
      </c>
      <c r="S586" s="9">
        <f>YEAR(Table1[[#This Row],[Date]])</f>
        <v>2026</v>
      </c>
      <c r="T586" s="9"/>
      <c r="U586" s="9"/>
    </row>
    <row r="587" spans="1:21" x14ac:dyDescent="0.3">
      <c r="A587" t="s">
        <v>1030</v>
      </c>
      <c r="B587" s="6">
        <v>46234</v>
      </c>
      <c r="C587" t="s">
        <v>18</v>
      </c>
      <c r="D587" t="s">
        <v>47</v>
      </c>
      <c r="E587" t="s">
        <v>28</v>
      </c>
      <c r="F587" t="s">
        <v>923</v>
      </c>
      <c r="G587" t="s">
        <v>44</v>
      </c>
      <c r="H587" t="s">
        <v>78</v>
      </c>
      <c r="I587" t="s">
        <v>67</v>
      </c>
      <c r="J587" s="9">
        <v>1</v>
      </c>
      <c r="K587" s="7">
        <v>5000</v>
      </c>
      <c r="L587" s="7">
        <v>0</v>
      </c>
      <c r="M587" s="9"/>
      <c r="N587" s="7">
        <v>3</v>
      </c>
      <c r="O587" s="7"/>
      <c r="P587" s="7"/>
      <c r="Q587" t="s">
        <v>67</v>
      </c>
      <c r="R587" s="7" t="str">
        <f>TEXT(Table1[[#This Row],[Date]],"mmm yyyy")</f>
        <v>Jul 2026</v>
      </c>
      <c r="S587" s="9">
        <f>YEAR(Table1[[#This Row],[Date]])</f>
        <v>2026</v>
      </c>
      <c r="T587" s="9"/>
      <c r="U587" s="9"/>
    </row>
    <row r="588" spans="1:21" x14ac:dyDescent="0.3">
      <c r="A588" t="s">
        <v>1031</v>
      </c>
      <c r="B588" s="6">
        <v>46231</v>
      </c>
      <c r="C588" t="s">
        <v>18</v>
      </c>
      <c r="D588" t="s">
        <v>47</v>
      </c>
      <c r="E588" t="s">
        <v>37</v>
      </c>
      <c r="F588" t="s">
        <v>1032</v>
      </c>
      <c r="G588" t="s">
        <v>30</v>
      </c>
      <c r="H588" t="s">
        <v>54</v>
      </c>
      <c r="I588" t="s">
        <v>89</v>
      </c>
      <c r="J588" s="9">
        <v>1</v>
      </c>
      <c r="K588" s="7">
        <v>25600</v>
      </c>
      <c r="L588" s="7">
        <v>0</v>
      </c>
      <c r="M588" s="9"/>
      <c r="N588" s="7">
        <v>6</v>
      </c>
      <c r="O588" s="7"/>
      <c r="P588" s="7"/>
      <c r="Q588" t="s">
        <v>89</v>
      </c>
      <c r="R588" s="7" t="str">
        <f>TEXT(Table1[[#This Row],[Date]],"mmm yyyy")</f>
        <v>Jul 2026</v>
      </c>
      <c r="S588" s="9">
        <f>YEAR(Table1[[#This Row],[Date]])</f>
        <v>2026</v>
      </c>
      <c r="T588" s="9"/>
      <c r="U588" s="9"/>
    </row>
    <row r="589" spans="1:21" x14ac:dyDescent="0.3">
      <c r="A589" t="s">
        <v>1033</v>
      </c>
      <c r="B589" s="6">
        <v>45923</v>
      </c>
      <c r="C589" t="s">
        <v>18</v>
      </c>
      <c r="D589" t="s">
        <v>41</v>
      </c>
      <c r="E589" t="s">
        <v>37</v>
      </c>
      <c r="F589" t="s">
        <v>1034</v>
      </c>
      <c r="G589" t="s">
        <v>30</v>
      </c>
      <c r="H589" t="s">
        <v>66</v>
      </c>
      <c r="I589" t="s">
        <v>55</v>
      </c>
      <c r="J589" s="9">
        <v>1</v>
      </c>
      <c r="K589" s="7">
        <v>26400</v>
      </c>
      <c r="L589" s="7">
        <v>0</v>
      </c>
      <c r="M589" s="9"/>
      <c r="N589" s="7">
        <v>15.1</v>
      </c>
      <c r="O589" s="7"/>
      <c r="P589" s="7"/>
      <c r="Q589" t="s">
        <v>55</v>
      </c>
      <c r="R589" s="7" t="str">
        <f>TEXT(Table1[[#This Row],[Date]],"mmm yyyy")</f>
        <v>Sep 2025</v>
      </c>
      <c r="S589" s="9">
        <f>YEAR(Table1[[#This Row],[Date]])</f>
        <v>2025</v>
      </c>
      <c r="T589" s="9"/>
      <c r="U589" s="9"/>
    </row>
    <row r="590" spans="1:21" x14ac:dyDescent="0.3">
      <c r="A590" t="s">
        <v>1035</v>
      </c>
      <c r="B590" s="6">
        <v>46082</v>
      </c>
      <c r="C590" t="s">
        <v>18</v>
      </c>
      <c r="D590" t="s">
        <v>47</v>
      </c>
      <c r="E590" t="s">
        <v>20</v>
      </c>
      <c r="F590" t="s">
        <v>1036</v>
      </c>
      <c r="G590" t="s">
        <v>22</v>
      </c>
      <c r="H590" t="s">
        <v>23</v>
      </c>
      <c r="I590" t="s">
        <v>24</v>
      </c>
      <c r="J590" s="9">
        <v>1</v>
      </c>
      <c r="K590" s="7">
        <v>42600</v>
      </c>
      <c r="L590" s="7">
        <v>42600</v>
      </c>
      <c r="M590" s="9"/>
      <c r="N590" s="7">
        <v>5.3</v>
      </c>
      <c r="O590" s="7"/>
      <c r="P590" s="7"/>
      <c r="Q590" t="s">
        <v>24</v>
      </c>
      <c r="R590" s="7" t="str">
        <f>TEXT(Table1[[#This Row],[Date]],"mmm yyyy")</f>
        <v>Mar 2026</v>
      </c>
      <c r="S590" s="9">
        <f>YEAR(Table1[[#This Row],[Date]])</f>
        <v>2026</v>
      </c>
      <c r="T590" s="9"/>
      <c r="U590" s="9"/>
    </row>
    <row r="591" spans="1:21" x14ac:dyDescent="0.3">
      <c r="A591" t="s">
        <v>1037</v>
      </c>
      <c r="B591" s="6">
        <v>46032</v>
      </c>
      <c r="C591" t="s">
        <v>18</v>
      </c>
      <c r="D591" t="s">
        <v>105</v>
      </c>
      <c r="E591" t="s">
        <v>20</v>
      </c>
      <c r="F591" t="s">
        <v>505</v>
      </c>
      <c r="G591" t="s">
        <v>22</v>
      </c>
      <c r="H591" t="s">
        <v>66</v>
      </c>
      <c r="I591" t="s">
        <v>45</v>
      </c>
      <c r="J591" s="9">
        <v>1</v>
      </c>
      <c r="K591" s="7">
        <v>12400</v>
      </c>
      <c r="L591" s="7">
        <v>0</v>
      </c>
      <c r="M591" s="9"/>
      <c r="N591" s="7">
        <v>4</v>
      </c>
      <c r="O591" s="7"/>
      <c r="P591" s="7"/>
      <c r="Q591" t="s">
        <v>45</v>
      </c>
      <c r="R591" s="7" t="str">
        <f>TEXT(Table1[[#This Row],[Date]],"mmm yyyy")</f>
        <v>Jan 2026</v>
      </c>
      <c r="S591" s="9">
        <f>YEAR(Table1[[#This Row],[Date]])</f>
        <v>2026</v>
      </c>
      <c r="T591" s="9"/>
      <c r="U591" s="9"/>
    </row>
    <row r="592" spans="1:21" x14ac:dyDescent="0.3">
      <c r="A592" t="s">
        <v>1038</v>
      </c>
      <c r="B592" s="6">
        <v>46231</v>
      </c>
      <c r="C592" t="s">
        <v>18</v>
      </c>
      <c r="D592" t="s">
        <v>52</v>
      </c>
      <c r="E592" t="s">
        <v>20</v>
      </c>
      <c r="F592" t="s">
        <v>517</v>
      </c>
      <c r="G592" t="s">
        <v>44</v>
      </c>
      <c r="H592" t="s">
        <v>86</v>
      </c>
      <c r="I592" t="s">
        <v>45</v>
      </c>
      <c r="J592" s="9">
        <v>1</v>
      </c>
      <c r="K592" s="7">
        <v>24400</v>
      </c>
      <c r="L592" s="7">
        <v>0</v>
      </c>
      <c r="M592" s="9"/>
      <c r="N592" s="7">
        <v>11.8</v>
      </c>
      <c r="O592" s="7"/>
      <c r="P592" s="7"/>
      <c r="Q592" t="s">
        <v>45</v>
      </c>
      <c r="R592" s="7" t="str">
        <f>TEXT(Table1[[#This Row],[Date]],"mmm yyyy")</f>
        <v>Jul 2026</v>
      </c>
      <c r="S592" s="9">
        <f>YEAR(Table1[[#This Row],[Date]])</f>
        <v>2026</v>
      </c>
      <c r="T592" s="9"/>
      <c r="U592" s="9"/>
    </row>
    <row r="593" spans="1:21" hidden="1" x14ac:dyDescent="0.3">
      <c r="A593" t="s">
        <v>1039</v>
      </c>
      <c r="B593" s="6">
        <v>46153</v>
      </c>
      <c r="C593" t="s">
        <v>26</v>
      </c>
      <c r="D593" t="s">
        <v>72</v>
      </c>
      <c r="E593" t="s">
        <v>20</v>
      </c>
      <c r="F593" t="s">
        <v>473</v>
      </c>
      <c r="G593" t="s">
        <v>44</v>
      </c>
      <c r="J593" s="9">
        <v>0</v>
      </c>
      <c r="K593" s="7">
        <v>0</v>
      </c>
      <c r="L593" s="7">
        <v>0</v>
      </c>
      <c r="M593" s="9">
        <v>1</v>
      </c>
      <c r="N593" s="7">
        <v>9.1999999999999993</v>
      </c>
      <c r="O593" s="7">
        <v>3.1</v>
      </c>
      <c r="P593" s="7">
        <v>5</v>
      </c>
      <c r="Q593" t="s">
        <v>31</v>
      </c>
      <c r="R593" s="7" t="str">
        <f>TEXT(Table1[[#This Row],[Date]],"mmm yyyy")</f>
        <v>May 2026</v>
      </c>
      <c r="S593" s="9">
        <f>YEAR(Table1[[#This Row],[Date]])</f>
        <v>2026</v>
      </c>
      <c r="T593" s="9"/>
      <c r="U593" s="9"/>
    </row>
    <row r="594" spans="1:21" x14ac:dyDescent="0.3">
      <c r="A594" t="s">
        <v>1040</v>
      </c>
      <c r="B594" s="6">
        <v>45909</v>
      </c>
      <c r="C594" t="s">
        <v>18</v>
      </c>
      <c r="D594" t="s">
        <v>47</v>
      </c>
      <c r="E594" t="s">
        <v>48</v>
      </c>
      <c r="F594" t="s">
        <v>1041</v>
      </c>
      <c r="G594" t="s">
        <v>22</v>
      </c>
      <c r="H594" t="s">
        <v>23</v>
      </c>
      <c r="I594" t="s">
        <v>89</v>
      </c>
      <c r="J594" s="9">
        <v>1</v>
      </c>
      <c r="K594" s="7">
        <v>11700</v>
      </c>
      <c r="L594" s="7">
        <v>0</v>
      </c>
      <c r="M594" s="9"/>
      <c r="N594" s="7">
        <v>4.5999999999999996</v>
      </c>
      <c r="O594" s="7"/>
      <c r="P594" s="7"/>
      <c r="Q594" t="s">
        <v>89</v>
      </c>
      <c r="R594" s="7" t="str">
        <f>TEXT(Table1[[#This Row],[Date]],"mmm yyyy")</f>
        <v>Sep 2025</v>
      </c>
      <c r="S594" s="9">
        <f>YEAR(Table1[[#This Row],[Date]])</f>
        <v>2025</v>
      </c>
      <c r="T594" s="9"/>
      <c r="U594" s="9"/>
    </row>
    <row r="595" spans="1:21" x14ac:dyDescent="0.3">
      <c r="A595" t="s">
        <v>1042</v>
      </c>
      <c r="B595" s="6">
        <v>46036</v>
      </c>
      <c r="C595" t="s">
        <v>18</v>
      </c>
      <c r="D595" t="s">
        <v>47</v>
      </c>
      <c r="E595" t="s">
        <v>37</v>
      </c>
      <c r="F595" t="s">
        <v>115</v>
      </c>
      <c r="G595" t="s">
        <v>44</v>
      </c>
      <c r="H595" t="s">
        <v>23</v>
      </c>
      <c r="I595" t="s">
        <v>79</v>
      </c>
      <c r="J595" s="9">
        <v>1</v>
      </c>
      <c r="K595" s="7">
        <v>27500</v>
      </c>
      <c r="L595" s="7">
        <v>0</v>
      </c>
      <c r="M595" s="9"/>
      <c r="N595" s="7">
        <v>21.1</v>
      </c>
      <c r="O595" s="7"/>
      <c r="P595" s="7"/>
      <c r="Q595" t="s">
        <v>79</v>
      </c>
      <c r="R595" s="7" t="str">
        <f>TEXT(Table1[[#This Row],[Date]],"mmm yyyy")</f>
        <v>Jan 2026</v>
      </c>
      <c r="S595" s="9">
        <f>YEAR(Table1[[#This Row],[Date]])</f>
        <v>2026</v>
      </c>
      <c r="T595" s="9"/>
      <c r="U595" s="9"/>
    </row>
    <row r="596" spans="1:21" hidden="1" x14ac:dyDescent="0.3">
      <c r="A596" t="s">
        <v>1043</v>
      </c>
      <c r="B596" s="6">
        <v>46039</v>
      </c>
      <c r="C596" t="s">
        <v>26</v>
      </c>
      <c r="D596" t="s">
        <v>27</v>
      </c>
      <c r="E596" t="s">
        <v>20</v>
      </c>
      <c r="F596" t="s">
        <v>301</v>
      </c>
      <c r="G596" t="s">
        <v>30</v>
      </c>
      <c r="J596" s="9">
        <v>0</v>
      </c>
      <c r="K596" s="7">
        <v>0</v>
      </c>
      <c r="L596" s="7">
        <v>0</v>
      </c>
      <c r="M596" s="9">
        <v>1</v>
      </c>
      <c r="N596" s="7">
        <v>8.4</v>
      </c>
      <c r="O596" s="7">
        <v>3</v>
      </c>
      <c r="P596" s="7">
        <v>3.9</v>
      </c>
      <c r="Q596" t="s">
        <v>39</v>
      </c>
      <c r="R596" s="7" t="str">
        <f>TEXT(Table1[[#This Row],[Date]],"mmm yyyy")</f>
        <v>Jan 2026</v>
      </c>
      <c r="S596" s="9">
        <f>YEAR(Table1[[#This Row],[Date]])</f>
        <v>2026</v>
      </c>
      <c r="T596" s="9"/>
      <c r="U596" s="9"/>
    </row>
    <row r="597" spans="1:21" x14ac:dyDescent="0.3">
      <c r="A597" t="s">
        <v>1044</v>
      </c>
      <c r="B597" s="6">
        <v>46214</v>
      </c>
      <c r="C597" t="s">
        <v>18</v>
      </c>
      <c r="D597" t="s">
        <v>117</v>
      </c>
      <c r="E597" t="s">
        <v>20</v>
      </c>
      <c r="F597" t="s">
        <v>1045</v>
      </c>
      <c r="G597" t="s">
        <v>44</v>
      </c>
      <c r="H597" t="s">
        <v>78</v>
      </c>
      <c r="I597" t="s">
        <v>67</v>
      </c>
      <c r="J597" s="9">
        <v>1</v>
      </c>
      <c r="K597" s="7">
        <v>49700</v>
      </c>
      <c r="L597" s="7">
        <v>0</v>
      </c>
      <c r="M597" s="9"/>
      <c r="N597" s="7">
        <v>7.8</v>
      </c>
      <c r="O597" s="7"/>
      <c r="P597" s="7"/>
      <c r="Q597" t="s">
        <v>67</v>
      </c>
      <c r="R597" s="7" t="str">
        <f>TEXT(Table1[[#This Row],[Date]],"mmm yyyy")</f>
        <v>Jul 2026</v>
      </c>
      <c r="S597" s="9">
        <f>YEAR(Table1[[#This Row],[Date]])</f>
        <v>2026</v>
      </c>
      <c r="T597" s="9"/>
      <c r="U597" s="9"/>
    </row>
    <row r="598" spans="1:21" hidden="1" x14ac:dyDescent="0.3">
      <c r="A598" t="s">
        <v>1046</v>
      </c>
      <c r="B598" s="6">
        <v>45958</v>
      </c>
      <c r="C598" t="s">
        <v>26</v>
      </c>
      <c r="D598" t="s">
        <v>36</v>
      </c>
      <c r="E598" t="s">
        <v>48</v>
      </c>
      <c r="F598" t="s">
        <v>524</v>
      </c>
      <c r="G598" t="s">
        <v>22</v>
      </c>
      <c r="J598" s="9">
        <v>0</v>
      </c>
      <c r="K598" s="7">
        <v>0</v>
      </c>
      <c r="L598" s="7">
        <v>0</v>
      </c>
      <c r="M598" s="9">
        <v>1</v>
      </c>
      <c r="N598" s="7">
        <v>1</v>
      </c>
      <c r="O598" s="7">
        <v>5.9</v>
      </c>
      <c r="P598" s="7">
        <v>4.5999999999999996</v>
      </c>
      <c r="Q598" t="s">
        <v>39</v>
      </c>
      <c r="R598" s="7" t="str">
        <f>TEXT(Table1[[#This Row],[Date]],"mmm yyyy")</f>
        <v>Oct 2025</v>
      </c>
      <c r="S598" s="9">
        <f>YEAR(Table1[[#This Row],[Date]])</f>
        <v>2025</v>
      </c>
      <c r="T598" s="9"/>
      <c r="U598" s="9"/>
    </row>
    <row r="599" spans="1:21" x14ac:dyDescent="0.3">
      <c r="A599" t="s">
        <v>1047</v>
      </c>
      <c r="B599" s="6">
        <v>46151</v>
      </c>
      <c r="C599" t="s">
        <v>18</v>
      </c>
      <c r="D599" t="s">
        <v>52</v>
      </c>
      <c r="E599" t="s">
        <v>42</v>
      </c>
      <c r="F599" t="s">
        <v>1048</v>
      </c>
      <c r="G599" t="s">
        <v>50</v>
      </c>
      <c r="H599" t="s">
        <v>23</v>
      </c>
      <c r="I599" t="s">
        <v>55</v>
      </c>
      <c r="J599" s="9">
        <v>1</v>
      </c>
      <c r="K599" s="7">
        <v>46600</v>
      </c>
      <c r="L599" s="7">
        <v>0</v>
      </c>
      <c r="M599" s="9"/>
      <c r="N599" s="7">
        <v>15.6</v>
      </c>
      <c r="O599" s="7"/>
      <c r="P599" s="7"/>
      <c r="Q599" t="s">
        <v>55</v>
      </c>
      <c r="R599" s="7" t="str">
        <f>TEXT(Table1[[#This Row],[Date]],"mmm yyyy")</f>
        <v>May 2026</v>
      </c>
      <c r="S599" s="9">
        <f>YEAR(Table1[[#This Row],[Date]])</f>
        <v>2026</v>
      </c>
      <c r="T599" s="9"/>
      <c r="U599" s="9"/>
    </row>
    <row r="600" spans="1:21" x14ac:dyDescent="0.3">
      <c r="A600" t="s">
        <v>1049</v>
      </c>
      <c r="B600" s="6">
        <v>45959</v>
      </c>
      <c r="C600" t="s">
        <v>18</v>
      </c>
      <c r="D600" t="s">
        <v>19</v>
      </c>
      <c r="E600" t="s">
        <v>37</v>
      </c>
      <c r="F600" t="s">
        <v>1050</v>
      </c>
      <c r="G600" t="s">
        <v>30</v>
      </c>
      <c r="H600" t="s">
        <v>66</v>
      </c>
      <c r="I600" t="s">
        <v>45</v>
      </c>
      <c r="J600" s="9">
        <v>1</v>
      </c>
      <c r="K600" s="7">
        <v>20700</v>
      </c>
      <c r="L600" s="7">
        <v>0</v>
      </c>
      <c r="M600" s="9"/>
      <c r="N600" s="7">
        <v>22.9</v>
      </c>
      <c r="O600" s="7"/>
      <c r="P600" s="7"/>
      <c r="Q600" t="s">
        <v>45</v>
      </c>
      <c r="R600" s="7" t="str">
        <f>TEXT(Table1[[#This Row],[Date]],"mmm yyyy")</f>
        <v>Oct 2025</v>
      </c>
      <c r="S600" s="9">
        <f>YEAR(Table1[[#This Row],[Date]])</f>
        <v>2025</v>
      </c>
      <c r="T600" s="9"/>
      <c r="U600" s="9"/>
    </row>
    <row r="601" spans="1:21" x14ac:dyDescent="0.3">
      <c r="A601" t="s">
        <v>1051</v>
      </c>
      <c r="B601" s="6">
        <v>45915</v>
      </c>
      <c r="C601" t="s">
        <v>18</v>
      </c>
      <c r="D601" t="s">
        <v>19</v>
      </c>
      <c r="E601" t="s">
        <v>28</v>
      </c>
      <c r="F601" t="s">
        <v>164</v>
      </c>
      <c r="G601" t="s">
        <v>50</v>
      </c>
      <c r="H601" t="s">
        <v>54</v>
      </c>
      <c r="I601" t="s">
        <v>24</v>
      </c>
      <c r="J601" s="9">
        <v>1</v>
      </c>
      <c r="K601" s="7">
        <v>10900</v>
      </c>
      <c r="L601" s="7">
        <v>10900</v>
      </c>
      <c r="M601" s="9"/>
      <c r="N601" s="7">
        <v>2.2999999999999998</v>
      </c>
      <c r="O601" s="7"/>
      <c r="P601" s="7"/>
      <c r="Q601" t="s">
        <v>24</v>
      </c>
      <c r="R601" s="7" t="str">
        <f>TEXT(Table1[[#This Row],[Date]],"mmm yyyy")</f>
        <v>Sep 2025</v>
      </c>
      <c r="S601" s="9">
        <f>YEAR(Table1[[#This Row],[Date]])</f>
        <v>2025</v>
      </c>
      <c r="T601" s="9"/>
      <c r="U601" s="9"/>
    </row>
    <row r="602" spans="1:21" x14ac:dyDescent="0.3">
      <c r="A602" t="s">
        <v>1052</v>
      </c>
      <c r="B602" s="6">
        <v>45964</v>
      </c>
      <c r="C602" t="s">
        <v>18</v>
      </c>
      <c r="D602" t="s">
        <v>19</v>
      </c>
      <c r="E602" t="s">
        <v>20</v>
      </c>
      <c r="F602" t="s">
        <v>809</v>
      </c>
      <c r="G602" t="s">
        <v>22</v>
      </c>
      <c r="H602" t="s">
        <v>23</v>
      </c>
      <c r="I602" t="s">
        <v>45</v>
      </c>
      <c r="J602" s="9">
        <v>1</v>
      </c>
      <c r="K602" s="7">
        <v>18900</v>
      </c>
      <c r="L602" s="7">
        <v>0</v>
      </c>
      <c r="M602" s="9"/>
      <c r="N602" s="7">
        <v>8.8000000000000007</v>
      </c>
      <c r="O602" s="7"/>
      <c r="P602" s="7"/>
      <c r="Q602" t="s">
        <v>45</v>
      </c>
      <c r="R602" s="7" t="str">
        <f>TEXT(Table1[[#This Row],[Date]],"mmm yyyy")</f>
        <v>Nov 2025</v>
      </c>
      <c r="S602" s="9">
        <f>YEAR(Table1[[#This Row],[Date]])</f>
        <v>2025</v>
      </c>
      <c r="T602" s="9"/>
      <c r="U602" s="9"/>
    </row>
    <row r="603" spans="1:21" x14ac:dyDescent="0.3">
      <c r="A603" t="s">
        <v>1053</v>
      </c>
      <c r="B603" s="6">
        <v>45988</v>
      </c>
      <c r="C603" t="s">
        <v>18</v>
      </c>
      <c r="D603" t="s">
        <v>19</v>
      </c>
      <c r="E603" t="s">
        <v>20</v>
      </c>
      <c r="F603" t="s">
        <v>887</v>
      </c>
      <c r="G603" t="s">
        <v>50</v>
      </c>
      <c r="H603" t="s">
        <v>78</v>
      </c>
      <c r="I603" t="s">
        <v>24</v>
      </c>
      <c r="J603" s="9">
        <v>1</v>
      </c>
      <c r="K603" s="7">
        <v>15300</v>
      </c>
      <c r="L603" s="7">
        <v>15300</v>
      </c>
      <c r="M603" s="9"/>
      <c r="N603" s="7">
        <v>10.6</v>
      </c>
      <c r="O603" s="7"/>
      <c r="P603" s="7"/>
      <c r="Q603" t="s">
        <v>24</v>
      </c>
      <c r="R603" s="7" t="str">
        <f>TEXT(Table1[[#This Row],[Date]],"mmm yyyy")</f>
        <v>Nov 2025</v>
      </c>
      <c r="S603" s="9">
        <f>YEAR(Table1[[#This Row],[Date]])</f>
        <v>2025</v>
      </c>
      <c r="T603" s="9"/>
      <c r="U603" s="9"/>
    </row>
    <row r="604" spans="1:21" x14ac:dyDescent="0.3">
      <c r="A604" t="s">
        <v>1054</v>
      </c>
      <c r="B604" s="6">
        <v>46245</v>
      </c>
      <c r="C604" t="s">
        <v>18</v>
      </c>
      <c r="D604" t="s">
        <v>47</v>
      </c>
      <c r="E604" t="s">
        <v>28</v>
      </c>
      <c r="F604" t="s">
        <v>1055</v>
      </c>
      <c r="G604" t="s">
        <v>44</v>
      </c>
      <c r="H604" t="s">
        <v>86</v>
      </c>
      <c r="I604" t="s">
        <v>45</v>
      </c>
      <c r="J604" s="9">
        <v>1</v>
      </c>
      <c r="K604" s="7">
        <v>41400</v>
      </c>
      <c r="L604" s="7">
        <v>0</v>
      </c>
      <c r="M604" s="9"/>
      <c r="N604" s="7">
        <v>16.8</v>
      </c>
      <c r="O604" s="7"/>
      <c r="P604" s="7"/>
      <c r="Q604" t="s">
        <v>45</v>
      </c>
      <c r="R604" s="7" t="str">
        <f>TEXT(Table1[[#This Row],[Date]],"mmm yyyy")</f>
        <v>Aug 2026</v>
      </c>
      <c r="S604" s="9">
        <f>YEAR(Table1[[#This Row],[Date]])</f>
        <v>2026</v>
      </c>
      <c r="T604" s="9"/>
      <c r="U604" s="9"/>
    </row>
    <row r="605" spans="1:21" x14ac:dyDescent="0.3">
      <c r="A605" t="s">
        <v>1056</v>
      </c>
      <c r="B605" s="6">
        <v>46210</v>
      </c>
      <c r="C605" t="s">
        <v>18</v>
      </c>
      <c r="D605" t="s">
        <v>41</v>
      </c>
      <c r="E605" t="s">
        <v>42</v>
      </c>
      <c r="F605" t="s">
        <v>485</v>
      </c>
      <c r="G605" t="s">
        <v>44</v>
      </c>
      <c r="H605" t="s">
        <v>78</v>
      </c>
      <c r="I605" t="s">
        <v>24</v>
      </c>
      <c r="J605" s="9">
        <v>1</v>
      </c>
      <c r="K605" s="7">
        <v>37900</v>
      </c>
      <c r="L605" s="7">
        <v>37900</v>
      </c>
      <c r="M605" s="9"/>
      <c r="N605" s="7">
        <v>9.6999999999999993</v>
      </c>
      <c r="O605" s="7"/>
      <c r="P605" s="7"/>
      <c r="Q605" t="s">
        <v>24</v>
      </c>
      <c r="R605" s="7" t="str">
        <f>TEXT(Table1[[#This Row],[Date]],"mmm yyyy")</f>
        <v>Jul 2026</v>
      </c>
      <c r="S605" s="9">
        <f>YEAR(Table1[[#This Row],[Date]])</f>
        <v>2026</v>
      </c>
      <c r="T605" s="9"/>
      <c r="U605" s="9"/>
    </row>
    <row r="606" spans="1:21" x14ac:dyDescent="0.3">
      <c r="A606" t="s">
        <v>1057</v>
      </c>
      <c r="B606" s="6">
        <v>46033</v>
      </c>
      <c r="C606" t="s">
        <v>18</v>
      </c>
      <c r="D606" t="s">
        <v>47</v>
      </c>
      <c r="E606" t="s">
        <v>28</v>
      </c>
      <c r="F606" t="s">
        <v>706</v>
      </c>
      <c r="G606" t="s">
        <v>30</v>
      </c>
      <c r="H606" t="s">
        <v>78</v>
      </c>
      <c r="I606" t="s">
        <v>55</v>
      </c>
      <c r="J606" s="9">
        <v>1</v>
      </c>
      <c r="K606" s="7">
        <v>9100</v>
      </c>
      <c r="L606" s="7">
        <v>0</v>
      </c>
      <c r="M606" s="9"/>
      <c r="N606" s="7">
        <v>6.2</v>
      </c>
      <c r="O606" s="7"/>
      <c r="P606" s="7"/>
      <c r="Q606" t="s">
        <v>55</v>
      </c>
      <c r="R606" s="7" t="str">
        <f>TEXT(Table1[[#This Row],[Date]],"mmm yyyy")</f>
        <v>Jan 2026</v>
      </c>
      <c r="S606" s="9">
        <f>YEAR(Table1[[#This Row],[Date]])</f>
        <v>2026</v>
      </c>
      <c r="T606" s="9"/>
      <c r="U606" s="9"/>
    </row>
    <row r="607" spans="1:21" x14ac:dyDescent="0.3">
      <c r="A607" t="s">
        <v>1058</v>
      </c>
      <c r="B607" s="6">
        <v>45920</v>
      </c>
      <c r="C607" t="s">
        <v>18</v>
      </c>
      <c r="D607" t="s">
        <v>52</v>
      </c>
      <c r="E607" t="s">
        <v>20</v>
      </c>
      <c r="F607" t="s">
        <v>1059</v>
      </c>
      <c r="G607" t="s">
        <v>30</v>
      </c>
      <c r="H607" t="s">
        <v>23</v>
      </c>
      <c r="I607" t="s">
        <v>24</v>
      </c>
      <c r="J607" s="9">
        <v>1</v>
      </c>
      <c r="K607" s="7">
        <v>18500</v>
      </c>
      <c r="L607" s="7">
        <v>18500</v>
      </c>
      <c r="M607" s="9"/>
      <c r="N607" s="7">
        <v>17.899999999999999</v>
      </c>
      <c r="O607" s="7"/>
      <c r="P607" s="7"/>
      <c r="Q607" t="s">
        <v>24</v>
      </c>
      <c r="R607" s="7" t="str">
        <f>TEXT(Table1[[#This Row],[Date]],"mmm yyyy")</f>
        <v>Sep 2025</v>
      </c>
      <c r="S607" s="9">
        <f>YEAR(Table1[[#This Row],[Date]])</f>
        <v>2025</v>
      </c>
      <c r="T607" s="9"/>
      <c r="U607" s="9"/>
    </row>
    <row r="608" spans="1:21" x14ac:dyDescent="0.3">
      <c r="A608" t="s">
        <v>1060</v>
      </c>
      <c r="B608" s="6">
        <v>46091</v>
      </c>
      <c r="C608" t="s">
        <v>18</v>
      </c>
      <c r="D608" t="s">
        <v>47</v>
      </c>
      <c r="E608" t="s">
        <v>28</v>
      </c>
      <c r="F608" t="s">
        <v>1061</v>
      </c>
      <c r="G608" t="s">
        <v>22</v>
      </c>
      <c r="H608" t="s">
        <v>78</v>
      </c>
      <c r="I608" t="s">
        <v>24</v>
      </c>
      <c r="J608" s="9">
        <v>1</v>
      </c>
      <c r="K608" s="7">
        <v>28500</v>
      </c>
      <c r="L608" s="7">
        <v>28500</v>
      </c>
      <c r="M608" s="9"/>
      <c r="N608" s="7">
        <v>15</v>
      </c>
      <c r="O608" s="7"/>
      <c r="P608" s="7"/>
      <c r="Q608" t="s">
        <v>24</v>
      </c>
      <c r="R608" s="7" t="str">
        <f>TEXT(Table1[[#This Row],[Date]],"mmm yyyy")</f>
        <v>Mar 2026</v>
      </c>
      <c r="S608" s="9">
        <f>YEAR(Table1[[#This Row],[Date]])</f>
        <v>2026</v>
      </c>
      <c r="T608" s="9"/>
      <c r="U608" s="9"/>
    </row>
    <row r="609" spans="1:21" x14ac:dyDescent="0.3">
      <c r="A609" t="s">
        <v>1062</v>
      </c>
      <c r="B609" s="6">
        <v>46052</v>
      </c>
      <c r="C609" t="s">
        <v>18</v>
      </c>
      <c r="D609" t="s">
        <v>41</v>
      </c>
      <c r="E609" t="s">
        <v>20</v>
      </c>
      <c r="F609" t="s">
        <v>1063</v>
      </c>
      <c r="G609" t="s">
        <v>30</v>
      </c>
      <c r="H609" t="s">
        <v>23</v>
      </c>
      <c r="I609" t="s">
        <v>67</v>
      </c>
      <c r="J609" s="9">
        <v>1</v>
      </c>
      <c r="K609" s="7">
        <v>55200</v>
      </c>
      <c r="L609" s="7">
        <v>0</v>
      </c>
      <c r="M609" s="9"/>
      <c r="N609" s="7">
        <v>6.7</v>
      </c>
      <c r="O609" s="7"/>
      <c r="P609" s="7"/>
      <c r="Q609" t="s">
        <v>67</v>
      </c>
      <c r="R609" s="7" t="str">
        <f>TEXT(Table1[[#This Row],[Date]],"mmm yyyy")</f>
        <v>Jan 2026</v>
      </c>
      <c r="S609" s="9">
        <f>YEAR(Table1[[#This Row],[Date]])</f>
        <v>2026</v>
      </c>
      <c r="T609" s="9"/>
      <c r="U609" s="9"/>
    </row>
    <row r="610" spans="1:21" x14ac:dyDescent="0.3">
      <c r="A610" t="s">
        <v>1064</v>
      </c>
      <c r="B610" s="6">
        <v>46129</v>
      </c>
      <c r="C610" t="s">
        <v>18</v>
      </c>
      <c r="D610" t="s">
        <v>95</v>
      </c>
      <c r="E610" t="s">
        <v>28</v>
      </c>
      <c r="F610" t="s">
        <v>83</v>
      </c>
      <c r="G610" t="s">
        <v>30</v>
      </c>
      <c r="H610" t="s">
        <v>54</v>
      </c>
      <c r="I610" t="s">
        <v>55</v>
      </c>
      <c r="J610" s="9">
        <v>1</v>
      </c>
      <c r="K610" s="7">
        <v>19000</v>
      </c>
      <c r="L610" s="7">
        <v>0</v>
      </c>
      <c r="M610" s="9"/>
      <c r="N610" s="7">
        <v>22.4</v>
      </c>
      <c r="O610" s="7"/>
      <c r="P610" s="7"/>
      <c r="Q610" t="s">
        <v>55</v>
      </c>
      <c r="R610" s="7" t="str">
        <f>TEXT(Table1[[#This Row],[Date]],"mmm yyyy")</f>
        <v>Apr 2026</v>
      </c>
      <c r="S610" s="9">
        <f>YEAR(Table1[[#This Row],[Date]])</f>
        <v>2026</v>
      </c>
      <c r="T610" s="9"/>
      <c r="U610" s="9"/>
    </row>
    <row r="611" spans="1:21" hidden="1" x14ac:dyDescent="0.3">
      <c r="A611" t="s">
        <v>1065</v>
      </c>
      <c r="B611" s="6">
        <v>45989</v>
      </c>
      <c r="C611" t="s">
        <v>26</v>
      </c>
      <c r="D611" t="s">
        <v>114</v>
      </c>
      <c r="E611" t="s">
        <v>37</v>
      </c>
      <c r="F611" t="s">
        <v>669</v>
      </c>
      <c r="G611" t="s">
        <v>44</v>
      </c>
      <c r="J611" s="9">
        <v>0</v>
      </c>
      <c r="K611" s="7">
        <v>0</v>
      </c>
      <c r="L611" s="7">
        <v>0</v>
      </c>
      <c r="M611" s="9">
        <v>1</v>
      </c>
      <c r="N611" s="7">
        <v>1.7</v>
      </c>
      <c r="O611" s="7">
        <v>6.5</v>
      </c>
      <c r="P611" s="7">
        <v>5</v>
      </c>
      <c r="Q611" t="s">
        <v>39</v>
      </c>
      <c r="R611" s="7" t="str">
        <f>TEXT(Table1[[#This Row],[Date]],"mmm yyyy")</f>
        <v>Nov 2025</v>
      </c>
      <c r="S611" s="9">
        <f>YEAR(Table1[[#This Row],[Date]])</f>
        <v>2025</v>
      </c>
      <c r="T611" s="9"/>
      <c r="U611" s="9"/>
    </row>
    <row r="612" spans="1:21" x14ac:dyDescent="0.3">
      <c r="A612" t="s">
        <v>1066</v>
      </c>
      <c r="B612" s="6">
        <v>46047</v>
      </c>
      <c r="C612" t="s">
        <v>18</v>
      </c>
      <c r="D612" t="s">
        <v>19</v>
      </c>
      <c r="E612" t="s">
        <v>48</v>
      </c>
      <c r="F612" t="s">
        <v>1067</v>
      </c>
      <c r="G612" t="s">
        <v>44</v>
      </c>
      <c r="H612" t="s">
        <v>23</v>
      </c>
      <c r="I612" t="s">
        <v>89</v>
      </c>
      <c r="J612" s="9">
        <v>1</v>
      </c>
      <c r="K612" s="7">
        <v>22600</v>
      </c>
      <c r="L612" s="7">
        <v>0</v>
      </c>
      <c r="M612" s="9"/>
      <c r="N612" s="7">
        <v>16.399999999999999</v>
      </c>
      <c r="O612" s="7"/>
      <c r="P612" s="7"/>
      <c r="Q612" t="s">
        <v>89</v>
      </c>
      <c r="R612" s="7" t="str">
        <f>TEXT(Table1[[#This Row],[Date]],"mmm yyyy")</f>
        <v>Jan 2026</v>
      </c>
      <c r="S612" s="9">
        <f>YEAR(Table1[[#This Row],[Date]])</f>
        <v>2026</v>
      </c>
      <c r="T612" s="9"/>
      <c r="U612" s="9"/>
    </row>
    <row r="613" spans="1:21" hidden="1" x14ac:dyDescent="0.3">
      <c r="A613" t="s">
        <v>1068</v>
      </c>
      <c r="B613" s="6">
        <v>46170</v>
      </c>
      <c r="C613" t="s">
        <v>26</v>
      </c>
      <c r="D613" t="s">
        <v>72</v>
      </c>
      <c r="E613" t="s">
        <v>37</v>
      </c>
      <c r="F613" t="s">
        <v>923</v>
      </c>
      <c r="G613" t="s">
        <v>22</v>
      </c>
      <c r="J613" s="9">
        <v>0</v>
      </c>
      <c r="K613" s="7">
        <v>0</v>
      </c>
      <c r="L613" s="7">
        <v>0</v>
      </c>
      <c r="M613" s="9">
        <v>1</v>
      </c>
      <c r="N613" s="7">
        <v>4.7</v>
      </c>
      <c r="O613" s="7">
        <v>8.1</v>
      </c>
      <c r="P613" s="7">
        <v>4.5999999999999996</v>
      </c>
      <c r="Q613" t="s">
        <v>62</v>
      </c>
      <c r="R613" s="7" t="str">
        <f>TEXT(Table1[[#This Row],[Date]],"mmm yyyy")</f>
        <v>May 2026</v>
      </c>
      <c r="S613" s="9">
        <f>YEAR(Table1[[#This Row],[Date]])</f>
        <v>2026</v>
      </c>
      <c r="T613" s="9"/>
      <c r="U613" s="9"/>
    </row>
    <row r="614" spans="1:21" hidden="1" x14ac:dyDescent="0.3">
      <c r="A614" t="s">
        <v>1069</v>
      </c>
      <c r="B614" s="6">
        <v>46228</v>
      </c>
      <c r="C614" t="s">
        <v>26</v>
      </c>
      <c r="D614" t="s">
        <v>126</v>
      </c>
      <c r="E614" t="s">
        <v>20</v>
      </c>
      <c r="F614" t="s">
        <v>1070</v>
      </c>
      <c r="G614" t="s">
        <v>22</v>
      </c>
      <c r="J614" s="9">
        <v>0</v>
      </c>
      <c r="K614" s="7">
        <v>0</v>
      </c>
      <c r="L614" s="7">
        <v>0</v>
      </c>
      <c r="M614" s="9">
        <v>1</v>
      </c>
      <c r="N614" s="7">
        <v>6.1</v>
      </c>
      <c r="O614" s="7">
        <v>9</v>
      </c>
      <c r="P614" s="7">
        <v>4</v>
      </c>
      <c r="Q614" t="s">
        <v>62</v>
      </c>
      <c r="R614" s="7" t="str">
        <f>TEXT(Table1[[#This Row],[Date]],"mmm yyyy")</f>
        <v>Jul 2026</v>
      </c>
      <c r="S614" s="9">
        <f>YEAR(Table1[[#This Row],[Date]])</f>
        <v>2026</v>
      </c>
      <c r="T614" s="9"/>
      <c r="U614" s="9"/>
    </row>
    <row r="615" spans="1:21" x14ac:dyDescent="0.3">
      <c r="A615" t="s">
        <v>1071</v>
      </c>
      <c r="B615" s="6">
        <v>46246</v>
      </c>
      <c r="C615" t="s">
        <v>18</v>
      </c>
      <c r="D615" t="s">
        <v>47</v>
      </c>
      <c r="E615" t="s">
        <v>37</v>
      </c>
      <c r="F615" t="s">
        <v>292</v>
      </c>
      <c r="G615" t="s">
        <v>30</v>
      </c>
      <c r="H615" t="s">
        <v>86</v>
      </c>
      <c r="I615" t="s">
        <v>45</v>
      </c>
      <c r="J615" s="9">
        <v>1</v>
      </c>
      <c r="K615" s="7">
        <v>8500</v>
      </c>
      <c r="L615" s="7">
        <v>0</v>
      </c>
      <c r="M615" s="9"/>
      <c r="N615" s="7">
        <v>15.7</v>
      </c>
      <c r="O615" s="7"/>
      <c r="P615" s="7"/>
      <c r="Q615" t="s">
        <v>45</v>
      </c>
      <c r="R615" s="7" t="str">
        <f>TEXT(Table1[[#This Row],[Date]],"mmm yyyy")</f>
        <v>Aug 2026</v>
      </c>
      <c r="S615" s="9">
        <f>YEAR(Table1[[#This Row],[Date]])</f>
        <v>2026</v>
      </c>
      <c r="T615" s="9"/>
      <c r="U615" s="9"/>
    </row>
    <row r="616" spans="1:21" hidden="1" x14ac:dyDescent="0.3">
      <c r="A616" t="s">
        <v>1072</v>
      </c>
      <c r="B616" s="6">
        <v>46052</v>
      </c>
      <c r="C616" t="s">
        <v>26</v>
      </c>
      <c r="D616" t="s">
        <v>69</v>
      </c>
      <c r="E616" t="s">
        <v>48</v>
      </c>
      <c r="F616" t="s">
        <v>932</v>
      </c>
      <c r="G616" t="s">
        <v>22</v>
      </c>
      <c r="J616" s="9">
        <v>0</v>
      </c>
      <c r="K616" s="7">
        <v>0</v>
      </c>
      <c r="L616" s="7">
        <v>0</v>
      </c>
      <c r="M616" s="9">
        <v>1</v>
      </c>
      <c r="N616" s="7">
        <v>0.6</v>
      </c>
      <c r="O616" s="7">
        <v>8.4</v>
      </c>
      <c r="P616" s="7">
        <v>4.0999999999999996</v>
      </c>
      <c r="Q616" t="s">
        <v>31</v>
      </c>
      <c r="R616" s="7" t="str">
        <f>TEXT(Table1[[#This Row],[Date]],"mmm yyyy")</f>
        <v>Jan 2026</v>
      </c>
      <c r="S616" s="9">
        <f>YEAR(Table1[[#This Row],[Date]])</f>
        <v>2026</v>
      </c>
      <c r="T616" s="9"/>
      <c r="U616" s="9"/>
    </row>
    <row r="617" spans="1:21" hidden="1" x14ac:dyDescent="0.3">
      <c r="A617" t="s">
        <v>1073</v>
      </c>
      <c r="B617" s="6">
        <v>45965</v>
      </c>
      <c r="C617" t="s">
        <v>26</v>
      </c>
      <c r="D617" t="s">
        <v>232</v>
      </c>
      <c r="E617" t="s">
        <v>20</v>
      </c>
      <c r="F617" t="s">
        <v>1074</v>
      </c>
      <c r="G617" t="s">
        <v>30</v>
      </c>
      <c r="J617" s="9">
        <v>0</v>
      </c>
      <c r="K617" s="7">
        <v>0</v>
      </c>
      <c r="L617" s="7">
        <v>0</v>
      </c>
      <c r="M617" s="9">
        <v>1</v>
      </c>
      <c r="N617" s="7">
        <v>10</v>
      </c>
      <c r="O617" s="7">
        <v>11.5</v>
      </c>
      <c r="P617" s="7">
        <v>3</v>
      </c>
      <c r="Q617" t="s">
        <v>39</v>
      </c>
      <c r="R617" s="7" t="str">
        <f>TEXT(Table1[[#This Row],[Date]],"mmm yyyy")</f>
        <v>Nov 2025</v>
      </c>
      <c r="S617" s="9">
        <f>YEAR(Table1[[#This Row],[Date]])</f>
        <v>2025</v>
      </c>
      <c r="T617" s="9"/>
      <c r="U617" s="9"/>
    </row>
    <row r="618" spans="1:21" x14ac:dyDescent="0.3">
      <c r="A618" t="s">
        <v>1075</v>
      </c>
      <c r="B618" s="6">
        <v>45958</v>
      </c>
      <c r="C618" t="s">
        <v>18</v>
      </c>
      <c r="D618" t="s">
        <v>47</v>
      </c>
      <c r="E618" t="s">
        <v>37</v>
      </c>
      <c r="F618" t="s">
        <v>1020</v>
      </c>
      <c r="G618" t="s">
        <v>44</v>
      </c>
      <c r="H618" t="s">
        <v>66</v>
      </c>
      <c r="I618" t="s">
        <v>89</v>
      </c>
      <c r="J618" s="9">
        <v>1</v>
      </c>
      <c r="K618" s="7">
        <v>27900</v>
      </c>
      <c r="L618" s="7">
        <v>0</v>
      </c>
      <c r="M618" s="9"/>
      <c r="N618" s="7">
        <v>4.2</v>
      </c>
      <c r="O618" s="7"/>
      <c r="P618" s="7"/>
      <c r="Q618" t="s">
        <v>89</v>
      </c>
      <c r="R618" s="7" t="str">
        <f>TEXT(Table1[[#This Row],[Date]],"mmm yyyy")</f>
        <v>Oct 2025</v>
      </c>
      <c r="S618" s="9">
        <f>YEAR(Table1[[#This Row],[Date]])</f>
        <v>2025</v>
      </c>
      <c r="T618" s="9"/>
      <c r="U618" s="9"/>
    </row>
    <row r="619" spans="1:21" x14ac:dyDescent="0.3">
      <c r="A619" t="s">
        <v>1076</v>
      </c>
      <c r="B619" s="6">
        <v>46001</v>
      </c>
      <c r="C619" t="s">
        <v>18</v>
      </c>
      <c r="D619" t="s">
        <v>105</v>
      </c>
      <c r="E619" t="s">
        <v>42</v>
      </c>
      <c r="F619" t="s">
        <v>1077</v>
      </c>
      <c r="G619" t="s">
        <v>30</v>
      </c>
      <c r="H619" t="s">
        <v>54</v>
      </c>
      <c r="I619" t="s">
        <v>79</v>
      </c>
      <c r="J619" s="9">
        <v>1</v>
      </c>
      <c r="K619" s="7">
        <v>13400</v>
      </c>
      <c r="L619" s="7">
        <v>0</v>
      </c>
      <c r="M619" s="9"/>
      <c r="N619" s="7">
        <v>3.4</v>
      </c>
      <c r="O619" s="7"/>
      <c r="P619" s="7"/>
      <c r="Q619" t="s">
        <v>79</v>
      </c>
      <c r="R619" s="7" t="str">
        <f>TEXT(Table1[[#This Row],[Date]],"mmm yyyy")</f>
        <v>Dec 2025</v>
      </c>
      <c r="S619" s="9">
        <f>YEAR(Table1[[#This Row],[Date]])</f>
        <v>2025</v>
      </c>
      <c r="T619" s="9"/>
      <c r="U619" s="9"/>
    </row>
    <row r="620" spans="1:21" hidden="1" x14ac:dyDescent="0.3">
      <c r="A620" t="s">
        <v>1078</v>
      </c>
      <c r="B620" s="6">
        <v>46200</v>
      </c>
      <c r="C620" t="s">
        <v>26</v>
      </c>
      <c r="D620" t="s">
        <v>232</v>
      </c>
      <c r="E620" t="s">
        <v>28</v>
      </c>
      <c r="F620" t="s">
        <v>1079</v>
      </c>
      <c r="G620" t="s">
        <v>22</v>
      </c>
      <c r="J620" s="9">
        <v>0</v>
      </c>
      <c r="K620" s="7">
        <v>0</v>
      </c>
      <c r="L620" s="7">
        <v>0</v>
      </c>
      <c r="M620" s="9">
        <v>1</v>
      </c>
      <c r="N620" s="7">
        <v>9.1999999999999993</v>
      </c>
      <c r="O620" s="7">
        <v>4.5</v>
      </c>
      <c r="P620" s="7">
        <v>4.0999999999999996</v>
      </c>
      <c r="Q620" t="s">
        <v>39</v>
      </c>
      <c r="R620" s="7" t="str">
        <f>TEXT(Table1[[#This Row],[Date]],"mmm yyyy")</f>
        <v>Jun 2026</v>
      </c>
      <c r="S620" s="9">
        <f>YEAR(Table1[[#This Row],[Date]])</f>
        <v>2026</v>
      </c>
      <c r="T620" s="9"/>
      <c r="U620" s="9"/>
    </row>
    <row r="621" spans="1:21" hidden="1" x14ac:dyDescent="0.3">
      <c r="A621" t="s">
        <v>1080</v>
      </c>
      <c r="B621" s="6">
        <v>46227</v>
      </c>
      <c r="C621" t="s">
        <v>26</v>
      </c>
      <c r="D621" t="s">
        <v>126</v>
      </c>
      <c r="E621" t="s">
        <v>42</v>
      </c>
      <c r="F621" t="s">
        <v>1081</v>
      </c>
      <c r="G621" t="s">
        <v>30</v>
      </c>
      <c r="J621" s="9">
        <v>0</v>
      </c>
      <c r="K621" s="7">
        <v>0</v>
      </c>
      <c r="L621" s="7">
        <v>0</v>
      </c>
      <c r="M621" s="9">
        <v>1</v>
      </c>
      <c r="N621" s="7">
        <v>9.1999999999999993</v>
      </c>
      <c r="O621" s="7">
        <v>12</v>
      </c>
      <c r="P621" s="7">
        <v>4.7</v>
      </c>
      <c r="Q621" t="s">
        <v>225</v>
      </c>
      <c r="R621" s="7" t="str">
        <f>TEXT(Table1[[#This Row],[Date]],"mmm yyyy")</f>
        <v>Jul 2026</v>
      </c>
      <c r="S621" s="9">
        <f>YEAR(Table1[[#This Row],[Date]])</f>
        <v>2026</v>
      </c>
      <c r="T621" s="9"/>
      <c r="U621" s="9"/>
    </row>
    <row r="622" spans="1:21" x14ac:dyDescent="0.3">
      <c r="A622" t="s">
        <v>1082</v>
      </c>
      <c r="B622" s="6">
        <v>46177</v>
      </c>
      <c r="C622" t="s">
        <v>18</v>
      </c>
      <c r="D622" t="s">
        <v>52</v>
      </c>
      <c r="E622" t="s">
        <v>28</v>
      </c>
      <c r="F622" t="s">
        <v>1083</v>
      </c>
      <c r="G622" t="s">
        <v>44</v>
      </c>
      <c r="H622" t="s">
        <v>66</v>
      </c>
      <c r="I622" t="s">
        <v>24</v>
      </c>
      <c r="J622" s="9">
        <v>1</v>
      </c>
      <c r="K622" s="7">
        <v>17600</v>
      </c>
      <c r="L622" s="7">
        <v>17600</v>
      </c>
      <c r="M622" s="9"/>
      <c r="N622" s="7">
        <v>15</v>
      </c>
      <c r="O622" s="7"/>
      <c r="P622" s="7"/>
      <c r="Q622" t="s">
        <v>24</v>
      </c>
      <c r="R622" s="7" t="str">
        <f>TEXT(Table1[[#This Row],[Date]],"mmm yyyy")</f>
        <v>Jun 2026</v>
      </c>
      <c r="S622" s="9">
        <f>YEAR(Table1[[#This Row],[Date]])</f>
        <v>2026</v>
      </c>
      <c r="T622" s="9"/>
      <c r="U622" s="9"/>
    </row>
    <row r="623" spans="1:21" x14ac:dyDescent="0.3">
      <c r="A623" t="s">
        <v>1084</v>
      </c>
      <c r="B623" s="6">
        <v>45983</v>
      </c>
      <c r="C623" t="s">
        <v>18</v>
      </c>
      <c r="D623" t="s">
        <v>52</v>
      </c>
      <c r="E623" t="s">
        <v>20</v>
      </c>
      <c r="F623" t="s">
        <v>1085</v>
      </c>
      <c r="G623" t="s">
        <v>44</v>
      </c>
      <c r="H623" t="s">
        <v>23</v>
      </c>
      <c r="I623" t="s">
        <v>67</v>
      </c>
      <c r="J623" s="9">
        <v>1</v>
      </c>
      <c r="K623" s="7">
        <v>7400</v>
      </c>
      <c r="L623" s="7">
        <v>0</v>
      </c>
      <c r="M623" s="9"/>
      <c r="N623" s="7">
        <v>11.4</v>
      </c>
      <c r="O623" s="7"/>
      <c r="P623" s="7"/>
      <c r="Q623" t="s">
        <v>67</v>
      </c>
      <c r="R623" s="7" t="str">
        <f>TEXT(Table1[[#This Row],[Date]],"mmm yyyy")</f>
        <v>Nov 2025</v>
      </c>
      <c r="S623" s="9">
        <f>YEAR(Table1[[#This Row],[Date]])</f>
        <v>2025</v>
      </c>
      <c r="T623" s="9"/>
      <c r="U623" s="9"/>
    </row>
    <row r="624" spans="1:21" x14ac:dyDescent="0.3">
      <c r="A624" t="s">
        <v>1086</v>
      </c>
      <c r="B624" s="6">
        <v>46144</v>
      </c>
      <c r="C624" t="s">
        <v>18</v>
      </c>
      <c r="D624" t="s">
        <v>52</v>
      </c>
      <c r="E624" t="s">
        <v>20</v>
      </c>
      <c r="F624" t="s">
        <v>579</v>
      </c>
      <c r="G624" t="s">
        <v>50</v>
      </c>
      <c r="H624" t="s">
        <v>23</v>
      </c>
      <c r="I624" t="s">
        <v>67</v>
      </c>
      <c r="J624" s="9">
        <v>1</v>
      </c>
      <c r="K624" s="7">
        <v>102400</v>
      </c>
      <c r="L624" s="7">
        <v>0</v>
      </c>
      <c r="M624" s="9"/>
      <c r="N624" s="7">
        <v>15.2</v>
      </c>
      <c r="O624" s="7"/>
      <c r="P624" s="7"/>
      <c r="Q624" t="s">
        <v>67</v>
      </c>
      <c r="R624" s="7" t="str">
        <f>TEXT(Table1[[#This Row],[Date]],"mmm yyyy")</f>
        <v>May 2026</v>
      </c>
      <c r="S624" s="9">
        <f>YEAR(Table1[[#This Row],[Date]])</f>
        <v>2026</v>
      </c>
      <c r="T624" s="9"/>
      <c r="U624" s="9"/>
    </row>
    <row r="625" spans="1:21" x14ac:dyDescent="0.3">
      <c r="A625" t="s">
        <v>1087</v>
      </c>
      <c r="B625" s="6">
        <v>46087</v>
      </c>
      <c r="C625" t="s">
        <v>18</v>
      </c>
      <c r="D625" t="s">
        <v>47</v>
      </c>
      <c r="E625" t="s">
        <v>20</v>
      </c>
      <c r="F625" t="s">
        <v>1088</v>
      </c>
      <c r="G625" t="s">
        <v>44</v>
      </c>
      <c r="H625" t="s">
        <v>66</v>
      </c>
      <c r="I625" t="s">
        <v>45</v>
      </c>
      <c r="J625" s="9">
        <v>1</v>
      </c>
      <c r="K625" s="7">
        <v>9400</v>
      </c>
      <c r="L625" s="7">
        <v>0</v>
      </c>
      <c r="M625" s="9"/>
      <c r="N625" s="7">
        <v>19.5</v>
      </c>
      <c r="O625" s="7"/>
      <c r="P625" s="7"/>
      <c r="Q625" t="s">
        <v>45</v>
      </c>
      <c r="R625" s="7" t="str">
        <f>TEXT(Table1[[#This Row],[Date]],"mmm yyyy")</f>
        <v>Mar 2026</v>
      </c>
      <c r="S625" s="9">
        <f>YEAR(Table1[[#This Row],[Date]])</f>
        <v>2026</v>
      </c>
      <c r="T625" s="9"/>
      <c r="U625" s="9"/>
    </row>
    <row r="626" spans="1:21" hidden="1" x14ac:dyDescent="0.3">
      <c r="A626" t="s">
        <v>1089</v>
      </c>
      <c r="B626" s="6">
        <v>46022</v>
      </c>
      <c r="C626" t="s">
        <v>26</v>
      </c>
      <c r="D626" t="s">
        <v>36</v>
      </c>
      <c r="E626" t="s">
        <v>20</v>
      </c>
      <c r="F626" t="s">
        <v>1090</v>
      </c>
      <c r="G626" t="s">
        <v>50</v>
      </c>
      <c r="J626" s="9">
        <v>0</v>
      </c>
      <c r="K626" s="7">
        <v>0</v>
      </c>
      <c r="L626" s="7">
        <v>0</v>
      </c>
      <c r="M626" s="9">
        <v>1</v>
      </c>
      <c r="N626" s="7">
        <v>9.3000000000000007</v>
      </c>
      <c r="O626" s="7">
        <v>2.8</v>
      </c>
      <c r="P626" s="7">
        <v>4.0999999999999996</v>
      </c>
      <c r="Q626" t="s">
        <v>39</v>
      </c>
      <c r="R626" s="7" t="str">
        <f>TEXT(Table1[[#This Row],[Date]],"mmm yyyy")</f>
        <v>Dec 2025</v>
      </c>
      <c r="S626" s="9">
        <f>YEAR(Table1[[#This Row],[Date]])</f>
        <v>2025</v>
      </c>
      <c r="T626" s="9"/>
      <c r="U626" s="9"/>
    </row>
    <row r="627" spans="1:21" x14ac:dyDescent="0.3">
      <c r="A627" t="s">
        <v>1091</v>
      </c>
      <c r="B627" s="6">
        <v>45944</v>
      </c>
      <c r="C627" t="s">
        <v>18</v>
      </c>
      <c r="D627" t="s">
        <v>117</v>
      </c>
      <c r="E627" t="s">
        <v>20</v>
      </c>
      <c r="F627" t="s">
        <v>899</v>
      </c>
      <c r="G627" t="s">
        <v>30</v>
      </c>
      <c r="H627" t="s">
        <v>78</v>
      </c>
      <c r="I627" t="s">
        <v>45</v>
      </c>
      <c r="J627" s="9">
        <v>1</v>
      </c>
      <c r="K627" s="7">
        <v>17700</v>
      </c>
      <c r="L627" s="7">
        <v>0</v>
      </c>
      <c r="M627" s="9"/>
      <c r="N627" s="7">
        <v>6.5</v>
      </c>
      <c r="O627" s="7"/>
      <c r="P627" s="7"/>
      <c r="Q627" t="s">
        <v>45</v>
      </c>
      <c r="R627" s="7" t="str">
        <f>TEXT(Table1[[#This Row],[Date]],"mmm yyyy")</f>
        <v>Oct 2025</v>
      </c>
      <c r="S627" s="9">
        <f>YEAR(Table1[[#This Row],[Date]])</f>
        <v>2025</v>
      </c>
      <c r="T627" s="9"/>
      <c r="U627" s="9"/>
    </row>
    <row r="628" spans="1:21" x14ac:dyDescent="0.3">
      <c r="A628" t="s">
        <v>1092</v>
      </c>
      <c r="B628" s="6">
        <v>46100</v>
      </c>
      <c r="C628" t="s">
        <v>18</v>
      </c>
      <c r="D628" t="s">
        <v>52</v>
      </c>
      <c r="E628" t="s">
        <v>48</v>
      </c>
      <c r="F628" t="s">
        <v>529</v>
      </c>
      <c r="G628" t="s">
        <v>22</v>
      </c>
      <c r="H628" t="s">
        <v>78</v>
      </c>
      <c r="I628" t="s">
        <v>24</v>
      </c>
      <c r="J628" s="9">
        <v>1</v>
      </c>
      <c r="K628" s="7">
        <v>18000</v>
      </c>
      <c r="L628" s="7">
        <v>18000</v>
      </c>
      <c r="M628" s="9"/>
      <c r="N628" s="7">
        <v>13.2</v>
      </c>
      <c r="O628" s="7"/>
      <c r="P628" s="7"/>
      <c r="Q628" t="s">
        <v>24</v>
      </c>
      <c r="R628" s="7" t="str">
        <f>TEXT(Table1[[#This Row],[Date]],"mmm yyyy")</f>
        <v>Mar 2026</v>
      </c>
      <c r="S628" s="9">
        <f>YEAR(Table1[[#This Row],[Date]])</f>
        <v>2026</v>
      </c>
      <c r="T628" s="9"/>
      <c r="U628" s="9"/>
    </row>
    <row r="629" spans="1:21" hidden="1" x14ac:dyDescent="0.3">
      <c r="A629" t="s">
        <v>1093</v>
      </c>
      <c r="B629" s="6">
        <v>46197</v>
      </c>
      <c r="C629" t="s">
        <v>26</v>
      </c>
      <c r="D629" t="s">
        <v>33</v>
      </c>
      <c r="E629" t="s">
        <v>20</v>
      </c>
      <c r="F629" t="s">
        <v>805</v>
      </c>
      <c r="G629" t="s">
        <v>22</v>
      </c>
      <c r="J629" s="9">
        <v>0</v>
      </c>
      <c r="K629" s="7">
        <v>0</v>
      </c>
      <c r="L629" s="7">
        <v>0</v>
      </c>
      <c r="M629" s="9">
        <v>1</v>
      </c>
      <c r="N629" s="7">
        <v>8.8000000000000007</v>
      </c>
      <c r="O629" s="7">
        <v>9.1</v>
      </c>
      <c r="P629" s="7">
        <v>4.8</v>
      </c>
      <c r="Q629" t="s">
        <v>39</v>
      </c>
      <c r="R629" s="7" t="str">
        <f>TEXT(Table1[[#This Row],[Date]],"mmm yyyy")</f>
        <v>Jun 2026</v>
      </c>
      <c r="S629" s="9">
        <f>YEAR(Table1[[#This Row],[Date]])</f>
        <v>2026</v>
      </c>
      <c r="T629" s="9"/>
      <c r="U629" s="9"/>
    </row>
    <row r="630" spans="1:21" x14ac:dyDescent="0.3">
      <c r="A630" t="s">
        <v>1094</v>
      </c>
      <c r="B630" s="6">
        <v>46077</v>
      </c>
      <c r="C630" t="s">
        <v>18</v>
      </c>
      <c r="D630" t="s">
        <v>105</v>
      </c>
      <c r="E630" t="s">
        <v>42</v>
      </c>
      <c r="F630" t="s">
        <v>1095</v>
      </c>
      <c r="G630" t="s">
        <v>44</v>
      </c>
      <c r="H630" t="s">
        <v>78</v>
      </c>
      <c r="I630" t="s">
        <v>45</v>
      </c>
      <c r="J630" s="9">
        <v>1</v>
      </c>
      <c r="K630" s="7">
        <v>29600</v>
      </c>
      <c r="L630" s="7">
        <v>0</v>
      </c>
      <c r="M630" s="9"/>
      <c r="N630" s="7">
        <v>2.9</v>
      </c>
      <c r="O630" s="7"/>
      <c r="P630" s="7"/>
      <c r="Q630" t="s">
        <v>45</v>
      </c>
      <c r="R630" s="7" t="str">
        <f>TEXT(Table1[[#This Row],[Date]],"mmm yyyy")</f>
        <v>Feb 2026</v>
      </c>
      <c r="S630" s="9">
        <f>YEAR(Table1[[#This Row],[Date]])</f>
        <v>2026</v>
      </c>
      <c r="T630" s="9"/>
      <c r="U630" s="9"/>
    </row>
    <row r="631" spans="1:21" x14ac:dyDescent="0.3">
      <c r="A631" t="s">
        <v>1096</v>
      </c>
      <c r="B631" s="6">
        <v>46225</v>
      </c>
      <c r="C631" t="s">
        <v>18</v>
      </c>
      <c r="D631" t="s">
        <v>105</v>
      </c>
      <c r="E631" t="s">
        <v>37</v>
      </c>
      <c r="F631" t="s">
        <v>1097</v>
      </c>
      <c r="G631" t="s">
        <v>50</v>
      </c>
      <c r="H631" t="s">
        <v>66</v>
      </c>
      <c r="I631" t="s">
        <v>89</v>
      </c>
      <c r="J631" s="9">
        <v>1</v>
      </c>
      <c r="K631" s="7">
        <v>31900</v>
      </c>
      <c r="L631" s="7">
        <v>0</v>
      </c>
      <c r="M631" s="9"/>
      <c r="N631" s="7">
        <v>3.6</v>
      </c>
      <c r="O631" s="7"/>
      <c r="P631" s="7"/>
      <c r="Q631" t="s">
        <v>89</v>
      </c>
      <c r="R631" s="7" t="str">
        <f>TEXT(Table1[[#This Row],[Date]],"mmm yyyy")</f>
        <v>Jul 2026</v>
      </c>
      <c r="S631" s="9">
        <f>YEAR(Table1[[#This Row],[Date]])</f>
        <v>2026</v>
      </c>
      <c r="T631" s="9"/>
      <c r="U631" s="9"/>
    </row>
    <row r="632" spans="1:21" hidden="1" x14ac:dyDescent="0.3">
      <c r="A632" t="s">
        <v>1098</v>
      </c>
      <c r="B632" s="6">
        <v>46265</v>
      </c>
      <c r="C632" t="s">
        <v>26</v>
      </c>
      <c r="D632" t="s">
        <v>114</v>
      </c>
      <c r="E632" t="s">
        <v>42</v>
      </c>
      <c r="F632" t="s">
        <v>1099</v>
      </c>
      <c r="G632" t="s">
        <v>30</v>
      </c>
      <c r="J632" s="9">
        <v>0</v>
      </c>
      <c r="K632" s="7">
        <v>0</v>
      </c>
      <c r="L632" s="7">
        <v>0</v>
      </c>
      <c r="M632" s="9">
        <v>1</v>
      </c>
      <c r="N632" s="7">
        <v>6.9</v>
      </c>
      <c r="O632" s="7">
        <v>2.1</v>
      </c>
      <c r="P632" s="7">
        <v>4.7</v>
      </c>
      <c r="Q632" t="s">
        <v>39</v>
      </c>
      <c r="R632" s="7" t="str">
        <f>TEXT(Table1[[#This Row],[Date]],"mmm yyyy")</f>
        <v>Aug 2026</v>
      </c>
      <c r="S632" s="9">
        <f>YEAR(Table1[[#This Row],[Date]])</f>
        <v>2026</v>
      </c>
      <c r="T632" s="9"/>
      <c r="U632" s="9"/>
    </row>
    <row r="633" spans="1:21" hidden="1" x14ac:dyDescent="0.3">
      <c r="A633" t="s">
        <v>1100</v>
      </c>
      <c r="B633" s="6">
        <v>46003</v>
      </c>
      <c r="C633" t="s">
        <v>26</v>
      </c>
      <c r="D633" t="s">
        <v>69</v>
      </c>
      <c r="E633" t="s">
        <v>20</v>
      </c>
      <c r="F633" t="s">
        <v>1059</v>
      </c>
      <c r="G633" t="s">
        <v>22</v>
      </c>
      <c r="J633" s="9">
        <v>0</v>
      </c>
      <c r="K633" s="7">
        <v>0</v>
      </c>
      <c r="L633" s="7">
        <v>0</v>
      </c>
      <c r="M633" s="9">
        <v>1</v>
      </c>
      <c r="N633" s="7">
        <v>5.7</v>
      </c>
      <c r="O633" s="7">
        <v>9</v>
      </c>
      <c r="P633" s="7">
        <v>4.8</v>
      </c>
      <c r="Q633" t="s">
        <v>225</v>
      </c>
      <c r="R633" s="7" t="str">
        <f>TEXT(Table1[[#This Row],[Date]],"mmm yyyy")</f>
        <v>Dec 2025</v>
      </c>
      <c r="S633" s="9">
        <f>YEAR(Table1[[#This Row],[Date]])</f>
        <v>2025</v>
      </c>
      <c r="T633" s="9"/>
      <c r="U633" s="9"/>
    </row>
    <row r="634" spans="1:21" x14ac:dyDescent="0.3">
      <c r="A634" t="s">
        <v>1101</v>
      </c>
      <c r="B634" s="6">
        <v>45902</v>
      </c>
      <c r="C634" t="s">
        <v>18</v>
      </c>
      <c r="D634" t="s">
        <v>52</v>
      </c>
      <c r="E634" t="s">
        <v>28</v>
      </c>
      <c r="F634" t="s">
        <v>520</v>
      </c>
      <c r="G634" t="s">
        <v>44</v>
      </c>
      <c r="H634" t="s">
        <v>54</v>
      </c>
      <c r="I634" t="s">
        <v>55</v>
      </c>
      <c r="J634" s="9">
        <v>1</v>
      </c>
      <c r="K634" s="7">
        <v>174900</v>
      </c>
      <c r="L634" s="7">
        <v>0</v>
      </c>
      <c r="M634" s="9"/>
      <c r="N634" s="7">
        <v>4.5</v>
      </c>
      <c r="O634" s="7"/>
      <c r="P634" s="7"/>
      <c r="Q634" t="s">
        <v>55</v>
      </c>
      <c r="R634" s="7" t="str">
        <f>TEXT(Table1[[#This Row],[Date]],"mmm yyyy")</f>
        <v>Sep 2025</v>
      </c>
      <c r="S634" s="9">
        <f>YEAR(Table1[[#This Row],[Date]])</f>
        <v>2025</v>
      </c>
      <c r="T634" s="9"/>
      <c r="U634" s="9"/>
    </row>
    <row r="635" spans="1:21" x14ac:dyDescent="0.3">
      <c r="A635" t="s">
        <v>1102</v>
      </c>
      <c r="B635" s="6">
        <v>45904</v>
      </c>
      <c r="C635" t="s">
        <v>18</v>
      </c>
      <c r="D635" t="s">
        <v>19</v>
      </c>
      <c r="E635" t="s">
        <v>28</v>
      </c>
      <c r="F635" t="s">
        <v>1103</v>
      </c>
      <c r="G635" t="s">
        <v>22</v>
      </c>
      <c r="H635" t="s">
        <v>66</v>
      </c>
      <c r="I635" t="s">
        <v>67</v>
      </c>
      <c r="J635" s="9">
        <v>1</v>
      </c>
      <c r="K635" s="7">
        <v>6900</v>
      </c>
      <c r="L635" s="7">
        <v>0</v>
      </c>
      <c r="M635" s="9"/>
      <c r="N635" s="7">
        <v>1.7</v>
      </c>
      <c r="O635" s="7"/>
      <c r="P635" s="7"/>
      <c r="Q635" t="s">
        <v>67</v>
      </c>
      <c r="R635" s="7" t="str">
        <f>TEXT(Table1[[#This Row],[Date]],"mmm yyyy")</f>
        <v>Sep 2025</v>
      </c>
      <c r="S635" s="9">
        <f>YEAR(Table1[[#This Row],[Date]])</f>
        <v>2025</v>
      </c>
      <c r="T635" s="9"/>
      <c r="U635" s="9"/>
    </row>
    <row r="636" spans="1:21" x14ac:dyDescent="0.3">
      <c r="A636" t="s">
        <v>1104</v>
      </c>
      <c r="B636" s="6">
        <v>46011</v>
      </c>
      <c r="C636" t="s">
        <v>18</v>
      </c>
      <c r="D636" t="s">
        <v>117</v>
      </c>
      <c r="E636" t="s">
        <v>42</v>
      </c>
      <c r="F636" t="s">
        <v>81</v>
      </c>
      <c r="G636" t="s">
        <v>22</v>
      </c>
      <c r="H636" t="s">
        <v>86</v>
      </c>
      <c r="I636" t="s">
        <v>24</v>
      </c>
      <c r="J636" s="9">
        <v>1</v>
      </c>
      <c r="K636" s="7">
        <v>6100</v>
      </c>
      <c r="L636" s="7">
        <v>6100</v>
      </c>
      <c r="M636" s="9"/>
      <c r="N636" s="7">
        <v>18</v>
      </c>
      <c r="O636" s="7"/>
      <c r="P636" s="7"/>
      <c r="Q636" t="s">
        <v>24</v>
      </c>
      <c r="R636" s="7" t="str">
        <f>TEXT(Table1[[#This Row],[Date]],"mmm yyyy")</f>
        <v>Dec 2025</v>
      </c>
      <c r="S636" s="9">
        <f>YEAR(Table1[[#This Row],[Date]])</f>
        <v>2025</v>
      </c>
      <c r="T636" s="9"/>
      <c r="U636" s="9"/>
    </row>
    <row r="637" spans="1:21" x14ac:dyDescent="0.3">
      <c r="A637" t="s">
        <v>1105</v>
      </c>
      <c r="B637" s="6">
        <v>46193</v>
      </c>
      <c r="C637" t="s">
        <v>18</v>
      </c>
      <c r="D637" t="s">
        <v>105</v>
      </c>
      <c r="E637" t="s">
        <v>20</v>
      </c>
      <c r="F637" t="s">
        <v>1063</v>
      </c>
      <c r="G637" t="s">
        <v>22</v>
      </c>
      <c r="H637" t="s">
        <v>86</v>
      </c>
      <c r="I637" t="s">
        <v>55</v>
      </c>
      <c r="J637" s="9">
        <v>1</v>
      </c>
      <c r="K637" s="7">
        <v>11200</v>
      </c>
      <c r="L637" s="7">
        <v>0</v>
      </c>
      <c r="M637" s="9"/>
      <c r="N637" s="7">
        <v>4</v>
      </c>
      <c r="O637" s="7"/>
      <c r="P637" s="7"/>
      <c r="Q637" t="s">
        <v>55</v>
      </c>
      <c r="R637" s="7" t="str">
        <f>TEXT(Table1[[#This Row],[Date]],"mmm yyyy")</f>
        <v>Jun 2026</v>
      </c>
      <c r="S637" s="9">
        <f>YEAR(Table1[[#This Row],[Date]])</f>
        <v>2026</v>
      </c>
      <c r="T637" s="9"/>
      <c r="U637" s="9"/>
    </row>
    <row r="638" spans="1:21" x14ac:dyDescent="0.3">
      <c r="A638" t="s">
        <v>1106</v>
      </c>
      <c r="B638" s="6">
        <v>45948</v>
      </c>
      <c r="C638" t="s">
        <v>18</v>
      </c>
      <c r="D638" t="s">
        <v>117</v>
      </c>
      <c r="E638" t="s">
        <v>20</v>
      </c>
      <c r="F638" t="s">
        <v>400</v>
      </c>
      <c r="G638" t="s">
        <v>30</v>
      </c>
      <c r="H638" t="s">
        <v>86</v>
      </c>
      <c r="I638" t="s">
        <v>67</v>
      </c>
      <c r="J638" s="9">
        <v>1</v>
      </c>
      <c r="K638" s="7">
        <v>8700</v>
      </c>
      <c r="L638" s="7">
        <v>0</v>
      </c>
      <c r="M638" s="9"/>
      <c r="N638" s="7">
        <v>12.3</v>
      </c>
      <c r="O638" s="7"/>
      <c r="P638" s="7"/>
      <c r="Q638" t="s">
        <v>67</v>
      </c>
      <c r="R638" s="7" t="str">
        <f>TEXT(Table1[[#This Row],[Date]],"mmm yyyy")</f>
        <v>Oct 2025</v>
      </c>
      <c r="S638" s="9">
        <f>YEAR(Table1[[#This Row],[Date]])</f>
        <v>2025</v>
      </c>
      <c r="T638" s="9"/>
      <c r="U638" s="9"/>
    </row>
    <row r="639" spans="1:21" x14ac:dyDescent="0.3">
      <c r="A639" t="s">
        <v>1107</v>
      </c>
      <c r="B639" s="6">
        <v>45948</v>
      </c>
      <c r="C639" t="s">
        <v>18</v>
      </c>
      <c r="D639" t="s">
        <v>47</v>
      </c>
      <c r="E639" t="s">
        <v>20</v>
      </c>
      <c r="F639" t="s">
        <v>1108</v>
      </c>
      <c r="G639" t="s">
        <v>44</v>
      </c>
      <c r="H639" t="s">
        <v>86</v>
      </c>
      <c r="I639" t="s">
        <v>55</v>
      </c>
      <c r="J639" s="9">
        <v>1</v>
      </c>
      <c r="K639" s="7">
        <v>32600</v>
      </c>
      <c r="L639" s="7">
        <v>0</v>
      </c>
      <c r="M639" s="9"/>
      <c r="N639" s="7">
        <v>3</v>
      </c>
      <c r="O639" s="7"/>
      <c r="P639" s="7"/>
      <c r="Q639" t="s">
        <v>55</v>
      </c>
      <c r="R639" s="7" t="str">
        <f>TEXT(Table1[[#This Row],[Date]],"mmm yyyy")</f>
        <v>Oct 2025</v>
      </c>
      <c r="S639" s="9">
        <f>YEAR(Table1[[#This Row],[Date]])</f>
        <v>2025</v>
      </c>
      <c r="T639" s="9"/>
      <c r="U639" s="9"/>
    </row>
    <row r="640" spans="1:21" x14ac:dyDescent="0.3">
      <c r="A640" t="s">
        <v>1109</v>
      </c>
      <c r="B640" s="6">
        <v>46181</v>
      </c>
      <c r="C640" t="s">
        <v>18</v>
      </c>
      <c r="D640" t="s">
        <v>52</v>
      </c>
      <c r="E640" t="s">
        <v>37</v>
      </c>
      <c r="F640" t="s">
        <v>358</v>
      </c>
      <c r="G640" t="s">
        <v>44</v>
      </c>
      <c r="H640" t="s">
        <v>86</v>
      </c>
      <c r="I640" t="s">
        <v>45</v>
      </c>
      <c r="J640" s="9">
        <v>1</v>
      </c>
      <c r="K640" s="7">
        <v>7500</v>
      </c>
      <c r="L640" s="7">
        <v>0</v>
      </c>
      <c r="M640" s="9"/>
      <c r="N640" s="7">
        <v>9.3000000000000007</v>
      </c>
      <c r="O640" s="7"/>
      <c r="P640" s="7"/>
      <c r="Q640" t="s">
        <v>45</v>
      </c>
      <c r="R640" s="7" t="str">
        <f>TEXT(Table1[[#This Row],[Date]],"mmm yyyy")</f>
        <v>Jun 2026</v>
      </c>
      <c r="S640" s="9">
        <f>YEAR(Table1[[#This Row],[Date]])</f>
        <v>2026</v>
      </c>
      <c r="T640" s="9"/>
      <c r="U640" s="9"/>
    </row>
    <row r="641" spans="1:21" x14ac:dyDescent="0.3">
      <c r="A641" t="s">
        <v>1110</v>
      </c>
      <c r="B641" s="6">
        <v>45949</v>
      </c>
      <c r="C641" t="s">
        <v>18</v>
      </c>
      <c r="D641" t="s">
        <v>64</v>
      </c>
      <c r="E641" t="s">
        <v>20</v>
      </c>
      <c r="F641" t="s">
        <v>85</v>
      </c>
      <c r="G641" t="s">
        <v>30</v>
      </c>
      <c r="H641" t="s">
        <v>86</v>
      </c>
      <c r="I641" t="s">
        <v>45</v>
      </c>
      <c r="J641" s="9">
        <v>1</v>
      </c>
      <c r="K641" s="7">
        <v>43300</v>
      </c>
      <c r="L641" s="7">
        <v>0</v>
      </c>
      <c r="M641" s="9"/>
      <c r="N641" s="7">
        <v>4.0999999999999996</v>
      </c>
      <c r="O641" s="7"/>
      <c r="P641" s="7"/>
      <c r="Q641" t="s">
        <v>45</v>
      </c>
      <c r="R641" s="7" t="str">
        <f>TEXT(Table1[[#This Row],[Date]],"mmm yyyy")</f>
        <v>Oct 2025</v>
      </c>
      <c r="S641" s="9">
        <f>YEAR(Table1[[#This Row],[Date]])</f>
        <v>2025</v>
      </c>
      <c r="T641" s="9"/>
      <c r="U641" s="9"/>
    </row>
    <row r="642" spans="1:21" x14ac:dyDescent="0.3">
      <c r="A642" t="s">
        <v>1111</v>
      </c>
      <c r="B642" s="6">
        <v>46070</v>
      </c>
      <c r="C642" t="s">
        <v>18</v>
      </c>
      <c r="D642" t="s">
        <v>105</v>
      </c>
      <c r="E642" t="s">
        <v>48</v>
      </c>
      <c r="F642" t="s">
        <v>1112</v>
      </c>
      <c r="G642" t="s">
        <v>44</v>
      </c>
      <c r="H642" t="s">
        <v>23</v>
      </c>
      <c r="I642" t="s">
        <v>79</v>
      </c>
      <c r="J642" s="9">
        <v>1</v>
      </c>
      <c r="K642" s="7">
        <v>10900</v>
      </c>
      <c r="L642" s="7">
        <v>0</v>
      </c>
      <c r="M642" s="9"/>
      <c r="N642" s="7">
        <v>8</v>
      </c>
      <c r="O642" s="7"/>
      <c r="P642" s="7"/>
      <c r="Q642" t="s">
        <v>79</v>
      </c>
      <c r="R642" s="7" t="str">
        <f>TEXT(Table1[[#This Row],[Date]],"mmm yyyy")</f>
        <v>Feb 2026</v>
      </c>
      <c r="S642" s="9">
        <f>YEAR(Table1[[#This Row],[Date]])</f>
        <v>2026</v>
      </c>
      <c r="T642" s="9"/>
      <c r="U642" s="9"/>
    </row>
    <row r="643" spans="1:21" x14ac:dyDescent="0.3">
      <c r="A643" t="s">
        <v>1113</v>
      </c>
      <c r="B643" s="6">
        <v>46101</v>
      </c>
      <c r="C643" t="s">
        <v>18</v>
      </c>
      <c r="D643" t="s">
        <v>41</v>
      </c>
      <c r="E643" t="s">
        <v>20</v>
      </c>
      <c r="F643" t="s">
        <v>946</v>
      </c>
      <c r="G643" t="s">
        <v>22</v>
      </c>
      <c r="H643" t="s">
        <v>78</v>
      </c>
      <c r="I643" t="s">
        <v>24</v>
      </c>
      <c r="J643" s="9">
        <v>1</v>
      </c>
      <c r="K643" s="7">
        <v>26800</v>
      </c>
      <c r="L643" s="7">
        <v>26800</v>
      </c>
      <c r="M643" s="9"/>
      <c r="N643" s="7">
        <v>18</v>
      </c>
      <c r="O643" s="7"/>
      <c r="P643" s="7"/>
      <c r="Q643" t="s">
        <v>24</v>
      </c>
      <c r="R643" s="7" t="str">
        <f>TEXT(Table1[[#This Row],[Date]],"mmm yyyy")</f>
        <v>Mar 2026</v>
      </c>
      <c r="S643" s="9">
        <f>YEAR(Table1[[#This Row],[Date]])</f>
        <v>2026</v>
      </c>
      <c r="T643" s="9"/>
      <c r="U643" s="9"/>
    </row>
    <row r="644" spans="1:21" x14ac:dyDescent="0.3">
      <c r="A644" t="s">
        <v>1114</v>
      </c>
      <c r="B644" s="6">
        <v>45961</v>
      </c>
      <c r="C644" t="s">
        <v>18</v>
      </c>
      <c r="D644" t="s">
        <v>95</v>
      </c>
      <c r="E644" t="s">
        <v>37</v>
      </c>
      <c r="F644" t="s">
        <v>1115</v>
      </c>
      <c r="G644" t="s">
        <v>22</v>
      </c>
      <c r="H644" t="s">
        <v>54</v>
      </c>
      <c r="I644" t="s">
        <v>79</v>
      </c>
      <c r="J644" s="9">
        <v>1</v>
      </c>
      <c r="K644" s="7">
        <v>22500</v>
      </c>
      <c r="L644" s="7">
        <v>0</v>
      </c>
      <c r="M644" s="9"/>
      <c r="N644" s="7">
        <v>8.8000000000000007</v>
      </c>
      <c r="O644" s="7"/>
      <c r="P644" s="7"/>
      <c r="Q644" t="s">
        <v>79</v>
      </c>
      <c r="R644" s="7" t="str">
        <f>TEXT(Table1[[#This Row],[Date]],"mmm yyyy")</f>
        <v>Oct 2025</v>
      </c>
      <c r="S644" s="9">
        <f>YEAR(Table1[[#This Row],[Date]])</f>
        <v>2025</v>
      </c>
      <c r="T644" s="9"/>
      <c r="U644" s="9"/>
    </row>
    <row r="645" spans="1:21" x14ac:dyDescent="0.3">
      <c r="A645" t="s">
        <v>1116</v>
      </c>
      <c r="B645" s="6">
        <v>45980</v>
      </c>
      <c r="C645" t="s">
        <v>18</v>
      </c>
      <c r="D645" t="s">
        <v>105</v>
      </c>
      <c r="E645" t="s">
        <v>20</v>
      </c>
      <c r="F645" t="s">
        <v>422</v>
      </c>
      <c r="G645" t="s">
        <v>30</v>
      </c>
      <c r="H645" t="s">
        <v>23</v>
      </c>
      <c r="I645" t="s">
        <v>24</v>
      </c>
      <c r="J645" s="9">
        <v>1</v>
      </c>
      <c r="K645" s="7">
        <v>37200</v>
      </c>
      <c r="L645" s="7">
        <v>37200</v>
      </c>
      <c r="M645" s="9"/>
      <c r="N645" s="7">
        <v>8.6999999999999993</v>
      </c>
      <c r="O645" s="7"/>
      <c r="P645" s="7"/>
      <c r="Q645" t="s">
        <v>24</v>
      </c>
      <c r="R645" s="7" t="str">
        <f>TEXT(Table1[[#This Row],[Date]],"mmm yyyy")</f>
        <v>Nov 2025</v>
      </c>
      <c r="S645" s="9">
        <f>YEAR(Table1[[#This Row],[Date]])</f>
        <v>2025</v>
      </c>
      <c r="T645" s="9"/>
      <c r="U645" s="9"/>
    </row>
    <row r="646" spans="1:21" x14ac:dyDescent="0.3">
      <c r="A646" t="s">
        <v>1117</v>
      </c>
      <c r="B646" s="6">
        <v>45917</v>
      </c>
      <c r="C646" t="s">
        <v>18</v>
      </c>
      <c r="D646" t="s">
        <v>19</v>
      </c>
      <c r="E646" t="s">
        <v>48</v>
      </c>
      <c r="F646" t="s">
        <v>1118</v>
      </c>
      <c r="G646" t="s">
        <v>44</v>
      </c>
      <c r="H646" t="s">
        <v>54</v>
      </c>
      <c r="I646" t="s">
        <v>67</v>
      </c>
      <c r="J646" s="9">
        <v>1</v>
      </c>
      <c r="K646" s="7">
        <v>26100</v>
      </c>
      <c r="L646" s="7">
        <v>0</v>
      </c>
      <c r="M646" s="9"/>
      <c r="N646" s="7">
        <v>4.5999999999999996</v>
      </c>
      <c r="O646" s="7"/>
      <c r="P646" s="7"/>
      <c r="Q646" t="s">
        <v>67</v>
      </c>
      <c r="R646" s="7" t="str">
        <f>TEXT(Table1[[#This Row],[Date]],"mmm yyyy")</f>
        <v>Sep 2025</v>
      </c>
      <c r="S646" s="9">
        <f>YEAR(Table1[[#This Row],[Date]])</f>
        <v>2025</v>
      </c>
      <c r="T646" s="9"/>
      <c r="U646" s="9"/>
    </row>
    <row r="647" spans="1:21" hidden="1" x14ac:dyDescent="0.3">
      <c r="A647" t="s">
        <v>1119</v>
      </c>
      <c r="B647" s="6">
        <v>46054</v>
      </c>
      <c r="C647" t="s">
        <v>26</v>
      </c>
      <c r="D647" t="s">
        <v>72</v>
      </c>
      <c r="E647" t="s">
        <v>20</v>
      </c>
      <c r="F647" t="s">
        <v>463</v>
      </c>
      <c r="G647" t="s">
        <v>44</v>
      </c>
      <c r="J647" s="9">
        <v>0</v>
      </c>
      <c r="K647" s="7">
        <v>0</v>
      </c>
      <c r="L647" s="7">
        <v>0</v>
      </c>
      <c r="M647" s="9">
        <v>1</v>
      </c>
      <c r="N647" s="7">
        <v>5.5</v>
      </c>
      <c r="O647" s="7">
        <v>15.9</v>
      </c>
      <c r="P647" s="7">
        <v>3.7</v>
      </c>
      <c r="Q647" t="s">
        <v>39</v>
      </c>
      <c r="R647" s="7" t="str">
        <f>TEXT(Table1[[#This Row],[Date]],"mmm yyyy")</f>
        <v>Feb 2026</v>
      </c>
      <c r="S647" s="9">
        <f>YEAR(Table1[[#This Row],[Date]])</f>
        <v>2026</v>
      </c>
      <c r="T647" s="9"/>
      <c r="U647" s="9"/>
    </row>
    <row r="648" spans="1:21" hidden="1" x14ac:dyDescent="0.3">
      <c r="A648" t="s">
        <v>1120</v>
      </c>
      <c r="B648" s="6">
        <v>46066</v>
      </c>
      <c r="C648" t="s">
        <v>26</v>
      </c>
      <c r="D648" t="s">
        <v>36</v>
      </c>
      <c r="E648" t="s">
        <v>20</v>
      </c>
      <c r="F648" t="s">
        <v>1121</v>
      </c>
      <c r="G648" t="s">
        <v>30</v>
      </c>
      <c r="J648" s="9">
        <v>0</v>
      </c>
      <c r="K648" s="7">
        <v>0</v>
      </c>
      <c r="L648" s="7">
        <v>0</v>
      </c>
      <c r="M648" s="9">
        <v>1</v>
      </c>
      <c r="N648" s="7">
        <v>1.4</v>
      </c>
      <c r="O648" s="7">
        <v>8.4</v>
      </c>
      <c r="P648" s="7">
        <v>4.2</v>
      </c>
      <c r="Q648" t="s">
        <v>39</v>
      </c>
      <c r="R648" s="7" t="str">
        <f>TEXT(Table1[[#This Row],[Date]],"mmm yyyy")</f>
        <v>Feb 2026</v>
      </c>
      <c r="S648" s="9">
        <f>YEAR(Table1[[#This Row],[Date]])</f>
        <v>2026</v>
      </c>
      <c r="T648" s="9"/>
      <c r="U648" s="9"/>
    </row>
    <row r="649" spans="1:21" hidden="1" x14ac:dyDescent="0.3">
      <c r="A649" t="s">
        <v>1122</v>
      </c>
      <c r="B649" s="6">
        <v>46026</v>
      </c>
      <c r="C649" t="s">
        <v>26</v>
      </c>
      <c r="D649" t="s">
        <v>72</v>
      </c>
      <c r="E649" t="s">
        <v>48</v>
      </c>
      <c r="F649" t="s">
        <v>1123</v>
      </c>
      <c r="G649" t="s">
        <v>22</v>
      </c>
      <c r="J649" s="9">
        <v>0</v>
      </c>
      <c r="K649" s="7">
        <v>0</v>
      </c>
      <c r="L649" s="7">
        <v>0</v>
      </c>
      <c r="M649" s="9">
        <v>1</v>
      </c>
      <c r="N649" s="7">
        <v>4.4000000000000004</v>
      </c>
      <c r="O649" s="7">
        <v>12.6</v>
      </c>
      <c r="P649" s="7">
        <v>5</v>
      </c>
      <c r="Q649" t="s">
        <v>225</v>
      </c>
      <c r="R649" s="7" t="str">
        <f>TEXT(Table1[[#This Row],[Date]],"mmm yyyy")</f>
        <v>Jan 2026</v>
      </c>
      <c r="S649" s="9">
        <f>YEAR(Table1[[#This Row],[Date]])</f>
        <v>2026</v>
      </c>
      <c r="T649" s="9"/>
      <c r="U649" s="9"/>
    </row>
    <row r="650" spans="1:21" hidden="1" x14ac:dyDescent="0.3">
      <c r="A650" t="s">
        <v>1124</v>
      </c>
      <c r="B650" s="6">
        <v>45954</v>
      </c>
      <c r="C650" t="s">
        <v>26</v>
      </c>
      <c r="D650" t="s">
        <v>72</v>
      </c>
      <c r="E650" t="s">
        <v>20</v>
      </c>
      <c r="F650" t="s">
        <v>233</v>
      </c>
      <c r="G650" t="s">
        <v>30</v>
      </c>
      <c r="J650" s="9">
        <v>0</v>
      </c>
      <c r="K650" s="7">
        <v>0</v>
      </c>
      <c r="L650" s="7">
        <v>0</v>
      </c>
      <c r="M650" s="9">
        <v>1</v>
      </c>
      <c r="N650" s="7">
        <v>7.5</v>
      </c>
      <c r="O650" s="7">
        <v>10.7</v>
      </c>
      <c r="P650" s="7">
        <v>3.3</v>
      </c>
      <c r="Q650" t="s">
        <v>39</v>
      </c>
      <c r="R650" s="7" t="str">
        <f>TEXT(Table1[[#This Row],[Date]],"mmm yyyy")</f>
        <v>Oct 2025</v>
      </c>
      <c r="S650" s="9">
        <f>YEAR(Table1[[#This Row],[Date]])</f>
        <v>2025</v>
      </c>
      <c r="T650" s="9"/>
      <c r="U650" s="9"/>
    </row>
    <row r="651" spans="1:21" x14ac:dyDescent="0.3">
      <c r="A651" t="s">
        <v>1125</v>
      </c>
      <c r="B651" s="6">
        <v>46154</v>
      </c>
      <c r="C651" t="s">
        <v>18</v>
      </c>
      <c r="D651" t="s">
        <v>19</v>
      </c>
      <c r="E651" t="s">
        <v>20</v>
      </c>
      <c r="F651" t="s">
        <v>77</v>
      </c>
      <c r="G651" t="s">
        <v>30</v>
      </c>
      <c r="H651" t="s">
        <v>54</v>
      </c>
      <c r="I651" t="s">
        <v>24</v>
      </c>
      <c r="J651" s="9">
        <v>1</v>
      </c>
      <c r="K651" s="7">
        <v>17400</v>
      </c>
      <c r="L651" s="7">
        <v>17400</v>
      </c>
      <c r="M651" s="9"/>
      <c r="N651" s="7">
        <v>19.600000000000001</v>
      </c>
      <c r="O651" s="7"/>
      <c r="P651" s="7"/>
      <c r="Q651" t="s">
        <v>24</v>
      </c>
      <c r="R651" s="7" t="str">
        <f>TEXT(Table1[[#This Row],[Date]],"mmm yyyy")</f>
        <v>May 2026</v>
      </c>
      <c r="S651" s="9">
        <f>YEAR(Table1[[#This Row],[Date]])</f>
        <v>2026</v>
      </c>
      <c r="T651" s="9"/>
      <c r="U651" s="9"/>
    </row>
    <row r="652" spans="1:21" x14ac:dyDescent="0.3">
      <c r="A652" t="s">
        <v>1126</v>
      </c>
      <c r="B652" s="6">
        <v>46237</v>
      </c>
      <c r="C652" t="s">
        <v>18</v>
      </c>
      <c r="D652" t="s">
        <v>64</v>
      </c>
      <c r="E652" t="s">
        <v>28</v>
      </c>
      <c r="F652" t="s">
        <v>1127</v>
      </c>
      <c r="G652" t="s">
        <v>22</v>
      </c>
      <c r="H652" t="s">
        <v>23</v>
      </c>
      <c r="I652" t="s">
        <v>24</v>
      </c>
      <c r="J652" s="9">
        <v>1</v>
      </c>
      <c r="K652" s="7">
        <v>5300</v>
      </c>
      <c r="L652" s="7">
        <v>5300</v>
      </c>
      <c r="M652" s="9"/>
      <c r="N652" s="7">
        <v>9</v>
      </c>
      <c r="O652" s="7"/>
      <c r="P652" s="7"/>
      <c r="Q652" t="s">
        <v>24</v>
      </c>
      <c r="R652" s="7" t="str">
        <f>TEXT(Table1[[#This Row],[Date]],"mmm yyyy")</f>
        <v>Aug 2026</v>
      </c>
      <c r="S652" s="9">
        <f>YEAR(Table1[[#This Row],[Date]])</f>
        <v>2026</v>
      </c>
      <c r="T652" s="9"/>
      <c r="U652" s="9"/>
    </row>
    <row r="653" spans="1:21" x14ac:dyDescent="0.3">
      <c r="A653" t="s">
        <v>1128</v>
      </c>
      <c r="B653" s="6">
        <v>45959</v>
      </c>
      <c r="C653" t="s">
        <v>18</v>
      </c>
      <c r="D653" t="s">
        <v>105</v>
      </c>
      <c r="E653" t="s">
        <v>37</v>
      </c>
      <c r="F653" t="s">
        <v>1129</v>
      </c>
      <c r="G653" t="s">
        <v>22</v>
      </c>
      <c r="H653" t="s">
        <v>23</v>
      </c>
      <c r="I653" t="s">
        <v>45</v>
      </c>
      <c r="J653" s="9">
        <v>1</v>
      </c>
      <c r="K653" s="7">
        <v>65100</v>
      </c>
      <c r="L653" s="7">
        <v>0</v>
      </c>
      <c r="M653" s="9"/>
      <c r="N653" s="7">
        <v>8.9</v>
      </c>
      <c r="O653" s="7"/>
      <c r="P653" s="7"/>
      <c r="Q653" t="s">
        <v>45</v>
      </c>
      <c r="R653" s="7" t="str">
        <f>TEXT(Table1[[#This Row],[Date]],"mmm yyyy")</f>
        <v>Oct 2025</v>
      </c>
      <c r="S653" s="9">
        <f>YEAR(Table1[[#This Row],[Date]])</f>
        <v>2025</v>
      </c>
      <c r="T653" s="9"/>
      <c r="U653" s="9"/>
    </row>
    <row r="654" spans="1:21" hidden="1" x14ac:dyDescent="0.3">
      <c r="A654" t="s">
        <v>1130</v>
      </c>
      <c r="B654" s="6">
        <v>46157</v>
      </c>
      <c r="C654" t="s">
        <v>26</v>
      </c>
      <c r="D654" t="s">
        <v>27</v>
      </c>
      <c r="E654" t="s">
        <v>28</v>
      </c>
      <c r="F654" t="s">
        <v>81</v>
      </c>
      <c r="G654" t="s">
        <v>30</v>
      </c>
      <c r="J654" s="9">
        <v>0</v>
      </c>
      <c r="K654" s="7">
        <v>0</v>
      </c>
      <c r="L654" s="7">
        <v>0</v>
      </c>
      <c r="M654" s="9">
        <v>1</v>
      </c>
      <c r="N654" s="7">
        <v>3.7</v>
      </c>
      <c r="O654" s="7">
        <v>11.1</v>
      </c>
      <c r="P654" s="7">
        <v>3.4</v>
      </c>
      <c r="Q654" t="s">
        <v>225</v>
      </c>
      <c r="R654" s="7" t="str">
        <f>TEXT(Table1[[#This Row],[Date]],"mmm yyyy")</f>
        <v>May 2026</v>
      </c>
      <c r="S654" s="9">
        <f>YEAR(Table1[[#This Row],[Date]])</f>
        <v>2026</v>
      </c>
      <c r="T654" s="9"/>
      <c r="U654" s="9"/>
    </row>
    <row r="655" spans="1:21" hidden="1" x14ac:dyDescent="0.3">
      <c r="A655" t="s">
        <v>1131</v>
      </c>
      <c r="B655" s="6">
        <v>45928</v>
      </c>
      <c r="C655" t="s">
        <v>26</v>
      </c>
      <c r="D655" t="s">
        <v>36</v>
      </c>
      <c r="E655" t="s">
        <v>20</v>
      </c>
      <c r="F655" t="s">
        <v>990</v>
      </c>
      <c r="G655" t="s">
        <v>30</v>
      </c>
      <c r="J655" s="9">
        <v>0</v>
      </c>
      <c r="K655" s="7">
        <v>0</v>
      </c>
      <c r="L655" s="7">
        <v>0</v>
      </c>
      <c r="M655" s="9">
        <v>1</v>
      </c>
      <c r="N655" s="7">
        <v>1.3</v>
      </c>
      <c r="O655" s="7">
        <v>3.3</v>
      </c>
      <c r="P655" s="7">
        <v>4.9000000000000004</v>
      </c>
      <c r="Q655" t="s">
        <v>225</v>
      </c>
      <c r="R655" s="7" t="str">
        <f>TEXT(Table1[[#This Row],[Date]],"mmm yyyy")</f>
        <v>Sep 2025</v>
      </c>
      <c r="S655" s="9">
        <f>YEAR(Table1[[#This Row],[Date]])</f>
        <v>2025</v>
      </c>
      <c r="T655" s="9"/>
      <c r="U655" s="9"/>
    </row>
    <row r="656" spans="1:21" x14ac:dyDescent="0.3">
      <c r="A656" t="s">
        <v>1132</v>
      </c>
      <c r="B656" s="6">
        <v>46174</v>
      </c>
      <c r="C656" t="s">
        <v>18</v>
      </c>
      <c r="D656" t="s">
        <v>52</v>
      </c>
      <c r="E656" t="s">
        <v>20</v>
      </c>
      <c r="F656" t="s">
        <v>1133</v>
      </c>
      <c r="G656" t="s">
        <v>22</v>
      </c>
      <c r="H656" t="s">
        <v>23</v>
      </c>
      <c r="I656" t="s">
        <v>79</v>
      </c>
      <c r="J656" s="9">
        <v>1</v>
      </c>
      <c r="K656" s="7">
        <v>13500</v>
      </c>
      <c r="L656" s="7">
        <v>0</v>
      </c>
      <c r="M656" s="9"/>
      <c r="N656" s="7">
        <v>7.1</v>
      </c>
      <c r="O656" s="7"/>
      <c r="P656" s="7"/>
      <c r="Q656" t="s">
        <v>79</v>
      </c>
      <c r="R656" s="7" t="str">
        <f>TEXT(Table1[[#This Row],[Date]],"mmm yyyy")</f>
        <v>Jun 2026</v>
      </c>
      <c r="S656" s="9">
        <f>YEAR(Table1[[#This Row],[Date]])</f>
        <v>2026</v>
      </c>
      <c r="T656" s="9"/>
      <c r="U656" s="9"/>
    </row>
    <row r="657" spans="1:21" x14ac:dyDescent="0.3">
      <c r="A657" t="s">
        <v>1134</v>
      </c>
      <c r="B657" s="6">
        <v>46089</v>
      </c>
      <c r="C657" t="s">
        <v>18</v>
      </c>
      <c r="D657" t="s">
        <v>41</v>
      </c>
      <c r="E657" t="s">
        <v>42</v>
      </c>
      <c r="F657" t="s">
        <v>1135</v>
      </c>
      <c r="G657" t="s">
        <v>30</v>
      </c>
      <c r="H657" t="s">
        <v>23</v>
      </c>
      <c r="I657" t="s">
        <v>45</v>
      </c>
      <c r="J657" s="9">
        <v>1</v>
      </c>
      <c r="K657" s="7">
        <v>13100</v>
      </c>
      <c r="L657" s="7">
        <v>0</v>
      </c>
      <c r="M657" s="9"/>
      <c r="N657" s="7">
        <v>17.100000000000001</v>
      </c>
      <c r="O657" s="7"/>
      <c r="P657" s="7"/>
      <c r="Q657" t="s">
        <v>45</v>
      </c>
      <c r="R657" s="7" t="str">
        <f>TEXT(Table1[[#This Row],[Date]],"mmm yyyy")</f>
        <v>Mar 2026</v>
      </c>
      <c r="S657" s="9">
        <f>YEAR(Table1[[#This Row],[Date]])</f>
        <v>2026</v>
      </c>
      <c r="T657" s="9"/>
      <c r="U657" s="9"/>
    </row>
    <row r="658" spans="1:21" x14ac:dyDescent="0.3">
      <c r="A658" t="s">
        <v>1136</v>
      </c>
      <c r="B658" s="6">
        <v>46241</v>
      </c>
      <c r="C658" t="s">
        <v>18</v>
      </c>
      <c r="D658" t="s">
        <v>117</v>
      </c>
      <c r="E658" t="s">
        <v>28</v>
      </c>
      <c r="F658" t="s">
        <v>522</v>
      </c>
      <c r="G658" t="s">
        <v>22</v>
      </c>
      <c r="H658" t="s">
        <v>86</v>
      </c>
      <c r="I658" t="s">
        <v>79</v>
      </c>
      <c r="J658" s="9">
        <v>1</v>
      </c>
      <c r="K658" s="7">
        <v>95700</v>
      </c>
      <c r="L658" s="7">
        <v>0</v>
      </c>
      <c r="M658" s="9"/>
      <c r="N658" s="7">
        <v>12.2</v>
      </c>
      <c r="O658" s="7"/>
      <c r="P658" s="7"/>
      <c r="Q658" t="s">
        <v>79</v>
      </c>
      <c r="R658" s="7" t="str">
        <f>TEXT(Table1[[#This Row],[Date]],"mmm yyyy")</f>
        <v>Aug 2026</v>
      </c>
      <c r="S658" s="9">
        <f>YEAR(Table1[[#This Row],[Date]])</f>
        <v>2026</v>
      </c>
      <c r="T658" s="9"/>
      <c r="U658" s="9"/>
    </row>
    <row r="659" spans="1:21" x14ac:dyDescent="0.3">
      <c r="A659" t="s">
        <v>1137</v>
      </c>
      <c r="B659" s="6">
        <v>45929</v>
      </c>
      <c r="C659" t="s">
        <v>18</v>
      </c>
      <c r="D659" t="s">
        <v>41</v>
      </c>
      <c r="E659" t="s">
        <v>42</v>
      </c>
      <c r="F659" t="s">
        <v>148</v>
      </c>
      <c r="G659" t="s">
        <v>22</v>
      </c>
      <c r="H659" t="s">
        <v>66</v>
      </c>
      <c r="I659" t="s">
        <v>79</v>
      </c>
      <c r="J659" s="9">
        <v>1</v>
      </c>
      <c r="K659" s="7">
        <v>15600</v>
      </c>
      <c r="L659" s="7">
        <v>0</v>
      </c>
      <c r="M659" s="9"/>
      <c r="N659" s="7">
        <v>20.399999999999999</v>
      </c>
      <c r="O659" s="7"/>
      <c r="P659" s="7"/>
      <c r="Q659" t="s">
        <v>79</v>
      </c>
      <c r="R659" s="7" t="str">
        <f>TEXT(Table1[[#This Row],[Date]],"mmm yyyy")</f>
        <v>Sep 2025</v>
      </c>
      <c r="S659" s="9">
        <f>YEAR(Table1[[#This Row],[Date]])</f>
        <v>2025</v>
      </c>
      <c r="T659" s="9"/>
      <c r="U659" s="9"/>
    </row>
    <row r="660" spans="1:21" hidden="1" x14ac:dyDescent="0.3">
      <c r="A660" t="s">
        <v>1138</v>
      </c>
      <c r="B660" s="6">
        <v>46042</v>
      </c>
      <c r="C660" t="s">
        <v>26</v>
      </c>
      <c r="D660" t="s">
        <v>126</v>
      </c>
      <c r="E660" t="s">
        <v>42</v>
      </c>
      <c r="F660" t="s">
        <v>237</v>
      </c>
      <c r="G660" t="s">
        <v>44</v>
      </c>
      <c r="J660" s="9">
        <v>0</v>
      </c>
      <c r="K660" s="7">
        <v>0</v>
      </c>
      <c r="L660" s="7">
        <v>0</v>
      </c>
      <c r="M660" s="9">
        <v>1</v>
      </c>
      <c r="N660" s="7">
        <v>7.8</v>
      </c>
      <c r="O660" s="7">
        <v>14.9</v>
      </c>
      <c r="P660" s="7">
        <v>2.9</v>
      </c>
      <c r="Q660" t="s">
        <v>31</v>
      </c>
      <c r="R660" s="7" t="str">
        <f>TEXT(Table1[[#This Row],[Date]],"mmm yyyy")</f>
        <v>Jan 2026</v>
      </c>
      <c r="S660" s="9">
        <f>YEAR(Table1[[#This Row],[Date]])</f>
        <v>2026</v>
      </c>
      <c r="T660" s="9"/>
      <c r="U660" s="9"/>
    </row>
    <row r="661" spans="1:21" hidden="1" x14ac:dyDescent="0.3">
      <c r="A661" t="s">
        <v>1139</v>
      </c>
      <c r="B661" s="6">
        <v>46098</v>
      </c>
      <c r="C661" t="s">
        <v>26</v>
      </c>
      <c r="D661" t="s">
        <v>114</v>
      </c>
      <c r="E661" t="s">
        <v>20</v>
      </c>
      <c r="F661" t="s">
        <v>838</v>
      </c>
      <c r="G661" t="s">
        <v>30</v>
      </c>
      <c r="J661" s="9">
        <v>0</v>
      </c>
      <c r="K661" s="7">
        <v>0</v>
      </c>
      <c r="L661" s="7">
        <v>0</v>
      </c>
      <c r="M661" s="9">
        <v>1</v>
      </c>
      <c r="N661" s="7">
        <v>8.4</v>
      </c>
      <c r="O661" s="7">
        <v>7.5</v>
      </c>
      <c r="P661" s="7">
        <v>3.9</v>
      </c>
      <c r="Q661" t="s">
        <v>39</v>
      </c>
      <c r="R661" s="7" t="str">
        <f>TEXT(Table1[[#This Row],[Date]],"mmm yyyy")</f>
        <v>Mar 2026</v>
      </c>
      <c r="S661" s="9">
        <f>YEAR(Table1[[#This Row],[Date]])</f>
        <v>2026</v>
      </c>
      <c r="T661" s="9"/>
      <c r="U661" s="9"/>
    </row>
    <row r="662" spans="1:21" x14ac:dyDescent="0.3">
      <c r="A662" t="s">
        <v>1140</v>
      </c>
      <c r="B662" s="6">
        <v>45952</v>
      </c>
      <c r="C662" t="s">
        <v>18</v>
      </c>
      <c r="D662" t="s">
        <v>64</v>
      </c>
      <c r="E662" t="s">
        <v>20</v>
      </c>
      <c r="F662" t="s">
        <v>1141</v>
      </c>
      <c r="G662" t="s">
        <v>30</v>
      </c>
      <c r="H662" t="s">
        <v>78</v>
      </c>
      <c r="I662" t="s">
        <v>24</v>
      </c>
      <c r="J662" s="9">
        <v>1</v>
      </c>
      <c r="K662" s="7">
        <v>32200</v>
      </c>
      <c r="L662" s="7">
        <v>32200</v>
      </c>
      <c r="M662" s="9"/>
      <c r="N662" s="7">
        <v>14.6</v>
      </c>
      <c r="O662" s="7"/>
      <c r="P662" s="7"/>
      <c r="Q662" t="s">
        <v>24</v>
      </c>
      <c r="R662" s="7" t="str">
        <f>TEXT(Table1[[#This Row],[Date]],"mmm yyyy")</f>
        <v>Oct 2025</v>
      </c>
      <c r="S662" s="9">
        <f>YEAR(Table1[[#This Row],[Date]])</f>
        <v>2025</v>
      </c>
      <c r="T662" s="9"/>
      <c r="U662" s="9"/>
    </row>
    <row r="663" spans="1:21" hidden="1" x14ac:dyDescent="0.3">
      <c r="A663" t="s">
        <v>1142</v>
      </c>
      <c r="B663" s="6">
        <v>46227</v>
      </c>
      <c r="C663" t="s">
        <v>26</v>
      </c>
      <c r="D663" t="s">
        <v>36</v>
      </c>
      <c r="E663" t="s">
        <v>20</v>
      </c>
      <c r="F663" t="s">
        <v>1143</v>
      </c>
      <c r="G663" t="s">
        <v>22</v>
      </c>
      <c r="J663" s="9">
        <v>0</v>
      </c>
      <c r="K663" s="7">
        <v>0</v>
      </c>
      <c r="L663" s="7">
        <v>0</v>
      </c>
      <c r="M663" s="9">
        <v>1</v>
      </c>
      <c r="N663" s="7">
        <v>6.9</v>
      </c>
      <c r="O663" s="7">
        <v>11.2</v>
      </c>
      <c r="P663" s="7">
        <v>4</v>
      </c>
      <c r="Q663" t="s">
        <v>62</v>
      </c>
      <c r="R663" s="7" t="str">
        <f>TEXT(Table1[[#This Row],[Date]],"mmm yyyy")</f>
        <v>Jul 2026</v>
      </c>
      <c r="S663" s="9">
        <f>YEAR(Table1[[#This Row],[Date]])</f>
        <v>2026</v>
      </c>
      <c r="T663" s="9"/>
      <c r="U663" s="9"/>
    </row>
    <row r="664" spans="1:21" hidden="1" x14ac:dyDescent="0.3">
      <c r="A664" t="s">
        <v>1144</v>
      </c>
      <c r="B664" s="6">
        <v>46021</v>
      </c>
      <c r="C664" t="s">
        <v>26</v>
      </c>
      <c r="D664" t="s">
        <v>232</v>
      </c>
      <c r="E664" t="s">
        <v>20</v>
      </c>
      <c r="F664" t="s">
        <v>619</v>
      </c>
      <c r="G664" t="s">
        <v>50</v>
      </c>
      <c r="J664" s="9">
        <v>0</v>
      </c>
      <c r="K664" s="7">
        <v>0</v>
      </c>
      <c r="L664" s="7">
        <v>0</v>
      </c>
      <c r="M664" s="9">
        <v>1</v>
      </c>
      <c r="N664" s="7">
        <v>5</v>
      </c>
      <c r="O664" s="7">
        <v>14.1</v>
      </c>
      <c r="P664" s="7">
        <v>3.3</v>
      </c>
      <c r="Q664" t="s">
        <v>31</v>
      </c>
      <c r="R664" s="7" t="str">
        <f>TEXT(Table1[[#This Row],[Date]],"mmm yyyy")</f>
        <v>Dec 2025</v>
      </c>
      <c r="S664" s="9">
        <f>YEAR(Table1[[#This Row],[Date]])</f>
        <v>2025</v>
      </c>
      <c r="T664" s="9"/>
      <c r="U664" s="9"/>
    </row>
    <row r="665" spans="1:21" x14ac:dyDescent="0.3">
      <c r="A665" t="s">
        <v>1145</v>
      </c>
      <c r="B665" s="6">
        <v>46176</v>
      </c>
      <c r="C665" t="s">
        <v>18</v>
      </c>
      <c r="D665" t="s">
        <v>105</v>
      </c>
      <c r="E665" t="s">
        <v>20</v>
      </c>
      <c r="F665" t="s">
        <v>1146</v>
      </c>
      <c r="G665" t="s">
        <v>44</v>
      </c>
      <c r="H665" t="s">
        <v>66</v>
      </c>
      <c r="I665" t="s">
        <v>45</v>
      </c>
      <c r="J665" s="9">
        <v>1</v>
      </c>
      <c r="K665" s="7">
        <v>6600</v>
      </c>
      <c r="L665" s="7">
        <v>0</v>
      </c>
      <c r="M665" s="9"/>
      <c r="N665" s="7">
        <v>8.4</v>
      </c>
      <c r="O665" s="7"/>
      <c r="P665" s="7"/>
      <c r="Q665" t="s">
        <v>45</v>
      </c>
      <c r="R665" s="7" t="str">
        <f>TEXT(Table1[[#This Row],[Date]],"mmm yyyy")</f>
        <v>Jun 2026</v>
      </c>
      <c r="S665" s="9">
        <f>YEAR(Table1[[#This Row],[Date]])</f>
        <v>2026</v>
      </c>
      <c r="T665" s="9"/>
      <c r="U665" s="9"/>
    </row>
    <row r="666" spans="1:21" x14ac:dyDescent="0.3">
      <c r="A666" t="s">
        <v>1147</v>
      </c>
      <c r="B666" s="6">
        <v>45942</v>
      </c>
      <c r="C666" t="s">
        <v>18</v>
      </c>
      <c r="D666" t="s">
        <v>95</v>
      </c>
      <c r="E666" t="s">
        <v>20</v>
      </c>
      <c r="F666" t="s">
        <v>676</v>
      </c>
      <c r="G666" t="s">
        <v>30</v>
      </c>
      <c r="H666" t="s">
        <v>78</v>
      </c>
      <c r="I666" t="s">
        <v>67</v>
      </c>
      <c r="J666" s="9">
        <v>1</v>
      </c>
      <c r="K666" s="7">
        <v>11700</v>
      </c>
      <c r="L666" s="7">
        <v>0</v>
      </c>
      <c r="M666" s="9"/>
      <c r="N666" s="7">
        <v>14.9</v>
      </c>
      <c r="O666" s="7"/>
      <c r="P666" s="7"/>
      <c r="Q666" t="s">
        <v>67</v>
      </c>
      <c r="R666" s="7" t="str">
        <f>TEXT(Table1[[#This Row],[Date]],"mmm yyyy")</f>
        <v>Oct 2025</v>
      </c>
      <c r="S666" s="9">
        <f>YEAR(Table1[[#This Row],[Date]])</f>
        <v>2025</v>
      </c>
      <c r="T666" s="9"/>
      <c r="U666" s="9"/>
    </row>
    <row r="667" spans="1:21" x14ac:dyDescent="0.3">
      <c r="A667" t="s">
        <v>1148</v>
      </c>
      <c r="B667" s="6">
        <v>46142</v>
      </c>
      <c r="C667" t="s">
        <v>18</v>
      </c>
      <c r="D667" t="s">
        <v>52</v>
      </c>
      <c r="E667" t="s">
        <v>48</v>
      </c>
      <c r="F667" t="s">
        <v>1061</v>
      </c>
      <c r="G667" t="s">
        <v>22</v>
      </c>
      <c r="H667" t="s">
        <v>23</v>
      </c>
      <c r="I667" t="s">
        <v>55</v>
      </c>
      <c r="J667" s="9">
        <v>1</v>
      </c>
      <c r="K667" s="7">
        <v>59400</v>
      </c>
      <c r="L667" s="7">
        <v>0</v>
      </c>
      <c r="M667" s="9"/>
      <c r="N667" s="7">
        <v>5.8</v>
      </c>
      <c r="O667" s="7"/>
      <c r="P667" s="7"/>
      <c r="Q667" t="s">
        <v>55</v>
      </c>
      <c r="R667" s="7" t="str">
        <f>TEXT(Table1[[#This Row],[Date]],"mmm yyyy")</f>
        <v>Apr 2026</v>
      </c>
      <c r="S667" s="9">
        <f>YEAR(Table1[[#This Row],[Date]])</f>
        <v>2026</v>
      </c>
      <c r="T667" s="9"/>
      <c r="U667" s="9"/>
    </row>
    <row r="668" spans="1:21" x14ac:dyDescent="0.3">
      <c r="A668" t="s">
        <v>1149</v>
      </c>
      <c r="B668" s="6">
        <v>46103</v>
      </c>
      <c r="C668" t="s">
        <v>18</v>
      </c>
      <c r="D668" t="s">
        <v>47</v>
      </c>
      <c r="E668" t="s">
        <v>20</v>
      </c>
      <c r="F668" t="s">
        <v>1150</v>
      </c>
      <c r="G668" t="s">
        <v>22</v>
      </c>
      <c r="H668" t="s">
        <v>23</v>
      </c>
      <c r="I668" t="s">
        <v>24</v>
      </c>
      <c r="J668" s="9">
        <v>1</v>
      </c>
      <c r="K668" s="7">
        <v>14800</v>
      </c>
      <c r="L668" s="7">
        <v>14800</v>
      </c>
      <c r="M668" s="9"/>
      <c r="N668" s="7">
        <v>21.1</v>
      </c>
      <c r="O668" s="7"/>
      <c r="P668" s="7"/>
      <c r="Q668" t="s">
        <v>24</v>
      </c>
      <c r="R668" s="7" t="str">
        <f>TEXT(Table1[[#This Row],[Date]],"mmm yyyy")</f>
        <v>Mar 2026</v>
      </c>
      <c r="S668" s="9">
        <f>YEAR(Table1[[#This Row],[Date]])</f>
        <v>2026</v>
      </c>
      <c r="T668" s="9"/>
      <c r="U668" s="9"/>
    </row>
    <row r="669" spans="1:21" x14ac:dyDescent="0.3">
      <c r="A669" t="s">
        <v>1151</v>
      </c>
      <c r="B669" s="6">
        <v>46175</v>
      </c>
      <c r="C669" t="s">
        <v>18</v>
      </c>
      <c r="D669" t="s">
        <v>41</v>
      </c>
      <c r="E669" t="s">
        <v>48</v>
      </c>
      <c r="F669" t="s">
        <v>358</v>
      </c>
      <c r="G669" t="s">
        <v>22</v>
      </c>
      <c r="H669" t="s">
        <v>23</v>
      </c>
      <c r="I669" t="s">
        <v>24</v>
      </c>
      <c r="J669" s="9">
        <v>1</v>
      </c>
      <c r="K669" s="7">
        <v>41400</v>
      </c>
      <c r="L669" s="7">
        <v>41400</v>
      </c>
      <c r="M669" s="9"/>
      <c r="N669" s="7">
        <v>6.4</v>
      </c>
      <c r="O669" s="7"/>
      <c r="P669" s="7"/>
      <c r="Q669" t="s">
        <v>24</v>
      </c>
      <c r="R669" s="7" t="str">
        <f>TEXT(Table1[[#This Row],[Date]],"mmm yyyy")</f>
        <v>Jun 2026</v>
      </c>
      <c r="S669" s="9">
        <f>YEAR(Table1[[#This Row],[Date]])</f>
        <v>2026</v>
      </c>
      <c r="T669" s="9"/>
      <c r="U669" s="9"/>
    </row>
    <row r="670" spans="1:21" x14ac:dyDescent="0.3">
      <c r="A670" t="s">
        <v>1152</v>
      </c>
      <c r="B670" s="6">
        <v>46250</v>
      </c>
      <c r="C670" t="s">
        <v>18</v>
      </c>
      <c r="D670" t="s">
        <v>64</v>
      </c>
      <c r="E670" t="s">
        <v>48</v>
      </c>
      <c r="F670" t="s">
        <v>158</v>
      </c>
      <c r="G670" t="s">
        <v>30</v>
      </c>
      <c r="H670" t="s">
        <v>54</v>
      </c>
      <c r="I670" t="s">
        <v>24</v>
      </c>
      <c r="J670" s="9">
        <v>1</v>
      </c>
      <c r="K670" s="7">
        <v>6300</v>
      </c>
      <c r="L670" s="7">
        <v>6300</v>
      </c>
      <c r="M670" s="9"/>
      <c r="N670" s="7">
        <v>16.399999999999999</v>
      </c>
      <c r="O670" s="7"/>
      <c r="P670" s="7"/>
      <c r="Q670" t="s">
        <v>24</v>
      </c>
      <c r="R670" s="7" t="str">
        <f>TEXT(Table1[[#This Row],[Date]],"mmm yyyy")</f>
        <v>Aug 2026</v>
      </c>
      <c r="S670" s="9">
        <f>YEAR(Table1[[#This Row],[Date]])</f>
        <v>2026</v>
      </c>
      <c r="T670" s="9"/>
      <c r="U670" s="9"/>
    </row>
    <row r="671" spans="1:21" x14ac:dyDescent="0.3">
      <c r="A671" t="s">
        <v>1153</v>
      </c>
      <c r="B671" s="6">
        <v>46073</v>
      </c>
      <c r="C671" t="s">
        <v>18</v>
      </c>
      <c r="D671" t="s">
        <v>52</v>
      </c>
      <c r="E671" t="s">
        <v>20</v>
      </c>
      <c r="F671" t="s">
        <v>1063</v>
      </c>
      <c r="G671" t="s">
        <v>22</v>
      </c>
      <c r="H671" t="s">
        <v>86</v>
      </c>
      <c r="I671" t="s">
        <v>24</v>
      </c>
      <c r="J671" s="9">
        <v>1</v>
      </c>
      <c r="K671" s="7">
        <v>25800</v>
      </c>
      <c r="L671" s="7">
        <v>25800</v>
      </c>
      <c r="M671" s="9"/>
      <c r="N671" s="7">
        <v>8.6999999999999993</v>
      </c>
      <c r="O671" s="7"/>
      <c r="P671" s="7"/>
      <c r="Q671" t="s">
        <v>24</v>
      </c>
      <c r="R671" s="7" t="str">
        <f>TEXT(Table1[[#This Row],[Date]],"mmm yyyy")</f>
        <v>Feb 2026</v>
      </c>
      <c r="S671" s="9">
        <f>YEAR(Table1[[#This Row],[Date]])</f>
        <v>2026</v>
      </c>
      <c r="T671" s="9"/>
      <c r="U671" s="9"/>
    </row>
    <row r="672" spans="1:21" x14ac:dyDescent="0.3">
      <c r="A672" t="s">
        <v>1154</v>
      </c>
      <c r="B672" s="6">
        <v>45931</v>
      </c>
      <c r="C672" t="s">
        <v>18</v>
      </c>
      <c r="D672" t="s">
        <v>64</v>
      </c>
      <c r="E672" t="s">
        <v>48</v>
      </c>
      <c r="F672" t="s">
        <v>430</v>
      </c>
      <c r="G672" t="s">
        <v>22</v>
      </c>
      <c r="H672" t="s">
        <v>66</v>
      </c>
      <c r="I672" t="s">
        <v>24</v>
      </c>
      <c r="J672" s="9">
        <v>1</v>
      </c>
      <c r="K672" s="7">
        <v>20300</v>
      </c>
      <c r="L672" s="7">
        <v>20300</v>
      </c>
      <c r="M672" s="9"/>
      <c r="N672" s="7">
        <v>13.2</v>
      </c>
      <c r="O672" s="7"/>
      <c r="P672" s="7"/>
      <c r="Q672" t="s">
        <v>24</v>
      </c>
      <c r="R672" s="7" t="str">
        <f>TEXT(Table1[[#This Row],[Date]],"mmm yyyy")</f>
        <v>Oct 2025</v>
      </c>
      <c r="S672" s="9">
        <f>YEAR(Table1[[#This Row],[Date]])</f>
        <v>2025</v>
      </c>
      <c r="T672" s="9"/>
      <c r="U672" s="9"/>
    </row>
    <row r="673" spans="1:21" hidden="1" x14ac:dyDescent="0.3">
      <c r="A673" t="s">
        <v>1155</v>
      </c>
      <c r="B673" s="6">
        <v>46170</v>
      </c>
      <c r="C673" t="s">
        <v>26</v>
      </c>
      <c r="D673" t="s">
        <v>33</v>
      </c>
      <c r="E673" t="s">
        <v>37</v>
      </c>
      <c r="F673" t="s">
        <v>616</v>
      </c>
      <c r="G673" t="s">
        <v>30</v>
      </c>
      <c r="J673" s="9">
        <v>0</v>
      </c>
      <c r="K673" s="7">
        <v>0</v>
      </c>
      <c r="L673" s="7">
        <v>0</v>
      </c>
      <c r="M673" s="9">
        <v>1</v>
      </c>
      <c r="N673" s="7">
        <v>2.8</v>
      </c>
      <c r="O673" s="7">
        <v>7.3</v>
      </c>
      <c r="P673" s="7">
        <v>3.8</v>
      </c>
      <c r="Q673" t="s">
        <v>62</v>
      </c>
      <c r="R673" s="7" t="str">
        <f>TEXT(Table1[[#This Row],[Date]],"mmm yyyy")</f>
        <v>May 2026</v>
      </c>
      <c r="S673" s="9">
        <f>YEAR(Table1[[#This Row],[Date]])</f>
        <v>2026</v>
      </c>
      <c r="T673" s="9"/>
      <c r="U673" s="9"/>
    </row>
    <row r="674" spans="1:21" x14ac:dyDescent="0.3">
      <c r="A674" t="s">
        <v>1156</v>
      </c>
      <c r="B674" s="6">
        <v>45997</v>
      </c>
      <c r="C674" t="s">
        <v>18</v>
      </c>
      <c r="D674" t="s">
        <v>19</v>
      </c>
      <c r="E674" t="s">
        <v>37</v>
      </c>
      <c r="F674" t="s">
        <v>699</v>
      </c>
      <c r="G674" t="s">
        <v>22</v>
      </c>
      <c r="H674" t="s">
        <v>23</v>
      </c>
      <c r="I674" t="s">
        <v>67</v>
      </c>
      <c r="J674" s="9">
        <v>1</v>
      </c>
      <c r="K674" s="7">
        <v>39000</v>
      </c>
      <c r="L674" s="7">
        <v>0</v>
      </c>
      <c r="M674" s="9"/>
      <c r="N674" s="7">
        <v>16.399999999999999</v>
      </c>
      <c r="O674" s="7"/>
      <c r="P674" s="7"/>
      <c r="Q674" t="s">
        <v>67</v>
      </c>
      <c r="R674" s="7" t="str">
        <f>TEXT(Table1[[#This Row],[Date]],"mmm yyyy")</f>
        <v>Dec 2025</v>
      </c>
      <c r="S674" s="9">
        <f>YEAR(Table1[[#This Row],[Date]])</f>
        <v>2025</v>
      </c>
      <c r="T674" s="9"/>
      <c r="U674" s="9"/>
    </row>
    <row r="675" spans="1:21" x14ac:dyDescent="0.3">
      <c r="A675" t="s">
        <v>1157</v>
      </c>
      <c r="B675" s="6">
        <v>45908</v>
      </c>
      <c r="C675" t="s">
        <v>18</v>
      </c>
      <c r="D675" t="s">
        <v>64</v>
      </c>
      <c r="E675" t="s">
        <v>20</v>
      </c>
      <c r="F675" t="s">
        <v>1158</v>
      </c>
      <c r="G675" t="s">
        <v>30</v>
      </c>
      <c r="H675" t="s">
        <v>54</v>
      </c>
      <c r="I675" t="s">
        <v>79</v>
      </c>
      <c r="J675" s="9">
        <v>1</v>
      </c>
      <c r="K675" s="7">
        <v>15400</v>
      </c>
      <c r="L675" s="7">
        <v>0</v>
      </c>
      <c r="M675" s="9"/>
      <c r="N675" s="7">
        <v>5.9</v>
      </c>
      <c r="O675" s="7"/>
      <c r="P675" s="7"/>
      <c r="Q675" t="s">
        <v>79</v>
      </c>
      <c r="R675" s="7" t="str">
        <f>TEXT(Table1[[#This Row],[Date]],"mmm yyyy")</f>
        <v>Sep 2025</v>
      </c>
      <c r="S675" s="9">
        <f>YEAR(Table1[[#This Row],[Date]])</f>
        <v>2025</v>
      </c>
      <c r="T675" s="9"/>
      <c r="U675" s="9"/>
    </row>
    <row r="676" spans="1:21" x14ac:dyDescent="0.3">
      <c r="A676" t="s">
        <v>1159</v>
      </c>
      <c r="B676" s="6">
        <v>46225</v>
      </c>
      <c r="C676" t="s">
        <v>18</v>
      </c>
      <c r="D676" t="s">
        <v>52</v>
      </c>
      <c r="E676" t="s">
        <v>20</v>
      </c>
      <c r="F676" t="s">
        <v>402</v>
      </c>
      <c r="G676" t="s">
        <v>50</v>
      </c>
      <c r="H676" t="s">
        <v>54</v>
      </c>
      <c r="I676" t="s">
        <v>45</v>
      </c>
      <c r="J676" s="9">
        <v>1</v>
      </c>
      <c r="K676" s="7">
        <v>53100</v>
      </c>
      <c r="L676" s="7">
        <v>0</v>
      </c>
      <c r="M676" s="9"/>
      <c r="N676" s="7">
        <v>16.3</v>
      </c>
      <c r="O676" s="7"/>
      <c r="P676" s="7"/>
      <c r="Q676" t="s">
        <v>45</v>
      </c>
      <c r="R676" s="7" t="str">
        <f>TEXT(Table1[[#This Row],[Date]],"mmm yyyy")</f>
        <v>Jul 2026</v>
      </c>
      <c r="S676" s="9">
        <f>YEAR(Table1[[#This Row],[Date]])</f>
        <v>2026</v>
      </c>
      <c r="T676" s="9"/>
      <c r="U676" s="9"/>
    </row>
    <row r="677" spans="1:21" hidden="1" x14ac:dyDescent="0.3">
      <c r="A677" t="s">
        <v>1160</v>
      </c>
      <c r="B677" s="6">
        <v>46172</v>
      </c>
      <c r="C677" t="s">
        <v>26</v>
      </c>
      <c r="D677" t="s">
        <v>126</v>
      </c>
      <c r="E677" t="s">
        <v>28</v>
      </c>
      <c r="F677" t="s">
        <v>485</v>
      </c>
      <c r="G677" t="s">
        <v>44</v>
      </c>
      <c r="J677" s="9">
        <v>0</v>
      </c>
      <c r="K677" s="7">
        <v>0</v>
      </c>
      <c r="L677" s="7">
        <v>0</v>
      </c>
      <c r="M677" s="9">
        <v>1</v>
      </c>
      <c r="N677" s="7">
        <v>7.3</v>
      </c>
      <c r="O677" s="7">
        <v>5.9</v>
      </c>
      <c r="P677" s="7">
        <v>4.5999999999999996</v>
      </c>
      <c r="Q677" t="s">
        <v>31</v>
      </c>
      <c r="R677" s="7" t="str">
        <f>TEXT(Table1[[#This Row],[Date]],"mmm yyyy")</f>
        <v>May 2026</v>
      </c>
      <c r="S677" s="9">
        <f>YEAR(Table1[[#This Row],[Date]])</f>
        <v>2026</v>
      </c>
      <c r="T677" s="9"/>
      <c r="U677" s="9"/>
    </row>
    <row r="678" spans="1:21" x14ac:dyDescent="0.3">
      <c r="A678" t="s">
        <v>1161</v>
      </c>
      <c r="B678" s="6">
        <v>46050</v>
      </c>
      <c r="C678" t="s">
        <v>18</v>
      </c>
      <c r="D678" t="s">
        <v>47</v>
      </c>
      <c r="E678" t="s">
        <v>20</v>
      </c>
      <c r="F678" t="s">
        <v>1162</v>
      </c>
      <c r="G678" t="s">
        <v>50</v>
      </c>
      <c r="H678" t="s">
        <v>23</v>
      </c>
      <c r="I678" t="s">
        <v>79</v>
      </c>
      <c r="J678" s="9">
        <v>1</v>
      </c>
      <c r="K678" s="7">
        <v>33900</v>
      </c>
      <c r="L678" s="7">
        <v>0</v>
      </c>
      <c r="M678" s="9"/>
      <c r="N678" s="7">
        <v>2.7</v>
      </c>
      <c r="O678" s="7"/>
      <c r="P678" s="7"/>
      <c r="Q678" t="s">
        <v>79</v>
      </c>
      <c r="R678" s="7" t="str">
        <f>TEXT(Table1[[#This Row],[Date]],"mmm yyyy")</f>
        <v>Jan 2026</v>
      </c>
      <c r="S678" s="9">
        <f>YEAR(Table1[[#This Row],[Date]])</f>
        <v>2026</v>
      </c>
      <c r="T678" s="9"/>
      <c r="U678" s="9"/>
    </row>
    <row r="679" spans="1:21" x14ac:dyDescent="0.3">
      <c r="A679" t="s">
        <v>1163</v>
      </c>
      <c r="B679" s="6">
        <v>46159</v>
      </c>
      <c r="C679" t="s">
        <v>18</v>
      </c>
      <c r="D679" t="s">
        <v>19</v>
      </c>
      <c r="E679" t="s">
        <v>37</v>
      </c>
      <c r="F679" t="s">
        <v>310</v>
      </c>
      <c r="G679" t="s">
        <v>50</v>
      </c>
      <c r="H679" t="s">
        <v>54</v>
      </c>
      <c r="I679" t="s">
        <v>45</v>
      </c>
      <c r="J679" s="9">
        <v>1</v>
      </c>
      <c r="K679" s="7">
        <v>10300</v>
      </c>
      <c r="L679" s="7">
        <v>0</v>
      </c>
      <c r="M679" s="9"/>
      <c r="N679" s="7">
        <v>21.7</v>
      </c>
      <c r="O679" s="7"/>
      <c r="P679" s="7"/>
      <c r="Q679" t="s">
        <v>45</v>
      </c>
      <c r="R679" s="7" t="str">
        <f>TEXT(Table1[[#This Row],[Date]],"mmm yyyy")</f>
        <v>May 2026</v>
      </c>
      <c r="S679" s="9">
        <f>YEAR(Table1[[#This Row],[Date]])</f>
        <v>2026</v>
      </c>
      <c r="T679" s="9"/>
      <c r="U679" s="9"/>
    </row>
    <row r="680" spans="1:21" hidden="1" x14ac:dyDescent="0.3">
      <c r="A680" t="s">
        <v>1164</v>
      </c>
      <c r="B680" s="6">
        <v>45939</v>
      </c>
      <c r="C680" t="s">
        <v>26</v>
      </c>
      <c r="D680" t="s">
        <v>114</v>
      </c>
      <c r="E680" t="s">
        <v>48</v>
      </c>
      <c r="F680" t="s">
        <v>212</v>
      </c>
      <c r="G680" t="s">
        <v>30</v>
      </c>
      <c r="J680" s="9">
        <v>0</v>
      </c>
      <c r="K680" s="7">
        <v>0</v>
      </c>
      <c r="L680" s="7">
        <v>0</v>
      </c>
      <c r="M680" s="9">
        <v>1</v>
      </c>
      <c r="N680" s="7">
        <v>10.6</v>
      </c>
      <c r="O680" s="7">
        <v>3.7</v>
      </c>
      <c r="P680" s="7">
        <v>4.2</v>
      </c>
      <c r="Q680" t="s">
        <v>31</v>
      </c>
      <c r="R680" s="7" t="str">
        <f>TEXT(Table1[[#This Row],[Date]],"mmm yyyy")</f>
        <v>Oct 2025</v>
      </c>
      <c r="S680" s="9">
        <f>YEAR(Table1[[#This Row],[Date]])</f>
        <v>2025</v>
      </c>
      <c r="T680" s="9"/>
      <c r="U680" s="9"/>
    </row>
    <row r="681" spans="1:21" hidden="1" x14ac:dyDescent="0.3">
      <c r="A681" t="s">
        <v>1165</v>
      </c>
      <c r="B681" s="6">
        <v>46233</v>
      </c>
      <c r="C681" t="s">
        <v>26</v>
      </c>
      <c r="D681" t="s">
        <v>72</v>
      </c>
      <c r="E681" t="s">
        <v>20</v>
      </c>
      <c r="F681" t="s">
        <v>1166</v>
      </c>
      <c r="G681" t="s">
        <v>22</v>
      </c>
      <c r="J681" s="9">
        <v>0</v>
      </c>
      <c r="K681" s="7">
        <v>0</v>
      </c>
      <c r="L681" s="7">
        <v>0</v>
      </c>
      <c r="M681" s="9">
        <v>1</v>
      </c>
      <c r="N681" s="7">
        <v>2.1</v>
      </c>
      <c r="O681" s="7">
        <v>26.5</v>
      </c>
      <c r="P681" s="7">
        <v>4.2</v>
      </c>
      <c r="Q681" t="s">
        <v>39</v>
      </c>
      <c r="R681" s="7" t="str">
        <f>TEXT(Table1[[#This Row],[Date]],"mmm yyyy")</f>
        <v>Jul 2026</v>
      </c>
      <c r="S681" s="9">
        <f>YEAR(Table1[[#This Row],[Date]])</f>
        <v>2026</v>
      </c>
      <c r="T681" s="9"/>
      <c r="U681" s="9"/>
    </row>
    <row r="682" spans="1:21" hidden="1" x14ac:dyDescent="0.3">
      <c r="A682" t="s">
        <v>1167</v>
      </c>
      <c r="B682" s="6">
        <v>46101</v>
      </c>
      <c r="C682" t="s">
        <v>26</v>
      </c>
      <c r="D682" t="s">
        <v>33</v>
      </c>
      <c r="E682" t="s">
        <v>37</v>
      </c>
      <c r="F682" t="s">
        <v>546</v>
      </c>
      <c r="G682" t="s">
        <v>22</v>
      </c>
      <c r="J682" s="9">
        <v>0</v>
      </c>
      <c r="K682" s="7">
        <v>0</v>
      </c>
      <c r="L682" s="7">
        <v>0</v>
      </c>
      <c r="M682" s="9">
        <v>1</v>
      </c>
      <c r="N682" s="7">
        <v>10.7</v>
      </c>
      <c r="O682" s="7">
        <v>8.9</v>
      </c>
      <c r="P682" s="7">
        <v>5</v>
      </c>
      <c r="Q682" t="s">
        <v>31</v>
      </c>
      <c r="R682" s="7" t="str">
        <f>TEXT(Table1[[#This Row],[Date]],"mmm yyyy")</f>
        <v>Mar 2026</v>
      </c>
      <c r="S682" s="9">
        <f>YEAR(Table1[[#This Row],[Date]])</f>
        <v>2026</v>
      </c>
      <c r="T682" s="9"/>
      <c r="U682" s="9"/>
    </row>
    <row r="683" spans="1:21" x14ac:dyDescent="0.3">
      <c r="A683" t="s">
        <v>1168</v>
      </c>
      <c r="B683" s="6">
        <v>46168</v>
      </c>
      <c r="C683" t="s">
        <v>18</v>
      </c>
      <c r="D683" t="s">
        <v>117</v>
      </c>
      <c r="E683" t="s">
        <v>37</v>
      </c>
      <c r="F683" t="s">
        <v>1169</v>
      </c>
      <c r="G683" t="s">
        <v>44</v>
      </c>
      <c r="H683" t="s">
        <v>23</v>
      </c>
      <c r="I683" t="s">
        <v>24</v>
      </c>
      <c r="J683" s="9">
        <v>1</v>
      </c>
      <c r="K683" s="7">
        <v>15300</v>
      </c>
      <c r="L683" s="7">
        <v>15300</v>
      </c>
      <c r="M683" s="9"/>
      <c r="N683" s="7">
        <v>7.9</v>
      </c>
      <c r="O683" s="7"/>
      <c r="P683" s="7"/>
      <c r="Q683" t="s">
        <v>24</v>
      </c>
      <c r="R683" s="7" t="str">
        <f>TEXT(Table1[[#This Row],[Date]],"mmm yyyy")</f>
        <v>May 2026</v>
      </c>
      <c r="S683" s="9">
        <f>YEAR(Table1[[#This Row],[Date]])</f>
        <v>2026</v>
      </c>
      <c r="T683" s="9"/>
      <c r="U683" s="9"/>
    </row>
    <row r="684" spans="1:21" x14ac:dyDescent="0.3">
      <c r="A684" t="s">
        <v>1170</v>
      </c>
      <c r="B684" s="6">
        <v>46162</v>
      </c>
      <c r="C684" t="s">
        <v>18</v>
      </c>
      <c r="D684" t="s">
        <v>117</v>
      </c>
      <c r="E684" t="s">
        <v>20</v>
      </c>
      <c r="F684" t="s">
        <v>1000</v>
      </c>
      <c r="G684" t="s">
        <v>50</v>
      </c>
      <c r="H684" t="s">
        <v>54</v>
      </c>
      <c r="I684" t="s">
        <v>45</v>
      </c>
      <c r="J684" s="9">
        <v>1</v>
      </c>
      <c r="K684" s="7">
        <v>41100</v>
      </c>
      <c r="L684" s="7">
        <v>0</v>
      </c>
      <c r="M684" s="9"/>
      <c r="N684" s="7">
        <v>18.600000000000001</v>
      </c>
      <c r="O684" s="7"/>
      <c r="P684" s="7"/>
      <c r="Q684" t="s">
        <v>45</v>
      </c>
      <c r="R684" s="7" t="str">
        <f>TEXT(Table1[[#This Row],[Date]],"mmm yyyy")</f>
        <v>May 2026</v>
      </c>
      <c r="S684" s="9">
        <f>YEAR(Table1[[#This Row],[Date]])</f>
        <v>2026</v>
      </c>
      <c r="T684" s="9"/>
      <c r="U684" s="9"/>
    </row>
    <row r="685" spans="1:21" hidden="1" x14ac:dyDescent="0.3">
      <c r="A685" t="s">
        <v>1171</v>
      </c>
      <c r="B685" s="6">
        <v>45947</v>
      </c>
      <c r="C685" t="s">
        <v>26</v>
      </c>
      <c r="D685" t="s">
        <v>232</v>
      </c>
      <c r="E685" t="s">
        <v>28</v>
      </c>
      <c r="F685" t="s">
        <v>554</v>
      </c>
      <c r="G685" t="s">
        <v>30</v>
      </c>
      <c r="J685" s="9">
        <v>0</v>
      </c>
      <c r="K685" s="7">
        <v>0</v>
      </c>
      <c r="L685" s="7">
        <v>0</v>
      </c>
      <c r="M685" s="9">
        <v>1</v>
      </c>
      <c r="N685" s="7">
        <v>7</v>
      </c>
      <c r="O685" s="7">
        <v>11.8</v>
      </c>
      <c r="P685" s="7">
        <v>4.0999999999999996</v>
      </c>
      <c r="Q685" t="s">
        <v>62</v>
      </c>
      <c r="R685" s="7" t="str">
        <f>TEXT(Table1[[#This Row],[Date]],"mmm yyyy")</f>
        <v>Oct 2025</v>
      </c>
      <c r="S685" s="9">
        <f>YEAR(Table1[[#This Row],[Date]])</f>
        <v>2025</v>
      </c>
      <c r="T685" s="9"/>
      <c r="U685" s="9"/>
    </row>
    <row r="686" spans="1:21" hidden="1" x14ac:dyDescent="0.3">
      <c r="A686" t="s">
        <v>1172</v>
      </c>
      <c r="B686" s="6">
        <v>46132</v>
      </c>
      <c r="C686" t="s">
        <v>26</v>
      </c>
      <c r="D686" t="s">
        <v>72</v>
      </c>
      <c r="E686" t="s">
        <v>37</v>
      </c>
      <c r="F686" t="s">
        <v>558</v>
      </c>
      <c r="G686" t="s">
        <v>22</v>
      </c>
      <c r="J686" s="9">
        <v>0</v>
      </c>
      <c r="K686" s="7">
        <v>0</v>
      </c>
      <c r="L686" s="7">
        <v>0</v>
      </c>
      <c r="M686" s="9">
        <v>1</v>
      </c>
      <c r="N686" s="7">
        <v>2.1</v>
      </c>
      <c r="O686" s="7">
        <v>12.5</v>
      </c>
      <c r="P686" s="7">
        <v>5</v>
      </c>
      <c r="Q686" t="s">
        <v>62</v>
      </c>
      <c r="R686" s="7" t="str">
        <f>TEXT(Table1[[#This Row],[Date]],"mmm yyyy")</f>
        <v>Apr 2026</v>
      </c>
      <c r="S686" s="9">
        <f>YEAR(Table1[[#This Row],[Date]])</f>
        <v>2026</v>
      </c>
      <c r="T686" s="9"/>
      <c r="U686" s="9"/>
    </row>
    <row r="687" spans="1:21" hidden="1" x14ac:dyDescent="0.3">
      <c r="A687" t="s">
        <v>1173</v>
      </c>
      <c r="B687" s="6">
        <v>46120</v>
      </c>
      <c r="C687" t="s">
        <v>26</v>
      </c>
      <c r="D687" t="s">
        <v>69</v>
      </c>
      <c r="E687" t="s">
        <v>28</v>
      </c>
      <c r="F687" t="s">
        <v>1174</v>
      </c>
      <c r="G687" t="s">
        <v>30</v>
      </c>
      <c r="J687" s="9">
        <v>0</v>
      </c>
      <c r="K687" s="7">
        <v>0</v>
      </c>
      <c r="L687" s="7">
        <v>0</v>
      </c>
      <c r="M687" s="9">
        <v>1</v>
      </c>
      <c r="N687" s="7">
        <v>11.2</v>
      </c>
      <c r="O687" s="7">
        <v>22.9</v>
      </c>
      <c r="P687" s="7">
        <v>3.5</v>
      </c>
      <c r="Q687" t="s">
        <v>225</v>
      </c>
      <c r="R687" s="7" t="str">
        <f>TEXT(Table1[[#This Row],[Date]],"mmm yyyy")</f>
        <v>Apr 2026</v>
      </c>
      <c r="S687" s="9">
        <f>YEAR(Table1[[#This Row],[Date]])</f>
        <v>2026</v>
      </c>
      <c r="T687" s="9"/>
      <c r="U687" s="9"/>
    </row>
    <row r="688" spans="1:21" hidden="1" x14ac:dyDescent="0.3">
      <c r="A688" t="s">
        <v>1175</v>
      </c>
      <c r="B688" s="6">
        <v>46064</v>
      </c>
      <c r="C688" t="s">
        <v>26</v>
      </c>
      <c r="D688" t="s">
        <v>114</v>
      </c>
      <c r="E688" t="s">
        <v>20</v>
      </c>
      <c r="F688" t="s">
        <v>1045</v>
      </c>
      <c r="G688" t="s">
        <v>22</v>
      </c>
      <c r="J688" s="9">
        <v>0</v>
      </c>
      <c r="K688" s="7">
        <v>0</v>
      </c>
      <c r="L688" s="7">
        <v>0</v>
      </c>
      <c r="M688" s="9">
        <v>1</v>
      </c>
      <c r="N688" s="7">
        <v>0.5</v>
      </c>
      <c r="O688" s="7">
        <v>10.6</v>
      </c>
      <c r="P688" s="7">
        <v>5</v>
      </c>
      <c r="Q688" t="s">
        <v>31</v>
      </c>
      <c r="R688" s="7" t="str">
        <f>TEXT(Table1[[#This Row],[Date]],"mmm yyyy")</f>
        <v>Feb 2026</v>
      </c>
      <c r="S688" s="9">
        <f>YEAR(Table1[[#This Row],[Date]])</f>
        <v>2026</v>
      </c>
      <c r="T688" s="9"/>
      <c r="U688" s="9"/>
    </row>
    <row r="689" spans="1:21" x14ac:dyDescent="0.3">
      <c r="A689" t="s">
        <v>1176</v>
      </c>
      <c r="B689" s="6">
        <v>46239</v>
      </c>
      <c r="C689" t="s">
        <v>18</v>
      </c>
      <c r="D689" t="s">
        <v>64</v>
      </c>
      <c r="E689" t="s">
        <v>48</v>
      </c>
      <c r="F689" t="s">
        <v>241</v>
      </c>
      <c r="G689" t="s">
        <v>22</v>
      </c>
      <c r="H689" t="s">
        <v>23</v>
      </c>
      <c r="I689" t="s">
        <v>45</v>
      </c>
      <c r="J689" s="9">
        <v>1</v>
      </c>
      <c r="K689" s="7">
        <v>6200</v>
      </c>
      <c r="L689" s="7">
        <v>0</v>
      </c>
      <c r="M689" s="9"/>
      <c r="N689" s="7">
        <v>14.2</v>
      </c>
      <c r="O689" s="7"/>
      <c r="P689" s="7"/>
      <c r="Q689" t="s">
        <v>45</v>
      </c>
      <c r="R689" s="7" t="str">
        <f>TEXT(Table1[[#This Row],[Date]],"mmm yyyy")</f>
        <v>Aug 2026</v>
      </c>
      <c r="S689" s="9">
        <f>YEAR(Table1[[#This Row],[Date]])</f>
        <v>2026</v>
      </c>
      <c r="T689" s="9"/>
      <c r="U689" s="9"/>
    </row>
    <row r="690" spans="1:21" hidden="1" x14ac:dyDescent="0.3">
      <c r="A690" t="s">
        <v>1177</v>
      </c>
      <c r="B690" s="6">
        <v>46251</v>
      </c>
      <c r="C690" t="s">
        <v>26</v>
      </c>
      <c r="D690" t="s">
        <v>126</v>
      </c>
      <c r="E690" t="s">
        <v>42</v>
      </c>
      <c r="F690" t="s">
        <v>1178</v>
      </c>
      <c r="G690" t="s">
        <v>50</v>
      </c>
      <c r="J690" s="9">
        <v>0</v>
      </c>
      <c r="K690" s="7">
        <v>0</v>
      </c>
      <c r="L690" s="7">
        <v>0</v>
      </c>
      <c r="M690" s="9">
        <v>1</v>
      </c>
      <c r="N690" s="7">
        <v>5.2</v>
      </c>
      <c r="O690" s="7">
        <v>7.6</v>
      </c>
      <c r="P690" s="7">
        <v>3.7</v>
      </c>
      <c r="Q690" t="s">
        <v>31</v>
      </c>
      <c r="R690" s="7" t="str">
        <f>TEXT(Table1[[#This Row],[Date]],"mmm yyyy")</f>
        <v>Aug 2026</v>
      </c>
      <c r="S690" s="9">
        <f>YEAR(Table1[[#This Row],[Date]])</f>
        <v>2026</v>
      </c>
      <c r="T690" s="9"/>
      <c r="U690" s="9"/>
    </row>
    <row r="691" spans="1:21" x14ac:dyDescent="0.3">
      <c r="A691" t="s">
        <v>1179</v>
      </c>
      <c r="B691" s="6">
        <v>46196</v>
      </c>
      <c r="C691" t="s">
        <v>18</v>
      </c>
      <c r="D691" t="s">
        <v>47</v>
      </c>
      <c r="E691" t="s">
        <v>20</v>
      </c>
      <c r="F691" t="s">
        <v>1180</v>
      </c>
      <c r="G691" t="s">
        <v>30</v>
      </c>
      <c r="H691" t="s">
        <v>23</v>
      </c>
      <c r="I691" t="s">
        <v>24</v>
      </c>
      <c r="J691" s="9">
        <v>1</v>
      </c>
      <c r="K691" s="7">
        <v>27600</v>
      </c>
      <c r="L691" s="7">
        <v>27600</v>
      </c>
      <c r="M691" s="9"/>
      <c r="N691" s="7">
        <v>11.4</v>
      </c>
      <c r="O691" s="7"/>
      <c r="P691" s="7"/>
      <c r="Q691" t="s">
        <v>24</v>
      </c>
      <c r="R691" s="7" t="str">
        <f>TEXT(Table1[[#This Row],[Date]],"mmm yyyy")</f>
        <v>Jun 2026</v>
      </c>
      <c r="S691" s="9">
        <f>YEAR(Table1[[#This Row],[Date]])</f>
        <v>2026</v>
      </c>
      <c r="T691" s="9"/>
      <c r="U691" s="9"/>
    </row>
    <row r="692" spans="1:21" x14ac:dyDescent="0.3">
      <c r="A692" t="s">
        <v>1181</v>
      </c>
      <c r="B692" s="6">
        <v>46088</v>
      </c>
      <c r="C692" t="s">
        <v>18</v>
      </c>
      <c r="D692" t="s">
        <v>41</v>
      </c>
      <c r="E692" t="s">
        <v>48</v>
      </c>
      <c r="F692" t="s">
        <v>1182</v>
      </c>
      <c r="G692" t="s">
        <v>22</v>
      </c>
      <c r="H692" t="s">
        <v>86</v>
      </c>
      <c r="I692" t="s">
        <v>24</v>
      </c>
      <c r="J692" s="9">
        <v>1</v>
      </c>
      <c r="K692" s="7">
        <v>14200</v>
      </c>
      <c r="L692" s="7">
        <v>14200</v>
      </c>
      <c r="M692" s="9"/>
      <c r="N692" s="7">
        <v>14.7</v>
      </c>
      <c r="O692" s="7"/>
      <c r="P692" s="7"/>
      <c r="Q692" t="s">
        <v>24</v>
      </c>
      <c r="R692" s="7" t="str">
        <f>TEXT(Table1[[#This Row],[Date]],"mmm yyyy")</f>
        <v>Mar 2026</v>
      </c>
      <c r="S692" s="9">
        <f>YEAR(Table1[[#This Row],[Date]])</f>
        <v>2026</v>
      </c>
      <c r="T692" s="9"/>
      <c r="U692" s="9"/>
    </row>
    <row r="693" spans="1:21" x14ac:dyDescent="0.3">
      <c r="A693" t="s">
        <v>1183</v>
      </c>
      <c r="B693" s="6">
        <v>45956</v>
      </c>
      <c r="C693" t="s">
        <v>18</v>
      </c>
      <c r="D693" t="s">
        <v>64</v>
      </c>
      <c r="E693" t="s">
        <v>37</v>
      </c>
      <c r="F693" t="s">
        <v>1184</v>
      </c>
      <c r="G693" t="s">
        <v>30</v>
      </c>
      <c r="H693" t="s">
        <v>78</v>
      </c>
      <c r="I693" t="s">
        <v>89</v>
      </c>
      <c r="J693" s="9">
        <v>1</v>
      </c>
      <c r="K693" s="7">
        <v>26200</v>
      </c>
      <c r="L693" s="7">
        <v>0</v>
      </c>
      <c r="M693" s="9"/>
      <c r="N693" s="7">
        <v>17.899999999999999</v>
      </c>
      <c r="O693" s="7"/>
      <c r="P693" s="7"/>
      <c r="Q693" t="s">
        <v>89</v>
      </c>
      <c r="R693" s="7" t="str">
        <f>TEXT(Table1[[#This Row],[Date]],"mmm yyyy")</f>
        <v>Oct 2025</v>
      </c>
      <c r="S693" s="9">
        <f>YEAR(Table1[[#This Row],[Date]])</f>
        <v>2025</v>
      </c>
      <c r="T693" s="9"/>
      <c r="U693" s="9"/>
    </row>
    <row r="694" spans="1:21" x14ac:dyDescent="0.3">
      <c r="A694" t="s">
        <v>1185</v>
      </c>
      <c r="B694" s="6">
        <v>45966</v>
      </c>
      <c r="C694" t="s">
        <v>18</v>
      </c>
      <c r="D694" t="s">
        <v>41</v>
      </c>
      <c r="E694" t="s">
        <v>42</v>
      </c>
      <c r="F694" t="s">
        <v>1186</v>
      </c>
      <c r="G694" t="s">
        <v>44</v>
      </c>
      <c r="H694" t="s">
        <v>78</v>
      </c>
      <c r="I694" t="s">
        <v>79</v>
      </c>
      <c r="J694" s="9">
        <v>1</v>
      </c>
      <c r="K694" s="7">
        <v>167900</v>
      </c>
      <c r="L694" s="7">
        <v>0</v>
      </c>
      <c r="M694" s="9"/>
      <c r="N694" s="7">
        <v>16.2</v>
      </c>
      <c r="O694" s="7"/>
      <c r="P694" s="7"/>
      <c r="Q694" t="s">
        <v>79</v>
      </c>
      <c r="R694" s="7" t="str">
        <f>TEXT(Table1[[#This Row],[Date]],"mmm yyyy")</f>
        <v>Nov 2025</v>
      </c>
      <c r="S694" s="9">
        <f>YEAR(Table1[[#This Row],[Date]])</f>
        <v>2025</v>
      </c>
      <c r="T694" s="9"/>
      <c r="U694" s="9"/>
    </row>
    <row r="695" spans="1:21" x14ac:dyDescent="0.3">
      <c r="A695" t="s">
        <v>1187</v>
      </c>
      <c r="B695" s="6">
        <v>46245</v>
      </c>
      <c r="C695" t="s">
        <v>18</v>
      </c>
      <c r="D695" t="s">
        <v>52</v>
      </c>
      <c r="E695" t="s">
        <v>28</v>
      </c>
      <c r="F695" t="s">
        <v>449</v>
      </c>
      <c r="G695" t="s">
        <v>30</v>
      </c>
      <c r="H695" t="s">
        <v>23</v>
      </c>
      <c r="I695" t="s">
        <v>55</v>
      </c>
      <c r="J695" s="9">
        <v>1</v>
      </c>
      <c r="K695" s="7">
        <v>40400</v>
      </c>
      <c r="L695" s="7">
        <v>0</v>
      </c>
      <c r="M695" s="9"/>
      <c r="N695" s="7">
        <v>9.6999999999999993</v>
      </c>
      <c r="O695" s="7"/>
      <c r="P695" s="7"/>
      <c r="Q695" t="s">
        <v>55</v>
      </c>
      <c r="R695" s="7" t="str">
        <f>TEXT(Table1[[#This Row],[Date]],"mmm yyyy")</f>
        <v>Aug 2026</v>
      </c>
      <c r="S695" s="9">
        <f>YEAR(Table1[[#This Row],[Date]])</f>
        <v>2026</v>
      </c>
      <c r="T695" s="9"/>
      <c r="U695" s="9"/>
    </row>
    <row r="696" spans="1:21" x14ac:dyDescent="0.3">
      <c r="A696" t="s">
        <v>1188</v>
      </c>
      <c r="B696" s="6">
        <v>46088</v>
      </c>
      <c r="C696" t="s">
        <v>18</v>
      </c>
      <c r="D696" t="s">
        <v>52</v>
      </c>
      <c r="E696" t="s">
        <v>28</v>
      </c>
      <c r="F696" t="s">
        <v>756</v>
      </c>
      <c r="G696" t="s">
        <v>30</v>
      </c>
      <c r="H696" t="s">
        <v>23</v>
      </c>
      <c r="I696" t="s">
        <v>55</v>
      </c>
      <c r="J696" s="9">
        <v>1</v>
      </c>
      <c r="K696" s="7">
        <v>22600</v>
      </c>
      <c r="L696" s="7">
        <v>0</v>
      </c>
      <c r="M696" s="9"/>
      <c r="N696" s="7">
        <v>17.2</v>
      </c>
      <c r="O696" s="7"/>
      <c r="P696" s="7"/>
      <c r="Q696" t="s">
        <v>55</v>
      </c>
      <c r="R696" s="7" t="str">
        <f>TEXT(Table1[[#This Row],[Date]],"mmm yyyy")</f>
        <v>Mar 2026</v>
      </c>
      <c r="S696" s="9">
        <f>YEAR(Table1[[#This Row],[Date]])</f>
        <v>2026</v>
      </c>
      <c r="T696" s="9"/>
      <c r="U696" s="9"/>
    </row>
    <row r="697" spans="1:21" hidden="1" x14ac:dyDescent="0.3">
      <c r="A697" t="s">
        <v>1189</v>
      </c>
      <c r="B697" s="6">
        <v>46221</v>
      </c>
      <c r="C697" t="s">
        <v>26</v>
      </c>
      <c r="D697" t="s">
        <v>232</v>
      </c>
      <c r="E697" t="s">
        <v>20</v>
      </c>
      <c r="F697" t="s">
        <v>53</v>
      </c>
      <c r="G697" t="s">
        <v>22</v>
      </c>
      <c r="J697" s="9">
        <v>0</v>
      </c>
      <c r="K697" s="7">
        <v>0</v>
      </c>
      <c r="L697" s="7">
        <v>0</v>
      </c>
      <c r="M697" s="9">
        <v>1</v>
      </c>
      <c r="N697" s="7">
        <v>9</v>
      </c>
      <c r="O697" s="7">
        <v>17.7</v>
      </c>
      <c r="P697" s="7">
        <v>5</v>
      </c>
      <c r="Q697" t="s">
        <v>39</v>
      </c>
      <c r="R697" s="7" t="str">
        <f>TEXT(Table1[[#This Row],[Date]],"mmm yyyy")</f>
        <v>Jul 2026</v>
      </c>
      <c r="S697" s="9">
        <f>YEAR(Table1[[#This Row],[Date]])</f>
        <v>2026</v>
      </c>
      <c r="T697" s="9"/>
      <c r="U697" s="9"/>
    </row>
    <row r="698" spans="1:21" x14ac:dyDescent="0.3">
      <c r="A698" t="s">
        <v>1190</v>
      </c>
      <c r="B698" s="6">
        <v>46038</v>
      </c>
      <c r="C698" t="s">
        <v>18</v>
      </c>
      <c r="D698" t="s">
        <v>41</v>
      </c>
      <c r="E698" t="s">
        <v>20</v>
      </c>
      <c r="F698" t="s">
        <v>981</v>
      </c>
      <c r="G698" t="s">
        <v>22</v>
      </c>
      <c r="H698" t="s">
        <v>54</v>
      </c>
      <c r="I698" t="s">
        <v>89</v>
      </c>
      <c r="J698" s="9">
        <v>1</v>
      </c>
      <c r="K698" s="7">
        <v>37300</v>
      </c>
      <c r="L698" s="7">
        <v>0</v>
      </c>
      <c r="M698" s="9"/>
      <c r="N698" s="7">
        <v>9.9</v>
      </c>
      <c r="O698" s="7"/>
      <c r="P698" s="7"/>
      <c r="Q698" t="s">
        <v>89</v>
      </c>
      <c r="R698" s="7" t="str">
        <f>TEXT(Table1[[#This Row],[Date]],"mmm yyyy")</f>
        <v>Jan 2026</v>
      </c>
      <c r="S698" s="9">
        <f>YEAR(Table1[[#This Row],[Date]])</f>
        <v>2026</v>
      </c>
      <c r="T698" s="9"/>
      <c r="U698" s="9"/>
    </row>
    <row r="699" spans="1:21" hidden="1" x14ac:dyDescent="0.3">
      <c r="A699" t="s">
        <v>1191</v>
      </c>
      <c r="B699" s="6">
        <v>46202</v>
      </c>
      <c r="C699" t="s">
        <v>26</v>
      </c>
      <c r="D699" t="s">
        <v>36</v>
      </c>
      <c r="E699" t="s">
        <v>42</v>
      </c>
      <c r="F699" t="s">
        <v>934</v>
      </c>
      <c r="G699" t="s">
        <v>30</v>
      </c>
      <c r="J699" s="9">
        <v>0</v>
      </c>
      <c r="K699" s="7">
        <v>0</v>
      </c>
      <c r="L699" s="7">
        <v>0</v>
      </c>
      <c r="M699" s="9">
        <v>1</v>
      </c>
      <c r="N699" s="7">
        <v>6.6</v>
      </c>
      <c r="O699" s="7">
        <v>2.9</v>
      </c>
      <c r="P699" s="7">
        <v>3.8</v>
      </c>
      <c r="Q699" t="s">
        <v>225</v>
      </c>
      <c r="R699" s="7" t="str">
        <f>TEXT(Table1[[#This Row],[Date]],"mmm yyyy")</f>
        <v>Jun 2026</v>
      </c>
      <c r="S699" s="9">
        <f>YEAR(Table1[[#This Row],[Date]])</f>
        <v>2026</v>
      </c>
      <c r="T699" s="9"/>
      <c r="U699" s="9"/>
    </row>
    <row r="700" spans="1:21" x14ac:dyDescent="0.3">
      <c r="A700" t="s">
        <v>1192</v>
      </c>
      <c r="B700" s="6">
        <v>46208</v>
      </c>
      <c r="C700" t="s">
        <v>18</v>
      </c>
      <c r="D700" t="s">
        <v>19</v>
      </c>
      <c r="E700" t="s">
        <v>20</v>
      </c>
      <c r="F700" t="s">
        <v>449</v>
      </c>
      <c r="G700" t="s">
        <v>22</v>
      </c>
      <c r="H700" t="s">
        <v>23</v>
      </c>
      <c r="I700" t="s">
        <v>89</v>
      </c>
      <c r="J700" s="9">
        <v>1</v>
      </c>
      <c r="K700" s="7">
        <v>37900</v>
      </c>
      <c r="L700" s="7">
        <v>0</v>
      </c>
      <c r="M700" s="9"/>
      <c r="N700" s="7">
        <v>6.5</v>
      </c>
      <c r="O700" s="7"/>
      <c r="P700" s="7"/>
      <c r="Q700" t="s">
        <v>89</v>
      </c>
      <c r="R700" s="7" t="str">
        <f>TEXT(Table1[[#This Row],[Date]],"mmm yyyy")</f>
        <v>Jul 2026</v>
      </c>
      <c r="S700" s="9">
        <f>YEAR(Table1[[#This Row],[Date]])</f>
        <v>2026</v>
      </c>
      <c r="T700" s="9"/>
      <c r="U700" s="9"/>
    </row>
    <row r="701" spans="1:21" x14ac:dyDescent="0.3">
      <c r="A701" t="s">
        <v>1193</v>
      </c>
      <c r="B701" s="6">
        <v>46255</v>
      </c>
      <c r="C701" t="s">
        <v>18</v>
      </c>
      <c r="D701" t="s">
        <v>41</v>
      </c>
      <c r="E701" t="s">
        <v>20</v>
      </c>
      <c r="F701" t="s">
        <v>1012</v>
      </c>
      <c r="G701" t="s">
        <v>30</v>
      </c>
      <c r="H701" t="s">
        <v>78</v>
      </c>
      <c r="I701" t="s">
        <v>67</v>
      </c>
      <c r="J701" s="9">
        <v>1</v>
      </c>
      <c r="K701" s="7">
        <v>30800</v>
      </c>
      <c r="L701" s="7">
        <v>0</v>
      </c>
      <c r="M701" s="9"/>
      <c r="N701" s="7">
        <v>15.2</v>
      </c>
      <c r="O701" s="7"/>
      <c r="P701" s="7"/>
      <c r="Q701" t="s">
        <v>67</v>
      </c>
      <c r="R701" s="7" t="str">
        <f>TEXT(Table1[[#This Row],[Date]],"mmm yyyy")</f>
        <v>Aug 2026</v>
      </c>
      <c r="S701" s="9">
        <f>YEAR(Table1[[#This Row],[Date]])</f>
        <v>2026</v>
      </c>
      <c r="T701" s="9"/>
      <c r="U701" s="9"/>
    </row>
    <row r="702" spans="1:21" x14ac:dyDescent="0.3">
      <c r="A702" t="s">
        <v>1194</v>
      </c>
      <c r="B702" s="6">
        <v>46135</v>
      </c>
      <c r="C702" t="s">
        <v>18</v>
      </c>
      <c r="D702" t="s">
        <v>41</v>
      </c>
      <c r="E702" t="s">
        <v>48</v>
      </c>
      <c r="F702" t="s">
        <v>320</v>
      </c>
      <c r="G702" t="s">
        <v>44</v>
      </c>
      <c r="H702" t="s">
        <v>78</v>
      </c>
      <c r="I702" t="s">
        <v>67</v>
      </c>
      <c r="J702" s="9">
        <v>1</v>
      </c>
      <c r="K702" s="7">
        <v>18100</v>
      </c>
      <c r="L702" s="7">
        <v>0</v>
      </c>
      <c r="M702" s="9"/>
      <c r="N702" s="7">
        <v>9.6999999999999993</v>
      </c>
      <c r="O702" s="7"/>
      <c r="P702" s="7"/>
      <c r="Q702" t="s">
        <v>67</v>
      </c>
      <c r="R702" s="7" t="str">
        <f>TEXT(Table1[[#This Row],[Date]],"mmm yyyy")</f>
        <v>Apr 2026</v>
      </c>
      <c r="S702" s="9">
        <f>YEAR(Table1[[#This Row],[Date]])</f>
        <v>2026</v>
      </c>
      <c r="T702" s="9"/>
      <c r="U702" s="9"/>
    </row>
    <row r="703" spans="1:21" x14ac:dyDescent="0.3">
      <c r="A703" t="s">
        <v>1195</v>
      </c>
      <c r="B703" s="6">
        <v>46060</v>
      </c>
      <c r="C703" t="s">
        <v>18</v>
      </c>
      <c r="D703" t="s">
        <v>19</v>
      </c>
      <c r="E703" t="s">
        <v>20</v>
      </c>
      <c r="F703" t="s">
        <v>893</v>
      </c>
      <c r="G703" t="s">
        <v>44</v>
      </c>
      <c r="H703" t="s">
        <v>78</v>
      </c>
      <c r="I703" t="s">
        <v>89</v>
      </c>
      <c r="J703" s="9">
        <v>1</v>
      </c>
      <c r="K703" s="7">
        <v>8300</v>
      </c>
      <c r="L703" s="7">
        <v>0</v>
      </c>
      <c r="M703" s="9"/>
      <c r="N703" s="7">
        <v>21.8</v>
      </c>
      <c r="O703" s="7"/>
      <c r="P703" s="7"/>
      <c r="Q703" t="s">
        <v>89</v>
      </c>
      <c r="R703" s="7" t="str">
        <f>TEXT(Table1[[#This Row],[Date]],"mmm yyyy")</f>
        <v>Feb 2026</v>
      </c>
      <c r="S703" s="9">
        <f>YEAR(Table1[[#This Row],[Date]])</f>
        <v>2026</v>
      </c>
      <c r="T703" s="9"/>
      <c r="U703" s="9"/>
    </row>
    <row r="704" spans="1:21" x14ac:dyDescent="0.3">
      <c r="A704" t="s">
        <v>1196</v>
      </c>
      <c r="B704" s="6">
        <v>46220</v>
      </c>
      <c r="C704" t="s">
        <v>18</v>
      </c>
      <c r="D704" t="s">
        <v>19</v>
      </c>
      <c r="E704" t="s">
        <v>20</v>
      </c>
      <c r="F704" t="s">
        <v>661</v>
      </c>
      <c r="G704" t="s">
        <v>44</v>
      </c>
      <c r="H704" t="s">
        <v>23</v>
      </c>
      <c r="I704" t="s">
        <v>55</v>
      </c>
      <c r="J704" s="9">
        <v>1</v>
      </c>
      <c r="K704" s="7">
        <v>43100</v>
      </c>
      <c r="L704" s="7">
        <v>0</v>
      </c>
      <c r="M704" s="9"/>
      <c r="N704" s="7">
        <v>5.9</v>
      </c>
      <c r="O704" s="7"/>
      <c r="P704" s="7"/>
      <c r="Q704" t="s">
        <v>55</v>
      </c>
      <c r="R704" s="7" t="str">
        <f>TEXT(Table1[[#This Row],[Date]],"mmm yyyy")</f>
        <v>Jul 2026</v>
      </c>
      <c r="S704" s="9">
        <f>YEAR(Table1[[#This Row],[Date]])</f>
        <v>2026</v>
      </c>
      <c r="T704" s="9"/>
      <c r="U704" s="9"/>
    </row>
    <row r="705" spans="1:21" x14ac:dyDescent="0.3">
      <c r="A705" t="s">
        <v>1197</v>
      </c>
      <c r="B705" s="6">
        <v>46044</v>
      </c>
      <c r="C705" t="s">
        <v>18</v>
      </c>
      <c r="D705" t="s">
        <v>41</v>
      </c>
      <c r="E705" t="s">
        <v>20</v>
      </c>
      <c r="F705" t="s">
        <v>966</v>
      </c>
      <c r="G705" t="s">
        <v>44</v>
      </c>
      <c r="H705" t="s">
        <v>78</v>
      </c>
      <c r="I705" t="s">
        <v>24</v>
      </c>
      <c r="J705" s="9">
        <v>1</v>
      </c>
      <c r="K705" s="7">
        <v>31400</v>
      </c>
      <c r="L705" s="7">
        <v>31400</v>
      </c>
      <c r="M705" s="9"/>
      <c r="N705" s="7">
        <v>7.5</v>
      </c>
      <c r="O705" s="7"/>
      <c r="P705" s="7"/>
      <c r="Q705" t="s">
        <v>24</v>
      </c>
      <c r="R705" s="7" t="str">
        <f>TEXT(Table1[[#This Row],[Date]],"mmm yyyy")</f>
        <v>Jan 2026</v>
      </c>
      <c r="S705" s="9">
        <f>YEAR(Table1[[#This Row],[Date]])</f>
        <v>2026</v>
      </c>
      <c r="T705" s="9"/>
      <c r="U705" s="9"/>
    </row>
    <row r="706" spans="1:21" x14ac:dyDescent="0.3">
      <c r="A706" t="s">
        <v>1198</v>
      </c>
      <c r="B706" s="6">
        <v>46135</v>
      </c>
      <c r="C706" t="s">
        <v>18</v>
      </c>
      <c r="D706" t="s">
        <v>47</v>
      </c>
      <c r="E706" t="s">
        <v>20</v>
      </c>
      <c r="F706" t="s">
        <v>1199</v>
      </c>
      <c r="G706" t="s">
        <v>44</v>
      </c>
      <c r="H706" t="s">
        <v>78</v>
      </c>
      <c r="I706" t="s">
        <v>79</v>
      </c>
      <c r="J706" s="9">
        <v>1</v>
      </c>
      <c r="K706" s="7">
        <v>6500</v>
      </c>
      <c r="L706" s="7">
        <v>0</v>
      </c>
      <c r="M706" s="9"/>
      <c r="N706" s="7">
        <v>0.8</v>
      </c>
      <c r="O706" s="7"/>
      <c r="P706" s="7"/>
      <c r="Q706" t="s">
        <v>79</v>
      </c>
      <c r="R706" s="7" t="str">
        <f>TEXT(Table1[[#This Row],[Date]],"mmm yyyy")</f>
        <v>Apr 2026</v>
      </c>
      <c r="S706" s="9">
        <f>YEAR(Table1[[#This Row],[Date]])</f>
        <v>2026</v>
      </c>
      <c r="T706" s="9"/>
      <c r="U706" s="9"/>
    </row>
    <row r="707" spans="1:21" hidden="1" x14ac:dyDescent="0.3">
      <c r="A707" t="s">
        <v>1200</v>
      </c>
      <c r="B707" s="6">
        <v>46084</v>
      </c>
      <c r="C707" t="s">
        <v>26</v>
      </c>
      <c r="D707" t="s">
        <v>27</v>
      </c>
      <c r="E707" t="s">
        <v>48</v>
      </c>
      <c r="F707" t="s">
        <v>1201</v>
      </c>
      <c r="G707" t="s">
        <v>50</v>
      </c>
      <c r="J707" s="9">
        <v>0</v>
      </c>
      <c r="K707" s="7">
        <v>0</v>
      </c>
      <c r="L707" s="7">
        <v>0</v>
      </c>
      <c r="M707" s="9">
        <v>1</v>
      </c>
      <c r="N707" s="7">
        <v>2.4</v>
      </c>
      <c r="O707" s="7">
        <v>3.2</v>
      </c>
      <c r="P707" s="7">
        <v>3.6</v>
      </c>
      <c r="Q707" t="s">
        <v>39</v>
      </c>
      <c r="R707" s="7" t="str">
        <f>TEXT(Table1[[#This Row],[Date]],"mmm yyyy")</f>
        <v>Mar 2026</v>
      </c>
      <c r="S707" s="9">
        <f>YEAR(Table1[[#This Row],[Date]])</f>
        <v>2026</v>
      </c>
      <c r="T707" s="9"/>
      <c r="U707" s="9"/>
    </row>
    <row r="708" spans="1:21" x14ac:dyDescent="0.3">
      <c r="A708" t="s">
        <v>1202</v>
      </c>
      <c r="B708" s="6">
        <v>46164</v>
      </c>
      <c r="C708" t="s">
        <v>18</v>
      </c>
      <c r="D708" t="s">
        <v>41</v>
      </c>
      <c r="E708" t="s">
        <v>28</v>
      </c>
      <c r="F708" t="s">
        <v>222</v>
      </c>
      <c r="G708" t="s">
        <v>30</v>
      </c>
      <c r="H708" t="s">
        <v>78</v>
      </c>
      <c r="I708" t="s">
        <v>79</v>
      </c>
      <c r="J708" s="9">
        <v>1</v>
      </c>
      <c r="K708" s="7">
        <v>7900</v>
      </c>
      <c r="L708" s="7">
        <v>0</v>
      </c>
      <c r="M708" s="9"/>
      <c r="N708" s="7">
        <v>0.9</v>
      </c>
      <c r="O708" s="7"/>
      <c r="P708" s="7"/>
      <c r="Q708" t="s">
        <v>79</v>
      </c>
      <c r="R708" s="7" t="str">
        <f>TEXT(Table1[[#This Row],[Date]],"mmm yyyy")</f>
        <v>May 2026</v>
      </c>
      <c r="S708" s="9">
        <f>YEAR(Table1[[#This Row],[Date]])</f>
        <v>2026</v>
      </c>
      <c r="T708" s="9"/>
      <c r="U708" s="9"/>
    </row>
    <row r="709" spans="1:21" hidden="1" x14ac:dyDescent="0.3">
      <c r="A709" t="s">
        <v>1203</v>
      </c>
      <c r="B709" s="6">
        <v>45904</v>
      </c>
      <c r="C709" t="s">
        <v>26</v>
      </c>
      <c r="D709" t="s">
        <v>232</v>
      </c>
      <c r="E709" t="s">
        <v>20</v>
      </c>
      <c r="F709" t="s">
        <v>297</v>
      </c>
      <c r="G709" t="s">
        <v>30</v>
      </c>
      <c r="J709" s="9">
        <v>0</v>
      </c>
      <c r="K709" s="7">
        <v>0</v>
      </c>
      <c r="L709" s="7">
        <v>0</v>
      </c>
      <c r="M709" s="9">
        <v>1</v>
      </c>
      <c r="N709" s="7">
        <v>6.6</v>
      </c>
      <c r="O709" s="7">
        <v>10.6</v>
      </c>
      <c r="P709" s="7">
        <v>3.7</v>
      </c>
      <c r="Q709" t="s">
        <v>39</v>
      </c>
      <c r="R709" s="7" t="str">
        <f>TEXT(Table1[[#This Row],[Date]],"mmm yyyy")</f>
        <v>Sep 2025</v>
      </c>
      <c r="S709" s="9">
        <f>YEAR(Table1[[#This Row],[Date]])</f>
        <v>2025</v>
      </c>
      <c r="T709" s="9"/>
      <c r="U709" s="9"/>
    </row>
    <row r="710" spans="1:21" x14ac:dyDescent="0.3">
      <c r="A710" t="s">
        <v>1204</v>
      </c>
      <c r="B710" s="6">
        <v>46001</v>
      </c>
      <c r="C710" t="s">
        <v>18</v>
      </c>
      <c r="D710" t="s">
        <v>41</v>
      </c>
      <c r="E710" t="s">
        <v>20</v>
      </c>
      <c r="F710" t="s">
        <v>1205</v>
      </c>
      <c r="G710" t="s">
        <v>22</v>
      </c>
      <c r="H710" t="s">
        <v>23</v>
      </c>
      <c r="I710" t="s">
        <v>24</v>
      </c>
      <c r="J710" s="9">
        <v>1</v>
      </c>
      <c r="K710" s="7">
        <v>45300</v>
      </c>
      <c r="L710" s="7">
        <v>45300</v>
      </c>
      <c r="M710" s="9"/>
      <c r="N710" s="7">
        <v>23.6</v>
      </c>
      <c r="O710" s="7"/>
      <c r="P710" s="7"/>
      <c r="Q710" t="s">
        <v>24</v>
      </c>
      <c r="R710" s="7" t="str">
        <f>TEXT(Table1[[#This Row],[Date]],"mmm yyyy")</f>
        <v>Dec 2025</v>
      </c>
      <c r="S710" s="9">
        <f>YEAR(Table1[[#This Row],[Date]])</f>
        <v>2025</v>
      </c>
      <c r="T710" s="9"/>
      <c r="U710" s="9"/>
    </row>
    <row r="711" spans="1:21" hidden="1" x14ac:dyDescent="0.3">
      <c r="A711" t="s">
        <v>1206</v>
      </c>
      <c r="B711" s="6">
        <v>45921</v>
      </c>
      <c r="C711" t="s">
        <v>26</v>
      </c>
      <c r="D711" t="s">
        <v>69</v>
      </c>
      <c r="E711" t="s">
        <v>28</v>
      </c>
      <c r="F711" t="s">
        <v>744</v>
      </c>
      <c r="G711" t="s">
        <v>44</v>
      </c>
      <c r="J711" s="9">
        <v>0</v>
      </c>
      <c r="K711" s="7">
        <v>0</v>
      </c>
      <c r="L711" s="7">
        <v>0</v>
      </c>
      <c r="M711" s="9">
        <v>1</v>
      </c>
      <c r="N711" s="7">
        <v>9.1</v>
      </c>
      <c r="O711" s="7">
        <v>5</v>
      </c>
      <c r="P711" s="7">
        <v>4.0999999999999996</v>
      </c>
      <c r="Q711" t="s">
        <v>39</v>
      </c>
      <c r="R711" s="7" t="str">
        <f>TEXT(Table1[[#This Row],[Date]],"mmm yyyy")</f>
        <v>Sep 2025</v>
      </c>
      <c r="S711" s="9">
        <f>YEAR(Table1[[#This Row],[Date]])</f>
        <v>2025</v>
      </c>
      <c r="T711" s="9"/>
      <c r="U711" s="9"/>
    </row>
    <row r="712" spans="1:21" hidden="1" x14ac:dyDescent="0.3">
      <c r="A712" t="s">
        <v>1207</v>
      </c>
      <c r="B712" s="6">
        <v>46236</v>
      </c>
      <c r="C712" t="s">
        <v>26</v>
      </c>
      <c r="D712" t="s">
        <v>72</v>
      </c>
      <c r="E712" t="s">
        <v>28</v>
      </c>
      <c r="F712" t="s">
        <v>164</v>
      </c>
      <c r="G712" t="s">
        <v>44</v>
      </c>
      <c r="J712" s="9">
        <v>0</v>
      </c>
      <c r="K712" s="7">
        <v>0</v>
      </c>
      <c r="L712" s="7">
        <v>0</v>
      </c>
      <c r="M712" s="9">
        <v>1</v>
      </c>
      <c r="N712" s="7">
        <v>8.1</v>
      </c>
      <c r="O712" s="7">
        <v>5.4</v>
      </c>
      <c r="P712" s="7">
        <v>4.0999999999999996</v>
      </c>
      <c r="Q712" t="s">
        <v>225</v>
      </c>
      <c r="R712" s="7" t="str">
        <f>TEXT(Table1[[#This Row],[Date]],"mmm yyyy")</f>
        <v>Aug 2026</v>
      </c>
      <c r="S712" s="9">
        <f>YEAR(Table1[[#This Row],[Date]])</f>
        <v>2026</v>
      </c>
      <c r="T712" s="9"/>
      <c r="U712" s="9"/>
    </row>
    <row r="713" spans="1:21" hidden="1" x14ac:dyDescent="0.3">
      <c r="A713" t="s">
        <v>1208</v>
      </c>
      <c r="B713" s="6">
        <v>45949</v>
      </c>
      <c r="C713" t="s">
        <v>26</v>
      </c>
      <c r="D713" t="s">
        <v>232</v>
      </c>
      <c r="E713" t="s">
        <v>20</v>
      </c>
      <c r="F713" t="s">
        <v>346</v>
      </c>
      <c r="G713" t="s">
        <v>22</v>
      </c>
      <c r="J713" s="9">
        <v>0</v>
      </c>
      <c r="K713" s="7">
        <v>0</v>
      </c>
      <c r="L713" s="7">
        <v>0</v>
      </c>
      <c r="M713" s="9">
        <v>1</v>
      </c>
      <c r="N713" s="7">
        <v>1.5</v>
      </c>
      <c r="O713" s="7">
        <v>23.3</v>
      </c>
      <c r="P713" s="7">
        <v>5</v>
      </c>
      <c r="Q713" t="s">
        <v>225</v>
      </c>
      <c r="R713" s="7" t="str">
        <f>TEXT(Table1[[#This Row],[Date]],"mmm yyyy")</f>
        <v>Oct 2025</v>
      </c>
      <c r="S713" s="9">
        <f>YEAR(Table1[[#This Row],[Date]])</f>
        <v>2025</v>
      </c>
      <c r="T713" s="9"/>
      <c r="U713" s="9"/>
    </row>
    <row r="714" spans="1:21" x14ac:dyDescent="0.3">
      <c r="A714" t="s">
        <v>1209</v>
      </c>
      <c r="B714" s="6">
        <v>45951</v>
      </c>
      <c r="C714" t="s">
        <v>18</v>
      </c>
      <c r="D714" t="s">
        <v>41</v>
      </c>
      <c r="E714" t="s">
        <v>20</v>
      </c>
      <c r="F714" t="s">
        <v>1210</v>
      </c>
      <c r="G714" t="s">
        <v>30</v>
      </c>
      <c r="H714" t="s">
        <v>23</v>
      </c>
      <c r="I714" t="s">
        <v>55</v>
      </c>
      <c r="J714" s="9">
        <v>1</v>
      </c>
      <c r="K714" s="7">
        <v>9900</v>
      </c>
      <c r="L714" s="7">
        <v>0</v>
      </c>
      <c r="M714" s="9"/>
      <c r="N714" s="7">
        <v>2.7</v>
      </c>
      <c r="O714" s="7"/>
      <c r="P714" s="7"/>
      <c r="Q714" t="s">
        <v>55</v>
      </c>
      <c r="R714" s="7" t="str">
        <f>TEXT(Table1[[#This Row],[Date]],"mmm yyyy")</f>
        <v>Oct 2025</v>
      </c>
      <c r="S714" s="9">
        <f>YEAR(Table1[[#This Row],[Date]])</f>
        <v>2025</v>
      </c>
      <c r="T714" s="9"/>
      <c r="U714" s="9"/>
    </row>
    <row r="715" spans="1:21" x14ac:dyDescent="0.3">
      <c r="A715" t="s">
        <v>1211</v>
      </c>
      <c r="B715" s="6">
        <v>46256</v>
      </c>
      <c r="C715" t="s">
        <v>18</v>
      </c>
      <c r="D715" t="s">
        <v>95</v>
      </c>
      <c r="E715" t="s">
        <v>28</v>
      </c>
      <c r="F715" t="s">
        <v>603</v>
      </c>
      <c r="G715" t="s">
        <v>22</v>
      </c>
      <c r="H715" t="s">
        <v>78</v>
      </c>
      <c r="I715" t="s">
        <v>55</v>
      </c>
      <c r="J715" s="9">
        <v>1</v>
      </c>
      <c r="K715" s="7">
        <v>159300</v>
      </c>
      <c r="L715" s="7">
        <v>0</v>
      </c>
      <c r="M715" s="9"/>
      <c r="N715" s="7">
        <v>8.9</v>
      </c>
      <c r="O715" s="7"/>
      <c r="P715" s="7"/>
      <c r="Q715" t="s">
        <v>55</v>
      </c>
      <c r="R715" s="7" t="str">
        <f>TEXT(Table1[[#This Row],[Date]],"mmm yyyy")</f>
        <v>Aug 2026</v>
      </c>
      <c r="S715" s="9">
        <f>YEAR(Table1[[#This Row],[Date]])</f>
        <v>2026</v>
      </c>
      <c r="T715" s="9"/>
      <c r="U715" s="9"/>
    </row>
    <row r="716" spans="1:21" x14ac:dyDescent="0.3">
      <c r="A716" t="s">
        <v>1212</v>
      </c>
      <c r="B716" s="6">
        <v>46180</v>
      </c>
      <c r="C716" t="s">
        <v>18</v>
      </c>
      <c r="D716" t="s">
        <v>19</v>
      </c>
      <c r="E716" t="s">
        <v>20</v>
      </c>
      <c r="F716" t="s">
        <v>140</v>
      </c>
      <c r="G716" t="s">
        <v>22</v>
      </c>
      <c r="H716" t="s">
        <v>66</v>
      </c>
      <c r="I716" t="s">
        <v>45</v>
      </c>
      <c r="J716" s="9">
        <v>1</v>
      </c>
      <c r="K716" s="7">
        <v>27600</v>
      </c>
      <c r="L716" s="7">
        <v>0</v>
      </c>
      <c r="M716" s="9"/>
      <c r="N716" s="7">
        <v>3.8</v>
      </c>
      <c r="O716" s="7"/>
      <c r="P716" s="7"/>
      <c r="Q716" t="s">
        <v>45</v>
      </c>
      <c r="R716" s="7" t="str">
        <f>TEXT(Table1[[#This Row],[Date]],"mmm yyyy")</f>
        <v>Jun 2026</v>
      </c>
      <c r="S716" s="9">
        <f>YEAR(Table1[[#This Row],[Date]])</f>
        <v>2026</v>
      </c>
      <c r="T716" s="9"/>
      <c r="U716" s="9"/>
    </row>
    <row r="717" spans="1:21" hidden="1" x14ac:dyDescent="0.3">
      <c r="A717" t="s">
        <v>1213</v>
      </c>
      <c r="B717" s="6">
        <v>46058</v>
      </c>
      <c r="C717" t="s">
        <v>26</v>
      </c>
      <c r="D717" t="s">
        <v>69</v>
      </c>
      <c r="E717" t="s">
        <v>42</v>
      </c>
      <c r="F717" t="s">
        <v>326</v>
      </c>
      <c r="G717" t="s">
        <v>22</v>
      </c>
      <c r="J717" s="9">
        <v>0</v>
      </c>
      <c r="K717" s="7">
        <v>0</v>
      </c>
      <c r="L717" s="7">
        <v>0</v>
      </c>
      <c r="M717" s="9">
        <v>1</v>
      </c>
      <c r="N717" s="7">
        <v>11.4</v>
      </c>
      <c r="O717" s="7">
        <v>4.9000000000000004</v>
      </c>
      <c r="P717" s="7">
        <v>4.2</v>
      </c>
      <c r="Q717" t="s">
        <v>39</v>
      </c>
      <c r="R717" s="7" t="str">
        <f>TEXT(Table1[[#This Row],[Date]],"mmm yyyy")</f>
        <v>Feb 2026</v>
      </c>
      <c r="S717" s="9">
        <f>YEAR(Table1[[#This Row],[Date]])</f>
        <v>2026</v>
      </c>
      <c r="T717" s="9"/>
      <c r="U717" s="9"/>
    </row>
    <row r="718" spans="1:21" hidden="1" x14ac:dyDescent="0.3">
      <c r="A718" t="s">
        <v>1214</v>
      </c>
      <c r="B718" s="6">
        <v>46031</v>
      </c>
      <c r="C718" t="s">
        <v>26</v>
      </c>
      <c r="D718" t="s">
        <v>232</v>
      </c>
      <c r="E718" t="s">
        <v>28</v>
      </c>
      <c r="F718" t="s">
        <v>1000</v>
      </c>
      <c r="G718" t="s">
        <v>50</v>
      </c>
      <c r="J718" s="9">
        <v>0</v>
      </c>
      <c r="K718" s="7">
        <v>0</v>
      </c>
      <c r="L718" s="7">
        <v>0</v>
      </c>
      <c r="M718" s="9">
        <v>1</v>
      </c>
      <c r="N718" s="7">
        <v>12</v>
      </c>
      <c r="O718" s="7">
        <v>4.5</v>
      </c>
      <c r="P718" s="7">
        <v>4.7</v>
      </c>
      <c r="Q718" t="s">
        <v>62</v>
      </c>
      <c r="R718" s="7" t="str">
        <f>TEXT(Table1[[#This Row],[Date]],"mmm yyyy")</f>
        <v>Jan 2026</v>
      </c>
      <c r="S718" s="9">
        <f>YEAR(Table1[[#This Row],[Date]])</f>
        <v>2026</v>
      </c>
      <c r="T718" s="9"/>
      <c r="U718" s="9"/>
    </row>
    <row r="719" spans="1:21" hidden="1" x14ac:dyDescent="0.3">
      <c r="A719" t="s">
        <v>1215</v>
      </c>
      <c r="B719" s="6">
        <v>45924</v>
      </c>
      <c r="C719" t="s">
        <v>26</v>
      </c>
      <c r="D719" t="s">
        <v>36</v>
      </c>
      <c r="E719" t="s">
        <v>20</v>
      </c>
      <c r="F719" t="s">
        <v>1063</v>
      </c>
      <c r="G719" t="s">
        <v>22</v>
      </c>
      <c r="J719" s="9">
        <v>0</v>
      </c>
      <c r="K719" s="7">
        <v>0</v>
      </c>
      <c r="L719" s="7">
        <v>0</v>
      </c>
      <c r="M719" s="9">
        <v>1</v>
      </c>
      <c r="N719" s="7">
        <v>0.4</v>
      </c>
      <c r="O719" s="7">
        <v>21</v>
      </c>
      <c r="P719" s="7">
        <v>4.8</v>
      </c>
      <c r="Q719" t="s">
        <v>31</v>
      </c>
      <c r="R719" s="7" t="str">
        <f>TEXT(Table1[[#This Row],[Date]],"mmm yyyy")</f>
        <v>Sep 2025</v>
      </c>
      <c r="S719" s="9">
        <f>YEAR(Table1[[#This Row],[Date]])</f>
        <v>2025</v>
      </c>
      <c r="T719" s="9"/>
      <c r="U719" s="9"/>
    </row>
    <row r="720" spans="1:21" x14ac:dyDescent="0.3">
      <c r="A720" t="s">
        <v>1216</v>
      </c>
      <c r="B720" s="6">
        <v>46193</v>
      </c>
      <c r="C720" t="s">
        <v>18</v>
      </c>
      <c r="D720" t="s">
        <v>117</v>
      </c>
      <c r="E720" t="s">
        <v>42</v>
      </c>
      <c r="F720" t="s">
        <v>1217</v>
      </c>
      <c r="G720" t="s">
        <v>50</v>
      </c>
      <c r="H720" t="s">
        <v>23</v>
      </c>
      <c r="I720" t="s">
        <v>67</v>
      </c>
      <c r="J720" s="9">
        <v>1</v>
      </c>
      <c r="K720" s="7">
        <v>40500</v>
      </c>
      <c r="L720" s="7">
        <v>0</v>
      </c>
      <c r="M720" s="9"/>
      <c r="N720" s="7">
        <v>17.2</v>
      </c>
      <c r="O720" s="7"/>
      <c r="P720" s="7"/>
      <c r="Q720" t="s">
        <v>67</v>
      </c>
      <c r="R720" s="7" t="str">
        <f>TEXT(Table1[[#This Row],[Date]],"mmm yyyy")</f>
        <v>Jun 2026</v>
      </c>
      <c r="S720" s="9">
        <f>YEAR(Table1[[#This Row],[Date]])</f>
        <v>2026</v>
      </c>
      <c r="T720" s="9"/>
      <c r="U720" s="9"/>
    </row>
    <row r="721" spans="1:21" hidden="1" x14ac:dyDescent="0.3">
      <c r="A721" t="s">
        <v>1218</v>
      </c>
      <c r="B721" s="6">
        <v>46027</v>
      </c>
      <c r="C721" t="s">
        <v>26</v>
      </c>
      <c r="D721" t="s">
        <v>69</v>
      </c>
      <c r="E721" t="s">
        <v>48</v>
      </c>
      <c r="F721" t="s">
        <v>250</v>
      </c>
      <c r="G721" t="s">
        <v>22</v>
      </c>
      <c r="J721" s="9">
        <v>0</v>
      </c>
      <c r="K721" s="7">
        <v>0</v>
      </c>
      <c r="L721" s="7">
        <v>0</v>
      </c>
      <c r="M721" s="9">
        <v>1</v>
      </c>
      <c r="N721" s="7">
        <v>5.3</v>
      </c>
      <c r="O721" s="7">
        <v>11.4</v>
      </c>
      <c r="P721" s="7">
        <v>4.8</v>
      </c>
      <c r="Q721" t="s">
        <v>39</v>
      </c>
      <c r="R721" s="7" t="str">
        <f>TEXT(Table1[[#This Row],[Date]],"mmm yyyy")</f>
        <v>Jan 2026</v>
      </c>
      <c r="S721" s="9">
        <f>YEAR(Table1[[#This Row],[Date]])</f>
        <v>2026</v>
      </c>
      <c r="T721" s="9"/>
      <c r="U721" s="9"/>
    </row>
    <row r="722" spans="1:21" hidden="1" x14ac:dyDescent="0.3">
      <c r="A722" t="s">
        <v>1219</v>
      </c>
      <c r="B722" s="6">
        <v>46164</v>
      </c>
      <c r="C722" t="s">
        <v>26</v>
      </c>
      <c r="D722" t="s">
        <v>126</v>
      </c>
      <c r="E722" t="s">
        <v>28</v>
      </c>
      <c r="F722" t="s">
        <v>208</v>
      </c>
      <c r="G722" t="s">
        <v>22</v>
      </c>
      <c r="J722" s="9">
        <v>0</v>
      </c>
      <c r="K722" s="7">
        <v>0</v>
      </c>
      <c r="L722" s="7">
        <v>0</v>
      </c>
      <c r="M722" s="9">
        <v>1</v>
      </c>
      <c r="N722" s="7">
        <v>3.4</v>
      </c>
      <c r="O722" s="7">
        <v>4.5999999999999996</v>
      </c>
      <c r="P722" s="7">
        <v>4.5999999999999996</v>
      </c>
      <c r="Q722" t="s">
        <v>39</v>
      </c>
      <c r="R722" s="7" t="str">
        <f>TEXT(Table1[[#This Row],[Date]],"mmm yyyy")</f>
        <v>May 2026</v>
      </c>
      <c r="S722" s="9">
        <f>YEAR(Table1[[#This Row],[Date]])</f>
        <v>2026</v>
      </c>
      <c r="T722" s="9"/>
      <c r="U722" s="9"/>
    </row>
    <row r="723" spans="1:21" x14ac:dyDescent="0.3">
      <c r="A723" t="s">
        <v>1220</v>
      </c>
      <c r="B723" s="6">
        <v>46236</v>
      </c>
      <c r="C723" t="s">
        <v>18</v>
      </c>
      <c r="D723" t="s">
        <v>52</v>
      </c>
      <c r="E723" t="s">
        <v>20</v>
      </c>
      <c r="F723" t="s">
        <v>809</v>
      </c>
      <c r="G723" t="s">
        <v>44</v>
      </c>
      <c r="H723" t="s">
        <v>23</v>
      </c>
      <c r="I723" t="s">
        <v>24</v>
      </c>
      <c r="J723" s="9">
        <v>1</v>
      </c>
      <c r="K723" s="7">
        <v>17000</v>
      </c>
      <c r="L723" s="7">
        <v>17000</v>
      </c>
      <c r="M723" s="9"/>
      <c r="N723" s="7">
        <v>2.8</v>
      </c>
      <c r="O723" s="7"/>
      <c r="P723" s="7"/>
      <c r="Q723" t="s">
        <v>24</v>
      </c>
      <c r="R723" s="7" t="str">
        <f>TEXT(Table1[[#This Row],[Date]],"mmm yyyy")</f>
        <v>Aug 2026</v>
      </c>
      <c r="S723" s="9">
        <f>YEAR(Table1[[#This Row],[Date]])</f>
        <v>2026</v>
      </c>
      <c r="T723" s="9"/>
      <c r="U723" s="9"/>
    </row>
    <row r="724" spans="1:21" x14ac:dyDescent="0.3">
      <c r="A724" t="s">
        <v>1221</v>
      </c>
      <c r="B724" s="6">
        <v>46054</v>
      </c>
      <c r="C724" t="s">
        <v>18</v>
      </c>
      <c r="D724" t="s">
        <v>47</v>
      </c>
      <c r="E724" t="s">
        <v>20</v>
      </c>
      <c r="F724" t="s">
        <v>262</v>
      </c>
      <c r="G724" t="s">
        <v>44</v>
      </c>
      <c r="H724" t="s">
        <v>23</v>
      </c>
      <c r="I724" t="s">
        <v>55</v>
      </c>
      <c r="J724" s="9">
        <v>1</v>
      </c>
      <c r="K724" s="7">
        <v>16200</v>
      </c>
      <c r="L724" s="7">
        <v>0</v>
      </c>
      <c r="M724" s="9"/>
      <c r="N724" s="7">
        <v>16.3</v>
      </c>
      <c r="O724" s="7"/>
      <c r="P724" s="7"/>
      <c r="Q724" t="s">
        <v>55</v>
      </c>
      <c r="R724" s="7" t="str">
        <f>TEXT(Table1[[#This Row],[Date]],"mmm yyyy")</f>
        <v>Feb 2026</v>
      </c>
      <c r="S724" s="9">
        <f>YEAR(Table1[[#This Row],[Date]])</f>
        <v>2026</v>
      </c>
      <c r="T724" s="9"/>
      <c r="U724" s="9"/>
    </row>
    <row r="725" spans="1:21" hidden="1" x14ac:dyDescent="0.3">
      <c r="A725" t="s">
        <v>1222</v>
      </c>
      <c r="B725" s="6">
        <v>46141</v>
      </c>
      <c r="C725" t="s">
        <v>26</v>
      </c>
      <c r="D725" t="s">
        <v>27</v>
      </c>
      <c r="E725" t="s">
        <v>37</v>
      </c>
      <c r="F725" t="s">
        <v>1223</v>
      </c>
      <c r="G725" t="s">
        <v>44</v>
      </c>
      <c r="J725" s="9">
        <v>0</v>
      </c>
      <c r="K725" s="7">
        <v>0</v>
      </c>
      <c r="L725" s="7">
        <v>0</v>
      </c>
      <c r="M725" s="9">
        <v>1</v>
      </c>
      <c r="N725" s="7">
        <v>9.3000000000000007</v>
      </c>
      <c r="O725" s="7">
        <v>33.5</v>
      </c>
      <c r="P725" s="7">
        <v>4.2</v>
      </c>
      <c r="Q725" t="s">
        <v>39</v>
      </c>
      <c r="R725" s="7" t="str">
        <f>TEXT(Table1[[#This Row],[Date]],"mmm yyyy")</f>
        <v>Apr 2026</v>
      </c>
      <c r="S725" s="9">
        <f>YEAR(Table1[[#This Row],[Date]])</f>
        <v>2026</v>
      </c>
      <c r="T725" s="9"/>
      <c r="U725" s="9"/>
    </row>
    <row r="726" spans="1:21" hidden="1" x14ac:dyDescent="0.3">
      <c r="A726" t="s">
        <v>1224</v>
      </c>
      <c r="B726" s="6">
        <v>45921</v>
      </c>
      <c r="C726" t="s">
        <v>26</v>
      </c>
      <c r="D726" t="s">
        <v>33</v>
      </c>
      <c r="E726" t="s">
        <v>20</v>
      </c>
      <c r="F726" t="s">
        <v>676</v>
      </c>
      <c r="G726" t="s">
        <v>44</v>
      </c>
      <c r="J726" s="9">
        <v>0</v>
      </c>
      <c r="K726" s="7">
        <v>0</v>
      </c>
      <c r="L726" s="7">
        <v>0</v>
      </c>
      <c r="M726" s="9">
        <v>1</v>
      </c>
      <c r="N726" s="7">
        <v>5</v>
      </c>
      <c r="O726" s="7">
        <v>5.4</v>
      </c>
      <c r="P726" s="7">
        <v>3.7</v>
      </c>
      <c r="Q726" t="s">
        <v>31</v>
      </c>
      <c r="R726" s="7" t="str">
        <f>TEXT(Table1[[#This Row],[Date]],"mmm yyyy")</f>
        <v>Sep 2025</v>
      </c>
      <c r="S726" s="9">
        <f>YEAR(Table1[[#This Row],[Date]])</f>
        <v>2025</v>
      </c>
      <c r="T726" s="9"/>
      <c r="U726" s="9"/>
    </row>
    <row r="727" spans="1:21" hidden="1" x14ac:dyDescent="0.3">
      <c r="A727" t="s">
        <v>1225</v>
      </c>
      <c r="B727" s="6">
        <v>45961</v>
      </c>
      <c r="C727" t="s">
        <v>26</v>
      </c>
      <c r="D727" t="s">
        <v>126</v>
      </c>
      <c r="E727" t="s">
        <v>28</v>
      </c>
      <c r="F727" t="s">
        <v>396</v>
      </c>
      <c r="G727" t="s">
        <v>22</v>
      </c>
      <c r="J727" s="9">
        <v>0</v>
      </c>
      <c r="K727" s="7">
        <v>0</v>
      </c>
      <c r="L727" s="7">
        <v>0</v>
      </c>
      <c r="M727" s="9">
        <v>1</v>
      </c>
      <c r="N727" s="7">
        <v>7.4</v>
      </c>
      <c r="O727" s="7">
        <v>16.600000000000001</v>
      </c>
      <c r="P727" s="7">
        <v>3</v>
      </c>
      <c r="Q727" t="s">
        <v>31</v>
      </c>
      <c r="R727" s="7" t="str">
        <f>TEXT(Table1[[#This Row],[Date]],"mmm yyyy")</f>
        <v>Oct 2025</v>
      </c>
      <c r="S727" s="9">
        <f>YEAR(Table1[[#This Row],[Date]])</f>
        <v>2025</v>
      </c>
      <c r="T727" s="9"/>
      <c r="U727" s="9"/>
    </row>
    <row r="728" spans="1:21" x14ac:dyDescent="0.3">
      <c r="A728" t="s">
        <v>1226</v>
      </c>
      <c r="B728" s="6">
        <v>45921</v>
      </c>
      <c r="C728" t="s">
        <v>18</v>
      </c>
      <c r="D728" t="s">
        <v>47</v>
      </c>
      <c r="E728" t="s">
        <v>20</v>
      </c>
      <c r="F728" t="s">
        <v>761</v>
      </c>
      <c r="G728" t="s">
        <v>22</v>
      </c>
      <c r="H728" t="s">
        <v>86</v>
      </c>
      <c r="I728" t="s">
        <v>79</v>
      </c>
      <c r="J728" s="9">
        <v>1</v>
      </c>
      <c r="K728" s="7">
        <v>15000</v>
      </c>
      <c r="L728" s="7">
        <v>0</v>
      </c>
      <c r="M728" s="9"/>
      <c r="N728" s="7">
        <v>23.5</v>
      </c>
      <c r="O728" s="7"/>
      <c r="P728" s="7"/>
      <c r="Q728" t="s">
        <v>79</v>
      </c>
      <c r="R728" s="7" t="str">
        <f>TEXT(Table1[[#This Row],[Date]],"mmm yyyy")</f>
        <v>Sep 2025</v>
      </c>
      <c r="S728" s="9">
        <f>YEAR(Table1[[#This Row],[Date]])</f>
        <v>2025</v>
      </c>
      <c r="T728" s="9"/>
      <c r="U728" s="9"/>
    </row>
    <row r="729" spans="1:21" hidden="1" x14ac:dyDescent="0.3">
      <c r="A729" t="s">
        <v>1227</v>
      </c>
      <c r="B729" s="6">
        <v>46092</v>
      </c>
      <c r="C729" t="s">
        <v>26</v>
      </c>
      <c r="D729" t="s">
        <v>72</v>
      </c>
      <c r="E729" t="s">
        <v>42</v>
      </c>
      <c r="F729" t="s">
        <v>1003</v>
      </c>
      <c r="G729" t="s">
        <v>22</v>
      </c>
      <c r="J729" s="9">
        <v>0</v>
      </c>
      <c r="K729" s="7">
        <v>0</v>
      </c>
      <c r="L729" s="7">
        <v>0</v>
      </c>
      <c r="M729" s="9">
        <v>1</v>
      </c>
      <c r="N729" s="7">
        <v>9</v>
      </c>
      <c r="O729" s="7">
        <v>12.7</v>
      </c>
      <c r="P729" s="7">
        <v>3.6</v>
      </c>
      <c r="Q729" t="s">
        <v>39</v>
      </c>
      <c r="R729" s="7" t="str">
        <f>TEXT(Table1[[#This Row],[Date]],"mmm yyyy")</f>
        <v>Mar 2026</v>
      </c>
      <c r="S729" s="9">
        <f>YEAR(Table1[[#This Row],[Date]])</f>
        <v>2026</v>
      </c>
      <c r="T729" s="9"/>
      <c r="U729" s="9"/>
    </row>
    <row r="730" spans="1:21" x14ac:dyDescent="0.3">
      <c r="A730" t="s">
        <v>1228</v>
      </c>
      <c r="B730" s="6">
        <v>45976</v>
      </c>
      <c r="C730" t="s">
        <v>18</v>
      </c>
      <c r="D730" t="s">
        <v>41</v>
      </c>
      <c r="E730" t="s">
        <v>20</v>
      </c>
      <c r="F730" t="s">
        <v>286</v>
      </c>
      <c r="G730" t="s">
        <v>50</v>
      </c>
      <c r="H730" t="s">
        <v>86</v>
      </c>
      <c r="I730" t="s">
        <v>24</v>
      </c>
      <c r="J730" s="9">
        <v>1</v>
      </c>
      <c r="K730" s="7">
        <v>13600</v>
      </c>
      <c r="L730" s="7">
        <v>13600</v>
      </c>
      <c r="M730" s="9"/>
      <c r="N730" s="7">
        <v>4.8</v>
      </c>
      <c r="O730" s="7"/>
      <c r="P730" s="7"/>
      <c r="Q730" t="s">
        <v>24</v>
      </c>
      <c r="R730" s="7" t="str">
        <f>TEXT(Table1[[#This Row],[Date]],"mmm yyyy")</f>
        <v>Nov 2025</v>
      </c>
      <c r="S730" s="9">
        <f>YEAR(Table1[[#This Row],[Date]])</f>
        <v>2025</v>
      </c>
      <c r="T730" s="9"/>
      <c r="U730" s="9"/>
    </row>
    <row r="731" spans="1:21" x14ac:dyDescent="0.3">
      <c r="A731" t="s">
        <v>1229</v>
      </c>
      <c r="B731" s="6">
        <v>46033</v>
      </c>
      <c r="C731" t="s">
        <v>18</v>
      </c>
      <c r="D731" t="s">
        <v>105</v>
      </c>
      <c r="E731" t="s">
        <v>48</v>
      </c>
      <c r="F731" t="s">
        <v>1230</v>
      </c>
      <c r="G731" t="s">
        <v>22</v>
      </c>
      <c r="H731" t="s">
        <v>54</v>
      </c>
      <c r="I731" t="s">
        <v>79</v>
      </c>
      <c r="J731" s="9">
        <v>1</v>
      </c>
      <c r="K731" s="7">
        <v>55600</v>
      </c>
      <c r="L731" s="7">
        <v>0</v>
      </c>
      <c r="M731" s="9"/>
      <c r="N731" s="7">
        <v>4.5</v>
      </c>
      <c r="O731" s="7"/>
      <c r="P731" s="7"/>
      <c r="Q731" t="s">
        <v>79</v>
      </c>
      <c r="R731" s="7" t="str">
        <f>TEXT(Table1[[#This Row],[Date]],"mmm yyyy")</f>
        <v>Jan 2026</v>
      </c>
      <c r="S731" s="9">
        <f>YEAR(Table1[[#This Row],[Date]])</f>
        <v>2026</v>
      </c>
      <c r="T731" s="9"/>
      <c r="U731" s="9"/>
    </row>
    <row r="732" spans="1:21" x14ac:dyDescent="0.3">
      <c r="A732" t="s">
        <v>1231</v>
      </c>
      <c r="B732" s="6">
        <v>46005</v>
      </c>
      <c r="C732" t="s">
        <v>18</v>
      </c>
      <c r="D732" t="s">
        <v>47</v>
      </c>
      <c r="E732" t="s">
        <v>20</v>
      </c>
      <c r="F732" t="s">
        <v>127</v>
      </c>
      <c r="G732" t="s">
        <v>30</v>
      </c>
      <c r="H732" t="s">
        <v>78</v>
      </c>
      <c r="I732" t="s">
        <v>45</v>
      </c>
      <c r="J732" s="9">
        <v>1</v>
      </c>
      <c r="K732" s="7">
        <v>71700</v>
      </c>
      <c r="L732" s="7">
        <v>0</v>
      </c>
      <c r="M732" s="9"/>
      <c r="N732" s="7">
        <v>16.600000000000001</v>
      </c>
      <c r="O732" s="7"/>
      <c r="P732" s="7"/>
      <c r="Q732" t="s">
        <v>45</v>
      </c>
      <c r="R732" s="7" t="str">
        <f>TEXT(Table1[[#This Row],[Date]],"mmm yyyy")</f>
        <v>Dec 2025</v>
      </c>
      <c r="S732" s="9">
        <f>YEAR(Table1[[#This Row],[Date]])</f>
        <v>2025</v>
      </c>
      <c r="T732" s="9"/>
      <c r="U732" s="9"/>
    </row>
    <row r="733" spans="1:21" hidden="1" x14ac:dyDescent="0.3">
      <c r="A733" t="s">
        <v>1232</v>
      </c>
      <c r="B733" s="6">
        <v>45987</v>
      </c>
      <c r="C733" t="s">
        <v>26</v>
      </c>
      <c r="D733" t="s">
        <v>232</v>
      </c>
      <c r="E733" t="s">
        <v>20</v>
      </c>
      <c r="F733" t="s">
        <v>713</v>
      </c>
      <c r="G733" t="s">
        <v>44</v>
      </c>
      <c r="J733" s="9">
        <v>0</v>
      </c>
      <c r="K733" s="7">
        <v>0</v>
      </c>
      <c r="L733" s="7">
        <v>0</v>
      </c>
      <c r="M733" s="9">
        <v>1</v>
      </c>
      <c r="N733" s="7">
        <v>6.4</v>
      </c>
      <c r="O733" s="7">
        <v>16.5</v>
      </c>
      <c r="P733" s="7">
        <v>3.7</v>
      </c>
      <c r="Q733" t="s">
        <v>225</v>
      </c>
      <c r="R733" s="7" t="str">
        <f>TEXT(Table1[[#This Row],[Date]],"mmm yyyy")</f>
        <v>Nov 2025</v>
      </c>
      <c r="S733" s="9">
        <f>YEAR(Table1[[#This Row],[Date]])</f>
        <v>2025</v>
      </c>
      <c r="T733" s="9"/>
      <c r="U733" s="9"/>
    </row>
    <row r="734" spans="1:21" hidden="1" x14ac:dyDescent="0.3">
      <c r="A734" t="s">
        <v>1233</v>
      </c>
      <c r="B734" s="6">
        <v>46192</v>
      </c>
      <c r="C734" t="s">
        <v>26</v>
      </c>
      <c r="D734" t="s">
        <v>72</v>
      </c>
      <c r="E734" t="s">
        <v>37</v>
      </c>
      <c r="F734" t="s">
        <v>663</v>
      </c>
      <c r="G734" t="s">
        <v>44</v>
      </c>
      <c r="J734" s="9">
        <v>0</v>
      </c>
      <c r="K734" s="7">
        <v>0</v>
      </c>
      <c r="L734" s="7">
        <v>0</v>
      </c>
      <c r="M734" s="9">
        <v>1</v>
      </c>
      <c r="N734" s="7">
        <v>0.7</v>
      </c>
      <c r="O734" s="7">
        <v>28.9</v>
      </c>
      <c r="P734" s="7">
        <v>3.6</v>
      </c>
      <c r="Q734" t="s">
        <v>31</v>
      </c>
      <c r="R734" s="7" t="str">
        <f>TEXT(Table1[[#This Row],[Date]],"mmm yyyy")</f>
        <v>Jun 2026</v>
      </c>
      <c r="S734" s="9">
        <f>YEAR(Table1[[#This Row],[Date]])</f>
        <v>2026</v>
      </c>
      <c r="T734" s="9"/>
      <c r="U734" s="9"/>
    </row>
    <row r="735" spans="1:21" x14ac:dyDescent="0.3">
      <c r="A735" t="s">
        <v>1234</v>
      </c>
      <c r="B735" s="6">
        <v>46231</v>
      </c>
      <c r="C735" t="s">
        <v>18</v>
      </c>
      <c r="D735" t="s">
        <v>117</v>
      </c>
      <c r="E735" t="s">
        <v>20</v>
      </c>
      <c r="F735" t="s">
        <v>771</v>
      </c>
      <c r="G735" t="s">
        <v>22</v>
      </c>
      <c r="H735" t="s">
        <v>86</v>
      </c>
      <c r="I735" t="s">
        <v>89</v>
      </c>
      <c r="J735" s="9">
        <v>1</v>
      </c>
      <c r="K735" s="7">
        <v>7800</v>
      </c>
      <c r="L735" s="7">
        <v>0</v>
      </c>
      <c r="M735" s="9"/>
      <c r="N735" s="7">
        <v>19.5</v>
      </c>
      <c r="O735" s="7"/>
      <c r="P735" s="7"/>
      <c r="Q735" t="s">
        <v>89</v>
      </c>
      <c r="R735" s="7" t="str">
        <f>TEXT(Table1[[#This Row],[Date]],"mmm yyyy")</f>
        <v>Jul 2026</v>
      </c>
      <c r="S735" s="9">
        <f>YEAR(Table1[[#This Row],[Date]])</f>
        <v>2026</v>
      </c>
      <c r="T735" s="9"/>
      <c r="U735" s="9"/>
    </row>
    <row r="736" spans="1:21" x14ac:dyDescent="0.3">
      <c r="A736" t="s">
        <v>1235</v>
      </c>
      <c r="B736" s="6">
        <v>46232</v>
      </c>
      <c r="C736" t="s">
        <v>18</v>
      </c>
      <c r="D736" t="s">
        <v>64</v>
      </c>
      <c r="E736" t="s">
        <v>20</v>
      </c>
      <c r="F736" t="s">
        <v>1081</v>
      </c>
      <c r="G736" t="s">
        <v>30</v>
      </c>
      <c r="H736" t="s">
        <v>86</v>
      </c>
      <c r="I736" t="s">
        <v>89</v>
      </c>
      <c r="J736" s="9">
        <v>1</v>
      </c>
      <c r="K736" s="7">
        <v>78900</v>
      </c>
      <c r="L736" s="7">
        <v>0</v>
      </c>
      <c r="M736" s="9"/>
      <c r="N736" s="7">
        <v>18.600000000000001</v>
      </c>
      <c r="O736" s="7"/>
      <c r="P736" s="7"/>
      <c r="Q736" t="s">
        <v>89</v>
      </c>
      <c r="R736" s="7" t="str">
        <f>TEXT(Table1[[#This Row],[Date]],"mmm yyyy")</f>
        <v>Jul 2026</v>
      </c>
      <c r="S736" s="9">
        <f>YEAR(Table1[[#This Row],[Date]])</f>
        <v>2026</v>
      </c>
      <c r="T736" s="9"/>
      <c r="U736" s="9"/>
    </row>
    <row r="737" spans="1:21" hidden="1" x14ac:dyDescent="0.3">
      <c r="A737" t="s">
        <v>1236</v>
      </c>
      <c r="B737" s="6">
        <v>45914</v>
      </c>
      <c r="C737" t="s">
        <v>26</v>
      </c>
      <c r="D737" t="s">
        <v>232</v>
      </c>
      <c r="E737" t="s">
        <v>20</v>
      </c>
      <c r="F737" t="s">
        <v>554</v>
      </c>
      <c r="G737" t="s">
        <v>44</v>
      </c>
      <c r="J737" s="9">
        <v>0</v>
      </c>
      <c r="K737" s="7">
        <v>0</v>
      </c>
      <c r="L737" s="7">
        <v>0</v>
      </c>
      <c r="M737" s="9">
        <v>1</v>
      </c>
      <c r="N737" s="7">
        <v>5</v>
      </c>
      <c r="O737" s="7">
        <v>13.9</v>
      </c>
      <c r="P737" s="7">
        <v>4.0999999999999996</v>
      </c>
      <c r="Q737" t="s">
        <v>39</v>
      </c>
      <c r="R737" s="7" t="str">
        <f>TEXT(Table1[[#This Row],[Date]],"mmm yyyy")</f>
        <v>Sep 2025</v>
      </c>
      <c r="S737" s="9">
        <f>YEAR(Table1[[#This Row],[Date]])</f>
        <v>2025</v>
      </c>
      <c r="T737" s="9"/>
      <c r="U737" s="9"/>
    </row>
    <row r="738" spans="1:21" x14ac:dyDescent="0.3">
      <c r="A738" t="s">
        <v>1237</v>
      </c>
      <c r="B738" s="6">
        <v>46210</v>
      </c>
      <c r="C738" t="s">
        <v>18</v>
      </c>
      <c r="D738" t="s">
        <v>105</v>
      </c>
      <c r="E738" t="s">
        <v>48</v>
      </c>
      <c r="F738" t="s">
        <v>600</v>
      </c>
      <c r="G738" t="s">
        <v>22</v>
      </c>
      <c r="H738" t="s">
        <v>54</v>
      </c>
      <c r="I738" t="s">
        <v>24</v>
      </c>
      <c r="J738" s="9">
        <v>1</v>
      </c>
      <c r="K738" s="7">
        <v>11000</v>
      </c>
      <c r="L738" s="7">
        <v>11000</v>
      </c>
      <c r="M738" s="9"/>
      <c r="N738" s="7">
        <v>7.2</v>
      </c>
      <c r="O738" s="7"/>
      <c r="P738" s="7"/>
      <c r="Q738" t="s">
        <v>24</v>
      </c>
      <c r="R738" s="7" t="str">
        <f>TEXT(Table1[[#This Row],[Date]],"mmm yyyy")</f>
        <v>Jul 2026</v>
      </c>
      <c r="S738" s="9">
        <f>YEAR(Table1[[#This Row],[Date]])</f>
        <v>2026</v>
      </c>
      <c r="T738" s="9"/>
      <c r="U738" s="9"/>
    </row>
    <row r="739" spans="1:21" hidden="1" x14ac:dyDescent="0.3">
      <c r="A739" t="s">
        <v>1238</v>
      </c>
      <c r="B739" s="6">
        <v>46023</v>
      </c>
      <c r="C739" t="s">
        <v>26</v>
      </c>
      <c r="D739" t="s">
        <v>27</v>
      </c>
      <c r="E739" t="s">
        <v>42</v>
      </c>
      <c r="F739" t="s">
        <v>1239</v>
      </c>
      <c r="G739" t="s">
        <v>22</v>
      </c>
      <c r="J739" s="9">
        <v>0</v>
      </c>
      <c r="K739" s="7">
        <v>0</v>
      </c>
      <c r="L739" s="7">
        <v>0</v>
      </c>
      <c r="M739" s="9">
        <v>1</v>
      </c>
      <c r="N739" s="7">
        <v>9.4</v>
      </c>
      <c r="O739" s="7">
        <v>7.8</v>
      </c>
      <c r="P739" s="7">
        <v>4.4000000000000004</v>
      </c>
      <c r="Q739" t="s">
        <v>39</v>
      </c>
      <c r="R739" s="7" t="str">
        <f>TEXT(Table1[[#This Row],[Date]],"mmm yyyy")</f>
        <v>Jan 2026</v>
      </c>
      <c r="S739" s="9">
        <f>YEAR(Table1[[#This Row],[Date]])</f>
        <v>2026</v>
      </c>
      <c r="T739" s="9"/>
      <c r="U739" s="9"/>
    </row>
    <row r="740" spans="1:21" x14ac:dyDescent="0.3">
      <c r="A740" t="s">
        <v>1240</v>
      </c>
      <c r="B740" s="6">
        <v>46242</v>
      </c>
      <c r="C740" t="s">
        <v>18</v>
      </c>
      <c r="D740" t="s">
        <v>41</v>
      </c>
      <c r="E740" t="s">
        <v>20</v>
      </c>
      <c r="F740" t="s">
        <v>934</v>
      </c>
      <c r="G740" t="s">
        <v>30</v>
      </c>
      <c r="H740" t="s">
        <v>54</v>
      </c>
      <c r="I740" t="s">
        <v>79</v>
      </c>
      <c r="J740" s="9">
        <v>1</v>
      </c>
      <c r="K740" s="7">
        <v>5900</v>
      </c>
      <c r="L740" s="7">
        <v>0</v>
      </c>
      <c r="M740" s="9"/>
      <c r="N740" s="7">
        <v>1.4</v>
      </c>
      <c r="O740" s="7"/>
      <c r="P740" s="7"/>
      <c r="Q740" t="s">
        <v>79</v>
      </c>
      <c r="R740" s="7" t="str">
        <f>TEXT(Table1[[#This Row],[Date]],"mmm yyyy")</f>
        <v>Aug 2026</v>
      </c>
      <c r="S740" s="9">
        <f>YEAR(Table1[[#This Row],[Date]])</f>
        <v>2026</v>
      </c>
      <c r="T740" s="9"/>
      <c r="U740" s="9"/>
    </row>
    <row r="741" spans="1:21" x14ac:dyDescent="0.3">
      <c r="A741" t="s">
        <v>1241</v>
      </c>
      <c r="B741" s="6">
        <v>46218</v>
      </c>
      <c r="C741" t="s">
        <v>18</v>
      </c>
      <c r="D741" t="s">
        <v>19</v>
      </c>
      <c r="E741" t="s">
        <v>42</v>
      </c>
      <c r="F741" t="s">
        <v>138</v>
      </c>
      <c r="G741" t="s">
        <v>50</v>
      </c>
      <c r="H741" t="s">
        <v>78</v>
      </c>
      <c r="I741" t="s">
        <v>45</v>
      </c>
      <c r="J741" s="9">
        <v>1</v>
      </c>
      <c r="K741" s="7">
        <v>7000</v>
      </c>
      <c r="L741" s="7">
        <v>0</v>
      </c>
      <c r="M741" s="9"/>
      <c r="N741" s="7">
        <v>6.4</v>
      </c>
      <c r="O741" s="7"/>
      <c r="P741" s="7"/>
      <c r="Q741" t="s">
        <v>45</v>
      </c>
      <c r="R741" s="7" t="str">
        <f>TEXT(Table1[[#This Row],[Date]],"mmm yyyy")</f>
        <v>Jul 2026</v>
      </c>
      <c r="S741" s="9">
        <f>YEAR(Table1[[#This Row],[Date]])</f>
        <v>2026</v>
      </c>
      <c r="T741" s="9"/>
      <c r="U741" s="9"/>
    </row>
    <row r="742" spans="1:21" x14ac:dyDescent="0.3">
      <c r="A742" t="s">
        <v>1242</v>
      </c>
      <c r="B742" s="6">
        <v>46207</v>
      </c>
      <c r="C742" t="s">
        <v>18</v>
      </c>
      <c r="D742" t="s">
        <v>47</v>
      </c>
      <c r="E742" t="s">
        <v>37</v>
      </c>
      <c r="F742" t="s">
        <v>445</v>
      </c>
      <c r="G742" t="s">
        <v>22</v>
      </c>
      <c r="H742" t="s">
        <v>86</v>
      </c>
      <c r="I742" t="s">
        <v>24</v>
      </c>
      <c r="J742" s="9">
        <v>1</v>
      </c>
      <c r="K742" s="7">
        <v>50200</v>
      </c>
      <c r="L742" s="7">
        <v>50200</v>
      </c>
      <c r="M742" s="9"/>
      <c r="N742" s="7">
        <v>3.5</v>
      </c>
      <c r="O742" s="7"/>
      <c r="P742" s="7"/>
      <c r="Q742" t="s">
        <v>24</v>
      </c>
      <c r="R742" s="7" t="str">
        <f>TEXT(Table1[[#This Row],[Date]],"mmm yyyy")</f>
        <v>Jul 2026</v>
      </c>
      <c r="S742" s="9">
        <f>YEAR(Table1[[#This Row],[Date]])</f>
        <v>2026</v>
      </c>
      <c r="T742" s="9"/>
      <c r="U742" s="9"/>
    </row>
    <row r="743" spans="1:21" x14ac:dyDescent="0.3">
      <c r="A743" t="s">
        <v>1243</v>
      </c>
      <c r="B743" s="6">
        <v>46172</v>
      </c>
      <c r="C743" t="s">
        <v>18</v>
      </c>
      <c r="D743" t="s">
        <v>52</v>
      </c>
      <c r="E743" t="s">
        <v>48</v>
      </c>
      <c r="F743" t="s">
        <v>689</v>
      </c>
      <c r="G743" t="s">
        <v>44</v>
      </c>
      <c r="H743" t="s">
        <v>78</v>
      </c>
      <c r="I743" t="s">
        <v>79</v>
      </c>
      <c r="J743" s="9">
        <v>1</v>
      </c>
      <c r="K743" s="7">
        <v>22000</v>
      </c>
      <c r="L743" s="7">
        <v>0</v>
      </c>
      <c r="M743" s="9"/>
      <c r="N743" s="7">
        <v>2.6</v>
      </c>
      <c r="O743" s="7"/>
      <c r="P743" s="7"/>
      <c r="Q743" t="s">
        <v>79</v>
      </c>
      <c r="R743" s="7" t="str">
        <f>TEXT(Table1[[#This Row],[Date]],"mmm yyyy")</f>
        <v>May 2026</v>
      </c>
      <c r="S743" s="9">
        <f>YEAR(Table1[[#This Row],[Date]])</f>
        <v>2026</v>
      </c>
      <c r="T743" s="9"/>
      <c r="U743" s="9"/>
    </row>
    <row r="744" spans="1:21" hidden="1" x14ac:dyDescent="0.3">
      <c r="A744" t="s">
        <v>1244</v>
      </c>
      <c r="B744" s="6">
        <v>45954</v>
      </c>
      <c r="C744" t="s">
        <v>26</v>
      </c>
      <c r="D744" t="s">
        <v>126</v>
      </c>
      <c r="E744" t="s">
        <v>20</v>
      </c>
      <c r="F744" t="s">
        <v>896</v>
      </c>
      <c r="G744" t="s">
        <v>30</v>
      </c>
      <c r="J744" s="9">
        <v>0</v>
      </c>
      <c r="K744" s="7">
        <v>0</v>
      </c>
      <c r="L744" s="7">
        <v>0</v>
      </c>
      <c r="M744" s="9">
        <v>1</v>
      </c>
      <c r="N744" s="7">
        <v>2.4</v>
      </c>
      <c r="O744" s="7">
        <v>10.4</v>
      </c>
      <c r="P744" s="7">
        <v>4.5</v>
      </c>
      <c r="Q744" t="s">
        <v>39</v>
      </c>
      <c r="R744" s="7" t="str">
        <f>TEXT(Table1[[#This Row],[Date]],"mmm yyyy")</f>
        <v>Oct 2025</v>
      </c>
      <c r="S744" s="9">
        <f>YEAR(Table1[[#This Row],[Date]])</f>
        <v>2025</v>
      </c>
      <c r="T744" s="9"/>
      <c r="U744" s="9"/>
    </row>
    <row r="745" spans="1:21" x14ac:dyDescent="0.3">
      <c r="A745" t="s">
        <v>1245</v>
      </c>
      <c r="B745" s="6">
        <v>46211</v>
      </c>
      <c r="C745" t="s">
        <v>18</v>
      </c>
      <c r="D745" t="s">
        <v>41</v>
      </c>
      <c r="E745" t="s">
        <v>37</v>
      </c>
      <c r="F745" t="s">
        <v>1201</v>
      </c>
      <c r="G745" t="s">
        <v>44</v>
      </c>
      <c r="H745" t="s">
        <v>23</v>
      </c>
      <c r="I745" t="s">
        <v>55</v>
      </c>
      <c r="J745" s="9">
        <v>1</v>
      </c>
      <c r="K745" s="7">
        <v>15800</v>
      </c>
      <c r="L745" s="7">
        <v>0</v>
      </c>
      <c r="M745" s="9"/>
      <c r="N745" s="7">
        <v>22.5</v>
      </c>
      <c r="O745" s="7"/>
      <c r="P745" s="7"/>
      <c r="Q745" t="s">
        <v>55</v>
      </c>
      <c r="R745" s="7" t="str">
        <f>TEXT(Table1[[#This Row],[Date]],"mmm yyyy")</f>
        <v>Jul 2026</v>
      </c>
      <c r="S745" s="9">
        <f>YEAR(Table1[[#This Row],[Date]])</f>
        <v>2026</v>
      </c>
      <c r="T745" s="9"/>
      <c r="U745" s="9"/>
    </row>
    <row r="746" spans="1:21" x14ac:dyDescent="0.3">
      <c r="A746" t="s">
        <v>1246</v>
      </c>
      <c r="B746" s="6">
        <v>46022</v>
      </c>
      <c r="C746" t="s">
        <v>18</v>
      </c>
      <c r="D746" t="s">
        <v>19</v>
      </c>
      <c r="E746" t="s">
        <v>20</v>
      </c>
      <c r="F746" t="s">
        <v>510</v>
      </c>
      <c r="G746" t="s">
        <v>22</v>
      </c>
      <c r="H746" t="s">
        <v>78</v>
      </c>
      <c r="I746" t="s">
        <v>89</v>
      </c>
      <c r="J746" s="9">
        <v>1</v>
      </c>
      <c r="K746" s="7">
        <v>14100</v>
      </c>
      <c r="L746" s="7">
        <v>0</v>
      </c>
      <c r="M746" s="9"/>
      <c r="N746" s="7">
        <v>9.4</v>
      </c>
      <c r="O746" s="7"/>
      <c r="P746" s="7"/>
      <c r="Q746" t="s">
        <v>89</v>
      </c>
      <c r="R746" s="7" t="str">
        <f>TEXT(Table1[[#This Row],[Date]],"mmm yyyy")</f>
        <v>Dec 2025</v>
      </c>
      <c r="S746" s="9">
        <f>YEAR(Table1[[#This Row],[Date]])</f>
        <v>2025</v>
      </c>
      <c r="T746" s="9"/>
      <c r="U746" s="9"/>
    </row>
    <row r="747" spans="1:21" hidden="1" x14ac:dyDescent="0.3">
      <c r="A747" t="s">
        <v>1247</v>
      </c>
      <c r="B747" s="6">
        <v>46100</v>
      </c>
      <c r="C747" t="s">
        <v>26</v>
      </c>
      <c r="D747" t="s">
        <v>33</v>
      </c>
      <c r="E747" t="s">
        <v>37</v>
      </c>
      <c r="F747" t="s">
        <v>907</v>
      </c>
      <c r="G747" t="s">
        <v>30</v>
      </c>
      <c r="J747" s="9">
        <v>0</v>
      </c>
      <c r="K747" s="7">
        <v>0</v>
      </c>
      <c r="L747" s="7">
        <v>0</v>
      </c>
      <c r="M747" s="9">
        <v>1</v>
      </c>
      <c r="N747" s="7">
        <v>8.1999999999999993</v>
      </c>
      <c r="O747" s="7">
        <v>4.0999999999999996</v>
      </c>
      <c r="P747" s="7">
        <v>3.9</v>
      </c>
      <c r="Q747" t="s">
        <v>31</v>
      </c>
      <c r="R747" s="7" t="str">
        <f>TEXT(Table1[[#This Row],[Date]],"mmm yyyy")</f>
        <v>Mar 2026</v>
      </c>
      <c r="S747" s="9">
        <f>YEAR(Table1[[#This Row],[Date]])</f>
        <v>2026</v>
      </c>
      <c r="T747" s="9"/>
      <c r="U747" s="9"/>
    </row>
    <row r="748" spans="1:21" x14ac:dyDescent="0.3">
      <c r="A748" t="s">
        <v>1248</v>
      </c>
      <c r="B748" s="6">
        <v>45901</v>
      </c>
      <c r="C748" t="s">
        <v>18</v>
      </c>
      <c r="D748" t="s">
        <v>105</v>
      </c>
      <c r="E748" t="s">
        <v>20</v>
      </c>
      <c r="F748" t="s">
        <v>1249</v>
      </c>
      <c r="G748" t="s">
        <v>22</v>
      </c>
      <c r="H748" t="s">
        <v>23</v>
      </c>
      <c r="I748" t="s">
        <v>24</v>
      </c>
      <c r="J748" s="9">
        <v>1</v>
      </c>
      <c r="K748" s="7">
        <v>22700</v>
      </c>
      <c r="L748" s="7">
        <v>22700</v>
      </c>
      <c r="M748" s="9"/>
      <c r="N748" s="7">
        <v>9.4</v>
      </c>
      <c r="O748" s="7"/>
      <c r="P748" s="7"/>
      <c r="Q748" t="s">
        <v>24</v>
      </c>
      <c r="R748" s="7" t="str">
        <f>TEXT(Table1[[#This Row],[Date]],"mmm yyyy")</f>
        <v>Sep 2025</v>
      </c>
      <c r="S748" s="9">
        <f>YEAR(Table1[[#This Row],[Date]])</f>
        <v>2025</v>
      </c>
      <c r="T748" s="9"/>
      <c r="U748" s="9"/>
    </row>
    <row r="749" spans="1:21" x14ac:dyDescent="0.3">
      <c r="A749" t="s">
        <v>1250</v>
      </c>
      <c r="B749" s="6">
        <v>46112</v>
      </c>
      <c r="C749" t="s">
        <v>18</v>
      </c>
      <c r="D749" t="s">
        <v>105</v>
      </c>
      <c r="E749" t="s">
        <v>20</v>
      </c>
      <c r="F749" t="s">
        <v>138</v>
      </c>
      <c r="G749" t="s">
        <v>44</v>
      </c>
      <c r="H749" t="s">
        <v>23</v>
      </c>
      <c r="I749" t="s">
        <v>79</v>
      </c>
      <c r="J749" s="9">
        <v>1</v>
      </c>
      <c r="K749" s="7">
        <v>17400</v>
      </c>
      <c r="L749" s="7">
        <v>0</v>
      </c>
      <c r="M749" s="9"/>
      <c r="N749" s="7">
        <v>5</v>
      </c>
      <c r="O749" s="7"/>
      <c r="P749" s="7"/>
      <c r="Q749" t="s">
        <v>79</v>
      </c>
      <c r="R749" s="7" t="str">
        <f>TEXT(Table1[[#This Row],[Date]],"mmm yyyy")</f>
        <v>Mar 2026</v>
      </c>
      <c r="S749" s="9">
        <f>YEAR(Table1[[#This Row],[Date]])</f>
        <v>2026</v>
      </c>
      <c r="T749" s="9"/>
      <c r="U749" s="9"/>
    </row>
    <row r="750" spans="1:21" hidden="1" x14ac:dyDescent="0.3">
      <c r="A750" t="s">
        <v>1251</v>
      </c>
      <c r="B750" s="6">
        <v>46163</v>
      </c>
      <c r="C750" t="s">
        <v>26</v>
      </c>
      <c r="D750" t="s">
        <v>114</v>
      </c>
      <c r="E750" t="s">
        <v>20</v>
      </c>
      <c r="F750" t="s">
        <v>805</v>
      </c>
      <c r="G750" t="s">
        <v>22</v>
      </c>
      <c r="J750" s="9">
        <v>0</v>
      </c>
      <c r="K750" s="7">
        <v>0</v>
      </c>
      <c r="L750" s="7">
        <v>0</v>
      </c>
      <c r="M750" s="9">
        <v>1</v>
      </c>
      <c r="N750" s="7">
        <v>7</v>
      </c>
      <c r="O750" s="7">
        <v>2.1</v>
      </c>
      <c r="P750" s="7">
        <v>4.3</v>
      </c>
      <c r="Q750" t="s">
        <v>39</v>
      </c>
      <c r="R750" s="7" t="str">
        <f>TEXT(Table1[[#This Row],[Date]],"mmm yyyy")</f>
        <v>May 2026</v>
      </c>
      <c r="S750" s="9">
        <f>YEAR(Table1[[#This Row],[Date]])</f>
        <v>2026</v>
      </c>
      <c r="T750" s="9"/>
      <c r="U750" s="9"/>
    </row>
    <row r="751" spans="1:21" hidden="1" x14ac:dyDescent="0.3">
      <c r="A751" t="s">
        <v>1252</v>
      </c>
      <c r="B751" s="6">
        <v>46156</v>
      </c>
      <c r="C751" t="s">
        <v>26</v>
      </c>
      <c r="D751" t="s">
        <v>69</v>
      </c>
      <c r="E751" t="s">
        <v>20</v>
      </c>
      <c r="F751" t="s">
        <v>912</v>
      </c>
      <c r="G751" t="s">
        <v>50</v>
      </c>
      <c r="J751" s="9">
        <v>0</v>
      </c>
      <c r="K751" s="7">
        <v>0</v>
      </c>
      <c r="L751" s="7">
        <v>0</v>
      </c>
      <c r="M751" s="9">
        <v>1</v>
      </c>
      <c r="N751" s="7">
        <v>1.3</v>
      </c>
      <c r="O751" s="7">
        <v>3.2</v>
      </c>
      <c r="P751" s="7">
        <v>5</v>
      </c>
      <c r="Q751" t="s">
        <v>225</v>
      </c>
      <c r="R751" s="7" t="str">
        <f>TEXT(Table1[[#This Row],[Date]],"mmm yyyy")</f>
        <v>May 2026</v>
      </c>
      <c r="S751" s="9">
        <f>YEAR(Table1[[#This Row],[Date]])</f>
        <v>2026</v>
      </c>
      <c r="T751" s="9"/>
      <c r="U751" s="9"/>
    </row>
    <row r="752" spans="1:21" x14ac:dyDescent="0.3">
      <c r="A752" t="s">
        <v>1253</v>
      </c>
      <c r="B752" s="6">
        <v>46218</v>
      </c>
      <c r="C752" t="s">
        <v>18</v>
      </c>
      <c r="D752" t="s">
        <v>117</v>
      </c>
      <c r="E752" t="s">
        <v>20</v>
      </c>
      <c r="F752" t="s">
        <v>1254</v>
      </c>
      <c r="G752" t="s">
        <v>50</v>
      </c>
      <c r="H752" t="s">
        <v>54</v>
      </c>
      <c r="I752" t="s">
        <v>24</v>
      </c>
      <c r="J752" s="9">
        <v>1</v>
      </c>
      <c r="K752" s="7">
        <v>49000</v>
      </c>
      <c r="L752" s="7">
        <v>49000</v>
      </c>
      <c r="M752" s="9"/>
      <c r="N752" s="7">
        <v>6.4</v>
      </c>
      <c r="O752" s="7"/>
      <c r="P752" s="7"/>
      <c r="Q752" t="s">
        <v>24</v>
      </c>
      <c r="R752" s="7" t="str">
        <f>TEXT(Table1[[#This Row],[Date]],"mmm yyyy")</f>
        <v>Jul 2026</v>
      </c>
      <c r="S752" s="9">
        <f>YEAR(Table1[[#This Row],[Date]])</f>
        <v>2026</v>
      </c>
      <c r="T752" s="9"/>
      <c r="U752" s="9"/>
    </row>
    <row r="753" spans="1:21" hidden="1" x14ac:dyDescent="0.3">
      <c r="A753" t="s">
        <v>1255</v>
      </c>
      <c r="B753" s="6">
        <v>46035</v>
      </c>
      <c r="C753" t="s">
        <v>26</v>
      </c>
      <c r="D753" t="s">
        <v>36</v>
      </c>
      <c r="E753" t="s">
        <v>48</v>
      </c>
      <c r="F753" t="s">
        <v>280</v>
      </c>
      <c r="G753" t="s">
        <v>22</v>
      </c>
      <c r="J753" s="9">
        <v>0</v>
      </c>
      <c r="K753" s="7">
        <v>0</v>
      </c>
      <c r="L753" s="7">
        <v>0</v>
      </c>
      <c r="M753" s="9">
        <v>1</v>
      </c>
      <c r="N753" s="7">
        <v>2.2999999999999998</v>
      </c>
      <c r="O753" s="7">
        <v>3.3</v>
      </c>
      <c r="P753" s="7">
        <v>3.9</v>
      </c>
      <c r="Q753" t="s">
        <v>62</v>
      </c>
      <c r="R753" s="7" t="str">
        <f>TEXT(Table1[[#This Row],[Date]],"mmm yyyy")</f>
        <v>Jan 2026</v>
      </c>
      <c r="S753" s="9">
        <f>YEAR(Table1[[#This Row],[Date]])</f>
        <v>2026</v>
      </c>
      <c r="T753" s="9"/>
      <c r="U753" s="9"/>
    </row>
    <row r="754" spans="1:21" hidden="1" x14ac:dyDescent="0.3">
      <c r="A754" t="s">
        <v>1256</v>
      </c>
      <c r="B754" s="6">
        <v>46227</v>
      </c>
      <c r="C754" t="s">
        <v>26</v>
      </c>
      <c r="D754" t="s">
        <v>126</v>
      </c>
      <c r="E754" t="s">
        <v>20</v>
      </c>
      <c r="F754" t="s">
        <v>1257</v>
      </c>
      <c r="G754" t="s">
        <v>30</v>
      </c>
      <c r="J754" s="9">
        <v>0</v>
      </c>
      <c r="K754" s="7">
        <v>0</v>
      </c>
      <c r="L754" s="7">
        <v>0</v>
      </c>
      <c r="M754" s="9">
        <v>1</v>
      </c>
      <c r="N754" s="7">
        <v>1.7</v>
      </c>
      <c r="O754" s="7">
        <v>9.1</v>
      </c>
      <c r="P754" s="7">
        <v>5</v>
      </c>
      <c r="Q754" t="s">
        <v>39</v>
      </c>
      <c r="R754" s="7" t="str">
        <f>TEXT(Table1[[#This Row],[Date]],"mmm yyyy")</f>
        <v>Jul 2026</v>
      </c>
      <c r="S754" s="9">
        <f>YEAR(Table1[[#This Row],[Date]])</f>
        <v>2026</v>
      </c>
      <c r="T754" s="9"/>
      <c r="U754" s="9"/>
    </row>
    <row r="755" spans="1:21" x14ac:dyDescent="0.3">
      <c r="A755" t="s">
        <v>1258</v>
      </c>
      <c r="B755" s="6">
        <v>46084</v>
      </c>
      <c r="C755" t="s">
        <v>18</v>
      </c>
      <c r="D755" t="s">
        <v>117</v>
      </c>
      <c r="E755" t="s">
        <v>20</v>
      </c>
      <c r="F755" t="s">
        <v>1121</v>
      </c>
      <c r="G755" t="s">
        <v>22</v>
      </c>
      <c r="H755" t="s">
        <v>23</v>
      </c>
      <c r="I755" t="s">
        <v>79</v>
      </c>
      <c r="J755" s="9">
        <v>1</v>
      </c>
      <c r="K755" s="7">
        <v>40500</v>
      </c>
      <c r="L755" s="7">
        <v>0</v>
      </c>
      <c r="M755" s="9"/>
      <c r="N755" s="7">
        <v>21</v>
      </c>
      <c r="O755" s="7"/>
      <c r="P755" s="7"/>
      <c r="Q755" t="s">
        <v>79</v>
      </c>
      <c r="R755" s="7" t="str">
        <f>TEXT(Table1[[#This Row],[Date]],"mmm yyyy")</f>
        <v>Mar 2026</v>
      </c>
      <c r="S755" s="9">
        <f>YEAR(Table1[[#This Row],[Date]])</f>
        <v>2026</v>
      </c>
      <c r="T755" s="9"/>
      <c r="U755" s="9"/>
    </row>
    <row r="756" spans="1:21" x14ac:dyDescent="0.3">
      <c r="A756" t="s">
        <v>1259</v>
      </c>
      <c r="B756" s="6">
        <v>46131</v>
      </c>
      <c r="C756" t="s">
        <v>18</v>
      </c>
      <c r="D756" t="s">
        <v>64</v>
      </c>
      <c r="E756" t="s">
        <v>28</v>
      </c>
      <c r="F756" t="s">
        <v>174</v>
      </c>
      <c r="G756" t="s">
        <v>50</v>
      </c>
      <c r="H756" t="s">
        <v>23</v>
      </c>
      <c r="I756" t="s">
        <v>24</v>
      </c>
      <c r="J756" s="9">
        <v>1</v>
      </c>
      <c r="K756" s="7">
        <v>20100</v>
      </c>
      <c r="L756" s="7">
        <v>20100</v>
      </c>
      <c r="M756" s="9"/>
      <c r="N756" s="7">
        <v>10.8</v>
      </c>
      <c r="O756" s="7"/>
      <c r="P756" s="7"/>
      <c r="Q756" t="s">
        <v>24</v>
      </c>
      <c r="R756" s="7" t="str">
        <f>TEXT(Table1[[#This Row],[Date]],"mmm yyyy")</f>
        <v>Apr 2026</v>
      </c>
      <c r="S756" s="9">
        <f>YEAR(Table1[[#This Row],[Date]])</f>
        <v>2026</v>
      </c>
      <c r="T756" s="9"/>
      <c r="U756" s="9"/>
    </row>
    <row r="757" spans="1:21" hidden="1" x14ac:dyDescent="0.3">
      <c r="A757" t="s">
        <v>1260</v>
      </c>
      <c r="B757" s="6">
        <v>46064</v>
      </c>
      <c r="C757" t="s">
        <v>26</v>
      </c>
      <c r="D757" t="s">
        <v>36</v>
      </c>
      <c r="E757" t="s">
        <v>20</v>
      </c>
      <c r="F757" t="s">
        <v>658</v>
      </c>
      <c r="G757" t="s">
        <v>44</v>
      </c>
      <c r="J757" s="9">
        <v>0</v>
      </c>
      <c r="K757" s="7">
        <v>0</v>
      </c>
      <c r="L757" s="7">
        <v>0</v>
      </c>
      <c r="M757" s="9">
        <v>1</v>
      </c>
      <c r="N757" s="7">
        <v>10.1</v>
      </c>
      <c r="O757" s="7">
        <v>20.100000000000001</v>
      </c>
      <c r="P757" s="7">
        <v>4.8</v>
      </c>
      <c r="Q757" t="s">
        <v>39</v>
      </c>
      <c r="R757" s="7" t="str">
        <f>TEXT(Table1[[#This Row],[Date]],"mmm yyyy")</f>
        <v>Feb 2026</v>
      </c>
      <c r="S757" s="9">
        <f>YEAR(Table1[[#This Row],[Date]])</f>
        <v>2026</v>
      </c>
      <c r="T757" s="9"/>
      <c r="U757" s="9"/>
    </row>
    <row r="758" spans="1:21" hidden="1" x14ac:dyDescent="0.3">
      <c r="A758" t="s">
        <v>1261</v>
      </c>
      <c r="B758" s="6">
        <v>46197</v>
      </c>
      <c r="C758" t="s">
        <v>26</v>
      </c>
      <c r="D758" t="s">
        <v>114</v>
      </c>
      <c r="E758" t="s">
        <v>20</v>
      </c>
      <c r="F758" t="s">
        <v>766</v>
      </c>
      <c r="G758" t="s">
        <v>30</v>
      </c>
      <c r="J758" s="9">
        <v>0</v>
      </c>
      <c r="K758" s="7">
        <v>0</v>
      </c>
      <c r="L758" s="7">
        <v>0</v>
      </c>
      <c r="M758" s="9">
        <v>1</v>
      </c>
      <c r="N758" s="7">
        <v>3</v>
      </c>
      <c r="O758" s="7">
        <v>8.6</v>
      </c>
      <c r="P758" s="7">
        <v>5</v>
      </c>
      <c r="Q758" t="s">
        <v>31</v>
      </c>
      <c r="R758" s="7" t="str">
        <f>TEXT(Table1[[#This Row],[Date]],"mmm yyyy")</f>
        <v>Jun 2026</v>
      </c>
      <c r="S758" s="9">
        <f>YEAR(Table1[[#This Row],[Date]])</f>
        <v>2026</v>
      </c>
      <c r="T758" s="9"/>
      <c r="U758" s="9"/>
    </row>
    <row r="759" spans="1:21" x14ac:dyDescent="0.3">
      <c r="A759" t="s">
        <v>1262</v>
      </c>
      <c r="B759" s="6">
        <v>46143</v>
      </c>
      <c r="C759" t="s">
        <v>18</v>
      </c>
      <c r="D759" t="s">
        <v>64</v>
      </c>
      <c r="E759" t="s">
        <v>20</v>
      </c>
      <c r="F759" t="s">
        <v>376</v>
      </c>
      <c r="G759" t="s">
        <v>30</v>
      </c>
      <c r="H759" t="s">
        <v>78</v>
      </c>
      <c r="I759" t="s">
        <v>89</v>
      </c>
      <c r="J759" s="9">
        <v>1</v>
      </c>
      <c r="K759" s="7">
        <v>10400</v>
      </c>
      <c r="L759" s="7">
        <v>0</v>
      </c>
      <c r="M759" s="9"/>
      <c r="N759" s="7">
        <v>1.2</v>
      </c>
      <c r="O759" s="7"/>
      <c r="P759" s="7"/>
      <c r="Q759" t="s">
        <v>89</v>
      </c>
      <c r="R759" s="7" t="str">
        <f>TEXT(Table1[[#This Row],[Date]],"mmm yyyy")</f>
        <v>May 2026</v>
      </c>
      <c r="S759" s="9">
        <f>YEAR(Table1[[#This Row],[Date]])</f>
        <v>2026</v>
      </c>
      <c r="T759" s="9"/>
      <c r="U759" s="9"/>
    </row>
    <row r="760" spans="1:21" hidden="1" x14ac:dyDescent="0.3">
      <c r="A760" t="s">
        <v>1263</v>
      </c>
      <c r="B760" s="6">
        <v>46046</v>
      </c>
      <c r="C760" t="s">
        <v>26</v>
      </c>
      <c r="D760" t="s">
        <v>72</v>
      </c>
      <c r="E760" t="s">
        <v>42</v>
      </c>
      <c r="F760" t="s">
        <v>1264</v>
      </c>
      <c r="G760" t="s">
        <v>30</v>
      </c>
      <c r="J760" s="9">
        <v>0</v>
      </c>
      <c r="K760" s="7">
        <v>0</v>
      </c>
      <c r="L760" s="7">
        <v>0</v>
      </c>
      <c r="M760" s="9">
        <v>1</v>
      </c>
      <c r="N760" s="7">
        <v>1</v>
      </c>
      <c r="O760" s="7">
        <v>2</v>
      </c>
      <c r="P760" s="7">
        <v>4.5</v>
      </c>
      <c r="Q760" t="s">
        <v>225</v>
      </c>
      <c r="R760" s="7" t="str">
        <f>TEXT(Table1[[#This Row],[Date]],"mmm yyyy")</f>
        <v>Jan 2026</v>
      </c>
      <c r="S760" s="9">
        <f>YEAR(Table1[[#This Row],[Date]])</f>
        <v>2026</v>
      </c>
      <c r="T760" s="9"/>
      <c r="U760" s="9"/>
    </row>
    <row r="761" spans="1:21" hidden="1" x14ac:dyDescent="0.3">
      <c r="A761" t="s">
        <v>1265</v>
      </c>
      <c r="B761" s="6">
        <v>46239</v>
      </c>
      <c r="C761" t="s">
        <v>26</v>
      </c>
      <c r="D761" t="s">
        <v>27</v>
      </c>
      <c r="E761" t="s">
        <v>37</v>
      </c>
      <c r="F761" t="s">
        <v>1266</v>
      </c>
      <c r="G761" t="s">
        <v>30</v>
      </c>
      <c r="J761" s="9">
        <v>0</v>
      </c>
      <c r="K761" s="7">
        <v>0</v>
      </c>
      <c r="L761" s="7">
        <v>0</v>
      </c>
      <c r="M761" s="9">
        <v>1</v>
      </c>
      <c r="N761" s="7">
        <v>10.9</v>
      </c>
      <c r="O761" s="7">
        <v>6.5</v>
      </c>
      <c r="P761" s="7">
        <v>3.3</v>
      </c>
      <c r="Q761" t="s">
        <v>62</v>
      </c>
      <c r="R761" s="7" t="str">
        <f>TEXT(Table1[[#This Row],[Date]],"mmm yyyy")</f>
        <v>Aug 2026</v>
      </c>
      <c r="S761" s="9">
        <f>YEAR(Table1[[#This Row],[Date]])</f>
        <v>2026</v>
      </c>
      <c r="T761" s="9"/>
      <c r="U761" s="9"/>
    </row>
    <row r="762" spans="1:21" x14ac:dyDescent="0.3">
      <c r="A762" t="s">
        <v>1267</v>
      </c>
      <c r="B762" s="6">
        <v>46089</v>
      </c>
      <c r="C762" t="s">
        <v>18</v>
      </c>
      <c r="D762" t="s">
        <v>47</v>
      </c>
      <c r="E762" t="s">
        <v>20</v>
      </c>
      <c r="F762" t="s">
        <v>1081</v>
      </c>
      <c r="G762" t="s">
        <v>30</v>
      </c>
      <c r="H762" t="s">
        <v>78</v>
      </c>
      <c r="I762" t="s">
        <v>24</v>
      </c>
      <c r="J762" s="9">
        <v>1</v>
      </c>
      <c r="K762" s="7">
        <v>25900</v>
      </c>
      <c r="L762" s="7">
        <v>25900</v>
      </c>
      <c r="M762" s="9"/>
      <c r="N762" s="7">
        <v>4.7</v>
      </c>
      <c r="O762" s="7"/>
      <c r="P762" s="7"/>
      <c r="Q762" t="s">
        <v>24</v>
      </c>
      <c r="R762" s="7" t="str">
        <f>TEXT(Table1[[#This Row],[Date]],"mmm yyyy")</f>
        <v>Mar 2026</v>
      </c>
      <c r="S762" s="9">
        <f>YEAR(Table1[[#This Row],[Date]])</f>
        <v>2026</v>
      </c>
      <c r="T762" s="9"/>
      <c r="U762" s="9"/>
    </row>
    <row r="763" spans="1:21" x14ac:dyDescent="0.3">
      <c r="A763" t="s">
        <v>1268</v>
      </c>
      <c r="B763" s="6">
        <v>46147</v>
      </c>
      <c r="C763" t="s">
        <v>18</v>
      </c>
      <c r="D763" t="s">
        <v>105</v>
      </c>
      <c r="E763" t="s">
        <v>20</v>
      </c>
      <c r="F763" t="s">
        <v>1269</v>
      </c>
      <c r="G763" t="s">
        <v>44</v>
      </c>
      <c r="H763" t="s">
        <v>23</v>
      </c>
      <c r="I763" t="s">
        <v>79</v>
      </c>
      <c r="J763" s="9">
        <v>1</v>
      </c>
      <c r="K763" s="7">
        <v>57900</v>
      </c>
      <c r="L763" s="7">
        <v>0</v>
      </c>
      <c r="M763" s="9"/>
      <c r="N763" s="7">
        <v>2.8</v>
      </c>
      <c r="O763" s="7"/>
      <c r="P763" s="7"/>
      <c r="Q763" t="s">
        <v>79</v>
      </c>
      <c r="R763" s="7" t="str">
        <f>TEXT(Table1[[#This Row],[Date]],"mmm yyyy")</f>
        <v>May 2026</v>
      </c>
      <c r="S763" s="9">
        <f>YEAR(Table1[[#This Row],[Date]])</f>
        <v>2026</v>
      </c>
      <c r="T763" s="9"/>
      <c r="U763" s="9"/>
    </row>
    <row r="764" spans="1:21" x14ac:dyDescent="0.3">
      <c r="A764" t="s">
        <v>1270</v>
      </c>
      <c r="B764" s="6">
        <v>46209</v>
      </c>
      <c r="C764" t="s">
        <v>18</v>
      </c>
      <c r="D764" t="s">
        <v>95</v>
      </c>
      <c r="E764" t="s">
        <v>28</v>
      </c>
      <c r="F764" t="s">
        <v>180</v>
      </c>
      <c r="G764" t="s">
        <v>30</v>
      </c>
      <c r="H764" t="s">
        <v>86</v>
      </c>
      <c r="I764" t="s">
        <v>89</v>
      </c>
      <c r="J764" s="9">
        <v>1</v>
      </c>
      <c r="K764" s="7">
        <v>9300</v>
      </c>
      <c r="L764" s="7">
        <v>0</v>
      </c>
      <c r="M764" s="9"/>
      <c r="N764" s="7">
        <v>13</v>
      </c>
      <c r="O764" s="7"/>
      <c r="P764" s="7"/>
      <c r="Q764" t="s">
        <v>89</v>
      </c>
      <c r="R764" s="7" t="str">
        <f>TEXT(Table1[[#This Row],[Date]],"mmm yyyy")</f>
        <v>Jul 2026</v>
      </c>
      <c r="S764" s="9">
        <f>YEAR(Table1[[#This Row],[Date]])</f>
        <v>2026</v>
      </c>
      <c r="T764" s="9"/>
      <c r="U764" s="9"/>
    </row>
    <row r="765" spans="1:21" hidden="1" x14ac:dyDescent="0.3">
      <c r="A765" t="s">
        <v>1271</v>
      </c>
      <c r="B765" s="6">
        <v>45959</v>
      </c>
      <c r="C765" t="s">
        <v>26</v>
      </c>
      <c r="D765" t="s">
        <v>114</v>
      </c>
      <c r="E765" t="s">
        <v>20</v>
      </c>
      <c r="F765" t="s">
        <v>626</v>
      </c>
      <c r="G765" t="s">
        <v>30</v>
      </c>
      <c r="J765" s="9">
        <v>0</v>
      </c>
      <c r="K765" s="7">
        <v>0</v>
      </c>
      <c r="L765" s="7">
        <v>0</v>
      </c>
      <c r="M765" s="9">
        <v>1</v>
      </c>
      <c r="N765" s="7">
        <v>0.2</v>
      </c>
      <c r="O765" s="7">
        <v>19.100000000000001</v>
      </c>
      <c r="P765" s="7">
        <v>3.4</v>
      </c>
      <c r="Q765" t="s">
        <v>225</v>
      </c>
      <c r="R765" s="7" t="str">
        <f>TEXT(Table1[[#This Row],[Date]],"mmm yyyy")</f>
        <v>Oct 2025</v>
      </c>
      <c r="S765" s="9">
        <f>YEAR(Table1[[#This Row],[Date]])</f>
        <v>2025</v>
      </c>
      <c r="T765" s="9"/>
      <c r="U765" s="9"/>
    </row>
    <row r="766" spans="1:21" x14ac:dyDescent="0.3">
      <c r="A766" t="s">
        <v>1272</v>
      </c>
      <c r="B766" s="6">
        <v>46248</v>
      </c>
      <c r="C766" t="s">
        <v>18</v>
      </c>
      <c r="D766" t="s">
        <v>19</v>
      </c>
      <c r="E766" t="s">
        <v>28</v>
      </c>
      <c r="F766" t="s">
        <v>1273</v>
      </c>
      <c r="G766" t="s">
        <v>30</v>
      </c>
      <c r="H766" t="s">
        <v>23</v>
      </c>
      <c r="I766" t="s">
        <v>24</v>
      </c>
      <c r="J766" s="9">
        <v>1</v>
      </c>
      <c r="K766" s="7">
        <v>43300</v>
      </c>
      <c r="L766" s="7">
        <v>43300</v>
      </c>
      <c r="M766" s="9"/>
      <c r="N766" s="7">
        <v>14.8</v>
      </c>
      <c r="O766" s="7"/>
      <c r="P766" s="7"/>
      <c r="Q766" t="s">
        <v>24</v>
      </c>
      <c r="R766" s="7" t="str">
        <f>TEXT(Table1[[#This Row],[Date]],"mmm yyyy")</f>
        <v>Aug 2026</v>
      </c>
      <c r="S766" s="9">
        <f>YEAR(Table1[[#This Row],[Date]])</f>
        <v>2026</v>
      </c>
      <c r="T766" s="9"/>
      <c r="U766" s="9"/>
    </row>
    <row r="767" spans="1:21" hidden="1" x14ac:dyDescent="0.3">
      <c r="A767" t="s">
        <v>1274</v>
      </c>
      <c r="B767" s="6">
        <v>45999</v>
      </c>
      <c r="C767" t="s">
        <v>26</v>
      </c>
      <c r="D767" t="s">
        <v>232</v>
      </c>
      <c r="E767" t="s">
        <v>20</v>
      </c>
      <c r="F767" t="s">
        <v>1166</v>
      </c>
      <c r="G767" t="s">
        <v>22</v>
      </c>
      <c r="J767" s="9">
        <v>0</v>
      </c>
      <c r="K767" s="7">
        <v>0</v>
      </c>
      <c r="L767" s="7">
        <v>0</v>
      </c>
      <c r="M767" s="9">
        <v>1</v>
      </c>
      <c r="N767" s="7">
        <v>6.1</v>
      </c>
      <c r="O767" s="7">
        <v>3.9</v>
      </c>
      <c r="P767" s="7">
        <v>3.8</v>
      </c>
      <c r="Q767" t="s">
        <v>39</v>
      </c>
      <c r="R767" s="7" t="str">
        <f>TEXT(Table1[[#This Row],[Date]],"mmm yyyy")</f>
        <v>Dec 2025</v>
      </c>
      <c r="S767" s="9">
        <f>YEAR(Table1[[#This Row],[Date]])</f>
        <v>2025</v>
      </c>
      <c r="T767" s="9"/>
      <c r="U767" s="9"/>
    </row>
    <row r="768" spans="1:21" hidden="1" x14ac:dyDescent="0.3">
      <c r="A768" t="s">
        <v>1275</v>
      </c>
      <c r="B768" s="6">
        <v>46243</v>
      </c>
      <c r="C768" t="s">
        <v>26</v>
      </c>
      <c r="D768" t="s">
        <v>126</v>
      </c>
      <c r="E768" t="s">
        <v>28</v>
      </c>
      <c r="F768" t="s">
        <v>789</v>
      </c>
      <c r="G768" t="s">
        <v>50</v>
      </c>
      <c r="J768" s="9">
        <v>0</v>
      </c>
      <c r="K768" s="7">
        <v>0</v>
      </c>
      <c r="L768" s="7">
        <v>0</v>
      </c>
      <c r="M768" s="9">
        <v>1</v>
      </c>
      <c r="N768" s="7">
        <v>4.0999999999999996</v>
      </c>
      <c r="O768" s="7">
        <v>8.3000000000000007</v>
      </c>
      <c r="P768" s="7">
        <v>3.5</v>
      </c>
      <c r="Q768" t="s">
        <v>62</v>
      </c>
      <c r="R768" s="7" t="str">
        <f>TEXT(Table1[[#This Row],[Date]],"mmm yyyy")</f>
        <v>Aug 2026</v>
      </c>
      <c r="S768" s="9">
        <f>YEAR(Table1[[#This Row],[Date]])</f>
        <v>2026</v>
      </c>
      <c r="T768" s="9"/>
      <c r="U768" s="9"/>
    </row>
    <row r="769" spans="1:21" hidden="1" x14ac:dyDescent="0.3">
      <c r="A769" t="s">
        <v>1276</v>
      </c>
      <c r="B769" s="6">
        <v>46180</v>
      </c>
      <c r="C769" t="s">
        <v>26</v>
      </c>
      <c r="D769" t="s">
        <v>114</v>
      </c>
      <c r="E769" t="s">
        <v>42</v>
      </c>
      <c r="F769" t="s">
        <v>1008</v>
      </c>
      <c r="G769" t="s">
        <v>22</v>
      </c>
      <c r="J769" s="9">
        <v>0</v>
      </c>
      <c r="K769" s="7">
        <v>0</v>
      </c>
      <c r="L769" s="7">
        <v>0</v>
      </c>
      <c r="M769" s="9">
        <v>1</v>
      </c>
      <c r="N769" s="7">
        <v>7</v>
      </c>
      <c r="O769" s="7">
        <v>4.3</v>
      </c>
      <c r="P769" s="7">
        <v>3.1</v>
      </c>
      <c r="Q769" t="s">
        <v>31</v>
      </c>
      <c r="R769" s="7" t="str">
        <f>TEXT(Table1[[#This Row],[Date]],"mmm yyyy")</f>
        <v>Jun 2026</v>
      </c>
      <c r="S769" s="9">
        <f>YEAR(Table1[[#This Row],[Date]])</f>
        <v>2026</v>
      </c>
      <c r="T769" s="9"/>
      <c r="U769" s="9"/>
    </row>
    <row r="770" spans="1:21" x14ac:dyDescent="0.3">
      <c r="A770" t="s">
        <v>1277</v>
      </c>
      <c r="B770" s="6">
        <v>46225</v>
      </c>
      <c r="C770" t="s">
        <v>18</v>
      </c>
      <c r="D770" t="s">
        <v>105</v>
      </c>
      <c r="E770" t="s">
        <v>48</v>
      </c>
      <c r="F770" t="s">
        <v>1278</v>
      </c>
      <c r="G770" t="s">
        <v>30</v>
      </c>
      <c r="H770" t="s">
        <v>54</v>
      </c>
      <c r="I770" t="s">
        <v>45</v>
      </c>
      <c r="J770" s="9">
        <v>1</v>
      </c>
      <c r="K770" s="7">
        <v>23100</v>
      </c>
      <c r="L770" s="7">
        <v>0</v>
      </c>
      <c r="M770" s="9"/>
      <c r="N770" s="7">
        <v>9.4</v>
      </c>
      <c r="O770" s="7"/>
      <c r="P770" s="7"/>
      <c r="Q770" t="s">
        <v>45</v>
      </c>
      <c r="R770" s="7" t="str">
        <f>TEXT(Table1[[#This Row],[Date]],"mmm yyyy")</f>
        <v>Jul 2026</v>
      </c>
      <c r="S770" s="9">
        <f>YEAR(Table1[[#This Row],[Date]])</f>
        <v>2026</v>
      </c>
      <c r="T770" s="9"/>
      <c r="U770" s="9"/>
    </row>
    <row r="771" spans="1:21" hidden="1" x14ac:dyDescent="0.3">
      <c r="A771" t="s">
        <v>1279</v>
      </c>
      <c r="B771" s="6">
        <v>46096</v>
      </c>
      <c r="C771" t="s">
        <v>26</v>
      </c>
      <c r="D771" t="s">
        <v>72</v>
      </c>
      <c r="E771" t="s">
        <v>42</v>
      </c>
      <c r="F771" t="s">
        <v>101</v>
      </c>
      <c r="G771" t="s">
        <v>44</v>
      </c>
      <c r="J771" s="9">
        <v>0</v>
      </c>
      <c r="K771" s="7">
        <v>0</v>
      </c>
      <c r="L771" s="7">
        <v>0</v>
      </c>
      <c r="M771" s="9">
        <v>1</v>
      </c>
      <c r="N771" s="7">
        <v>11.5</v>
      </c>
      <c r="O771" s="7">
        <v>5.9</v>
      </c>
      <c r="P771" s="7">
        <v>2.9</v>
      </c>
      <c r="Q771" t="s">
        <v>39</v>
      </c>
      <c r="R771" s="7" t="str">
        <f>TEXT(Table1[[#This Row],[Date]],"mmm yyyy")</f>
        <v>Mar 2026</v>
      </c>
      <c r="S771" s="9">
        <f>YEAR(Table1[[#This Row],[Date]])</f>
        <v>2026</v>
      </c>
      <c r="T771" s="9"/>
      <c r="U771" s="9"/>
    </row>
    <row r="772" spans="1:21" x14ac:dyDescent="0.3">
      <c r="A772" t="s">
        <v>1280</v>
      </c>
      <c r="B772" s="6">
        <v>46031</v>
      </c>
      <c r="C772" t="s">
        <v>18</v>
      </c>
      <c r="D772" t="s">
        <v>95</v>
      </c>
      <c r="E772" t="s">
        <v>20</v>
      </c>
      <c r="F772" t="s">
        <v>1281</v>
      </c>
      <c r="G772" t="s">
        <v>22</v>
      </c>
      <c r="H772" t="s">
        <v>23</v>
      </c>
      <c r="I772" t="s">
        <v>55</v>
      </c>
      <c r="J772" s="9">
        <v>1</v>
      </c>
      <c r="K772" s="7">
        <v>37600</v>
      </c>
      <c r="L772" s="7">
        <v>0</v>
      </c>
      <c r="M772" s="9"/>
      <c r="N772" s="7">
        <v>7.8</v>
      </c>
      <c r="O772" s="7"/>
      <c r="P772" s="7"/>
      <c r="Q772" t="s">
        <v>55</v>
      </c>
      <c r="R772" s="7" t="str">
        <f>TEXT(Table1[[#This Row],[Date]],"mmm yyyy")</f>
        <v>Jan 2026</v>
      </c>
      <c r="S772" s="9">
        <f>YEAR(Table1[[#This Row],[Date]])</f>
        <v>2026</v>
      </c>
      <c r="T772" s="9"/>
      <c r="U772" s="9"/>
    </row>
    <row r="773" spans="1:21" hidden="1" x14ac:dyDescent="0.3">
      <c r="A773" t="s">
        <v>1282</v>
      </c>
      <c r="B773" s="6">
        <v>45951</v>
      </c>
      <c r="C773" t="s">
        <v>26</v>
      </c>
      <c r="D773" t="s">
        <v>33</v>
      </c>
      <c r="E773" t="s">
        <v>37</v>
      </c>
      <c r="F773" t="s">
        <v>984</v>
      </c>
      <c r="G773" t="s">
        <v>50</v>
      </c>
      <c r="J773" s="9">
        <v>0</v>
      </c>
      <c r="K773" s="7">
        <v>0</v>
      </c>
      <c r="L773" s="7">
        <v>0</v>
      </c>
      <c r="M773" s="9">
        <v>1</v>
      </c>
      <c r="N773" s="7">
        <v>0.5</v>
      </c>
      <c r="O773" s="7">
        <v>2.4</v>
      </c>
      <c r="P773" s="7">
        <v>4.0999999999999996</v>
      </c>
      <c r="Q773" t="s">
        <v>39</v>
      </c>
      <c r="R773" s="7" t="str">
        <f>TEXT(Table1[[#This Row],[Date]],"mmm yyyy")</f>
        <v>Oct 2025</v>
      </c>
      <c r="S773" s="9">
        <f>YEAR(Table1[[#This Row],[Date]])</f>
        <v>2025</v>
      </c>
      <c r="T773" s="9"/>
      <c r="U773" s="9"/>
    </row>
    <row r="774" spans="1:21" x14ac:dyDescent="0.3">
      <c r="A774" t="s">
        <v>1283</v>
      </c>
      <c r="B774" s="6">
        <v>46128</v>
      </c>
      <c r="C774" t="s">
        <v>18</v>
      </c>
      <c r="D774" t="s">
        <v>95</v>
      </c>
      <c r="E774" t="s">
        <v>20</v>
      </c>
      <c r="F774" t="s">
        <v>1284</v>
      </c>
      <c r="G774" t="s">
        <v>22</v>
      </c>
      <c r="H774" t="s">
        <v>78</v>
      </c>
      <c r="I774" t="s">
        <v>89</v>
      </c>
      <c r="J774" s="9">
        <v>1</v>
      </c>
      <c r="K774" s="7">
        <v>10600</v>
      </c>
      <c r="L774" s="7">
        <v>0</v>
      </c>
      <c r="M774" s="9"/>
      <c r="N774" s="7">
        <v>4.7</v>
      </c>
      <c r="O774" s="7"/>
      <c r="P774" s="7"/>
      <c r="Q774" t="s">
        <v>89</v>
      </c>
      <c r="R774" s="7" t="str">
        <f>TEXT(Table1[[#This Row],[Date]],"mmm yyyy")</f>
        <v>Apr 2026</v>
      </c>
      <c r="S774" s="9">
        <f>YEAR(Table1[[#This Row],[Date]])</f>
        <v>2026</v>
      </c>
      <c r="T774" s="9"/>
      <c r="U774" s="9"/>
    </row>
    <row r="775" spans="1:21" x14ac:dyDescent="0.3">
      <c r="A775" t="s">
        <v>1285</v>
      </c>
      <c r="B775" s="6">
        <v>46125</v>
      </c>
      <c r="C775" t="s">
        <v>18</v>
      </c>
      <c r="D775" t="s">
        <v>47</v>
      </c>
      <c r="E775" t="s">
        <v>48</v>
      </c>
      <c r="F775" t="s">
        <v>1286</v>
      </c>
      <c r="G775" t="s">
        <v>44</v>
      </c>
      <c r="H775" t="s">
        <v>23</v>
      </c>
      <c r="I775" t="s">
        <v>24</v>
      </c>
      <c r="J775" s="9">
        <v>1</v>
      </c>
      <c r="K775" s="7">
        <v>84900</v>
      </c>
      <c r="L775" s="7">
        <v>84900</v>
      </c>
      <c r="M775" s="9"/>
      <c r="N775" s="7">
        <v>3.2</v>
      </c>
      <c r="O775" s="7"/>
      <c r="P775" s="7"/>
      <c r="Q775" t="s">
        <v>24</v>
      </c>
      <c r="R775" s="7" t="str">
        <f>TEXT(Table1[[#This Row],[Date]],"mmm yyyy")</f>
        <v>Apr 2026</v>
      </c>
      <c r="S775" s="9">
        <f>YEAR(Table1[[#This Row],[Date]])</f>
        <v>2026</v>
      </c>
      <c r="T775" s="9"/>
      <c r="U775" s="9"/>
    </row>
    <row r="776" spans="1:21" hidden="1" x14ac:dyDescent="0.3">
      <c r="A776" t="s">
        <v>1287</v>
      </c>
      <c r="B776" s="6">
        <v>46143</v>
      </c>
      <c r="C776" t="s">
        <v>26</v>
      </c>
      <c r="D776" t="s">
        <v>33</v>
      </c>
      <c r="E776" t="s">
        <v>20</v>
      </c>
      <c r="F776" t="s">
        <v>456</v>
      </c>
      <c r="G776" t="s">
        <v>22</v>
      </c>
      <c r="J776" s="9">
        <v>0</v>
      </c>
      <c r="K776" s="7">
        <v>0</v>
      </c>
      <c r="L776" s="7">
        <v>0</v>
      </c>
      <c r="M776" s="9">
        <v>1</v>
      </c>
      <c r="N776" s="7">
        <v>7.7</v>
      </c>
      <c r="O776" s="7">
        <v>6.8</v>
      </c>
      <c r="P776" s="7">
        <v>4.4000000000000004</v>
      </c>
      <c r="Q776" t="s">
        <v>39</v>
      </c>
      <c r="R776" s="7" t="str">
        <f>TEXT(Table1[[#This Row],[Date]],"mmm yyyy")</f>
        <v>May 2026</v>
      </c>
      <c r="S776" s="9">
        <f>YEAR(Table1[[#This Row],[Date]])</f>
        <v>2026</v>
      </c>
      <c r="T776" s="9"/>
      <c r="U776" s="9"/>
    </row>
    <row r="777" spans="1:21" x14ac:dyDescent="0.3">
      <c r="A777" t="s">
        <v>1288</v>
      </c>
      <c r="B777" s="6">
        <v>46115</v>
      </c>
      <c r="C777" t="s">
        <v>18</v>
      </c>
      <c r="D777" t="s">
        <v>41</v>
      </c>
      <c r="E777" t="s">
        <v>37</v>
      </c>
      <c r="F777" t="s">
        <v>748</v>
      </c>
      <c r="G777" t="s">
        <v>30</v>
      </c>
      <c r="H777" t="s">
        <v>78</v>
      </c>
      <c r="I777" t="s">
        <v>79</v>
      </c>
      <c r="J777" s="9">
        <v>1</v>
      </c>
      <c r="K777" s="7">
        <v>17600</v>
      </c>
      <c r="L777" s="7">
        <v>0</v>
      </c>
      <c r="M777" s="9"/>
      <c r="N777" s="7">
        <v>14.9</v>
      </c>
      <c r="O777" s="7"/>
      <c r="P777" s="7"/>
      <c r="Q777" t="s">
        <v>79</v>
      </c>
      <c r="R777" s="7" t="str">
        <f>TEXT(Table1[[#This Row],[Date]],"mmm yyyy")</f>
        <v>Apr 2026</v>
      </c>
      <c r="S777" s="9">
        <f>YEAR(Table1[[#This Row],[Date]])</f>
        <v>2026</v>
      </c>
      <c r="T777" s="9"/>
      <c r="U777" s="9"/>
    </row>
    <row r="778" spans="1:21" x14ac:dyDescent="0.3">
      <c r="A778" t="s">
        <v>1289</v>
      </c>
      <c r="B778" s="6">
        <v>46015</v>
      </c>
      <c r="C778" t="s">
        <v>18</v>
      </c>
      <c r="D778" t="s">
        <v>52</v>
      </c>
      <c r="E778" t="s">
        <v>20</v>
      </c>
      <c r="F778" t="s">
        <v>1290</v>
      </c>
      <c r="G778" t="s">
        <v>22</v>
      </c>
      <c r="H778" t="s">
        <v>23</v>
      </c>
      <c r="I778" t="s">
        <v>79</v>
      </c>
      <c r="J778" s="9">
        <v>1</v>
      </c>
      <c r="K778" s="7">
        <v>13700</v>
      </c>
      <c r="L778" s="7">
        <v>0</v>
      </c>
      <c r="M778" s="9"/>
      <c r="N778" s="7">
        <v>17.399999999999999</v>
      </c>
      <c r="O778" s="7"/>
      <c r="P778" s="7"/>
      <c r="Q778" t="s">
        <v>79</v>
      </c>
      <c r="R778" s="7" t="str">
        <f>TEXT(Table1[[#This Row],[Date]],"mmm yyyy")</f>
        <v>Dec 2025</v>
      </c>
      <c r="S778" s="9">
        <f>YEAR(Table1[[#This Row],[Date]])</f>
        <v>2025</v>
      </c>
      <c r="T778" s="9"/>
      <c r="U778" s="9"/>
    </row>
    <row r="779" spans="1:21" hidden="1" x14ac:dyDescent="0.3">
      <c r="A779" t="s">
        <v>1291</v>
      </c>
      <c r="B779" s="6">
        <v>46118</v>
      </c>
      <c r="C779" t="s">
        <v>26</v>
      </c>
      <c r="D779" t="s">
        <v>36</v>
      </c>
      <c r="E779" t="s">
        <v>48</v>
      </c>
      <c r="F779" t="s">
        <v>182</v>
      </c>
      <c r="G779" t="s">
        <v>22</v>
      </c>
      <c r="J779" s="9">
        <v>0</v>
      </c>
      <c r="K779" s="7">
        <v>0</v>
      </c>
      <c r="L779" s="7">
        <v>0</v>
      </c>
      <c r="M779" s="9">
        <v>1</v>
      </c>
      <c r="N779" s="7">
        <v>3.1</v>
      </c>
      <c r="O779" s="7">
        <v>12.2</v>
      </c>
      <c r="P779" s="7">
        <v>4.8</v>
      </c>
      <c r="Q779" t="s">
        <v>39</v>
      </c>
      <c r="R779" s="7" t="str">
        <f>TEXT(Table1[[#This Row],[Date]],"mmm yyyy")</f>
        <v>Apr 2026</v>
      </c>
      <c r="S779" s="9">
        <f>YEAR(Table1[[#This Row],[Date]])</f>
        <v>2026</v>
      </c>
      <c r="T779" s="9"/>
      <c r="U779" s="9"/>
    </row>
    <row r="780" spans="1:21" hidden="1" x14ac:dyDescent="0.3">
      <c r="A780" t="s">
        <v>1292</v>
      </c>
      <c r="B780" s="6">
        <v>45976</v>
      </c>
      <c r="C780" t="s">
        <v>26</v>
      </c>
      <c r="D780" t="s">
        <v>33</v>
      </c>
      <c r="E780" t="s">
        <v>20</v>
      </c>
      <c r="F780" t="s">
        <v>233</v>
      </c>
      <c r="G780" t="s">
        <v>50</v>
      </c>
      <c r="J780" s="9">
        <v>0</v>
      </c>
      <c r="K780" s="7">
        <v>0</v>
      </c>
      <c r="L780" s="7">
        <v>0</v>
      </c>
      <c r="M780" s="9">
        <v>1</v>
      </c>
      <c r="N780" s="7">
        <v>11.3</v>
      </c>
      <c r="O780" s="7">
        <v>11.7</v>
      </c>
      <c r="P780" s="7">
        <v>3.8</v>
      </c>
      <c r="Q780" t="s">
        <v>39</v>
      </c>
      <c r="R780" s="7" t="str">
        <f>TEXT(Table1[[#This Row],[Date]],"mmm yyyy")</f>
        <v>Nov 2025</v>
      </c>
      <c r="S780" s="9">
        <f>YEAR(Table1[[#This Row],[Date]])</f>
        <v>2025</v>
      </c>
      <c r="T780" s="9"/>
      <c r="U780" s="9"/>
    </row>
    <row r="781" spans="1:21" hidden="1" x14ac:dyDescent="0.3">
      <c r="A781" t="s">
        <v>1293</v>
      </c>
      <c r="B781" s="6">
        <v>46244</v>
      </c>
      <c r="C781" t="s">
        <v>26</v>
      </c>
      <c r="D781" t="s">
        <v>114</v>
      </c>
      <c r="E781" t="s">
        <v>48</v>
      </c>
      <c r="F781" t="s">
        <v>59</v>
      </c>
      <c r="G781" t="s">
        <v>22</v>
      </c>
      <c r="J781" s="9">
        <v>0</v>
      </c>
      <c r="K781" s="7">
        <v>0</v>
      </c>
      <c r="L781" s="7">
        <v>0</v>
      </c>
      <c r="M781" s="9">
        <v>1</v>
      </c>
      <c r="N781" s="7">
        <v>5.2</v>
      </c>
      <c r="O781" s="7">
        <v>3.9</v>
      </c>
      <c r="P781" s="7">
        <v>3.3</v>
      </c>
      <c r="Q781" t="s">
        <v>31</v>
      </c>
      <c r="R781" s="7" t="str">
        <f>TEXT(Table1[[#This Row],[Date]],"mmm yyyy")</f>
        <v>Aug 2026</v>
      </c>
      <c r="S781" s="9">
        <f>YEAR(Table1[[#This Row],[Date]])</f>
        <v>2026</v>
      </c>
      <c r="T781" s="9"/>
      <c r="U781" s="9"/>
    </row>
    <row r="782" spans="1:21" hidden="1" x14ac:dyDescent="0.3">
      <c r="A782" t="s">
        <v>1294</v>
      </c>
      <c r="B782" s="6">
        <v>46121</v>
      </c>
      <c r="C782" t="s">
        <v>26</v>
      </c>
      <c r="D782" t="s">
        <v>27</v>
      </c>
      <c r="E782" t="s">
        <v>37</v>
      </c>
      <c r="F782" t="s">
        <v>1295</v>
      </c>
      <c r="G782" t="s">
        <v>50</v>
      </c>
      <c r="J782" s="9">
        <v>0</v>
      </c>
      <c r="K782" s="7">
        <v>0</v>
      </c>
      <c r="L782" s="7">
        <v>0</v>
      </c>
      <c r="M782" s="9">
        <v>1</v>
      </c>
      <c r="N782" s="7">
        <v>3.5</v>
      </c>
      <c r="O782" s="7">
        <v>3.7</v>
      </c>
      <c r="P782" s="7">
        <v>4.5</v>
      </c>
      <c r="Q782" t="s">
        <v>225</v>
      </c>
      <c r="R782" s="7" t="str">
        <f>TEXT(Table1[[#This Row],[Date]],"mmm yyyy")</f>
        <v>Apr 2026</v>
      </c>
      <c r="S782" s="9">
        <f>YEAR(Table1[[#This Row],[Date]])</f>
        <v>2026</v>
      </c>
      <c r="T782" s="9"/>
      <c r="U782" s="9"/>
    </row>
    <row r="783" spans="1:21" x14ac:dyDescent="0.3">
      <c r="A783" t="s">
        <v>1296</v>
      </c>
      <c r="B783" s="6">
        <v>46070</v>
      </c>
      <c r="C783" t="s">
        <v>18</v>
      </c>
      <c r="D783" t="s">
        <v>47</v>
      </c>
      <c r="E783" t="s">
        <v>20</v>
      </c>
      <c r="F783" t="s">
        <v>1297</v>
      </c>
      <c r="G783" t="s">
        <v>30</v>
      </c>
      <c r="H783" t="s">
        <v>78</v>
      </c>
      <c r="I783" t="s">
        <v>89</v>
      </c>
      <c r="J783" s="9">
        <v>1</v>
      </c>
      <c r="K783" s="7">
        <v>10200</v>
      </c>
      <c r="L783" s="7">
        <v>0</v>
      </c>
      <c r="M783" s="9"/>
      <c r="N783" s="7">
        <v>12</v>
      </c>
      <c r="O783" s="7"/>
      <c r="P783" s="7"/>
      <c r="Q783" t="s">
        <v>89</v>
      </c>
      <c r="R783" s="7" t="str">
        <f>TEXT(Table1[[#This Row],[Date]],"mmm yyyy")</f>
        <v>Feb 2026</v>
      </c>
      <c r="S783" s="9">
        <f>YEAR(Table1[[#This Row],[Date]])</f>
        <v>2026</v>
      </c>
      <c r="T783" s="9"/>
      <c r="U783" s="9"/>
    </row>
    <row r="784" spans="1:21" x14ac:dyDescent="0.3">
      <c r="A784" t="s">
        <v>1298</v>
      </c>
      <c r="B784" s="6">
        <v>46019</v>
      </c>
      <c r="C784" t="s">
        <v>18</v>
      </c>
      <c r="D784" t="s">
        <v>105</v>
      </c>
      <c r="E784" t="s">
        <v>20</v>
      </c>
      <c r="F784" t="s">
        <v>1201</v>
      </c>
      <c r="G784" t="s">
        <v>22</v>
      </c>
      <c r="H784" t="s">
        <v>78</v>
      </c>
      <c r="I784" t="s">
        <v>45</v>
      </c>
      <c r="J784" s="9">
        <v>1</v>
      </c>
      <c r="K784" s="7">
        <v>15900</v>
      </c>
      <c r="L784" s="7">
        <v>0</v>
      </c>
      <c r="M784" s="9"/>
      <c r="N784" s="7">
        <v>18.899999999999999</v>
      </c>
      <c r="O784" s="7"/>
      <c r="P784" s="7"/>
      <c r="Q784" t="s">
        <v>45</v>
      </c>
      <c r="R784" s="7" t="str">
        <f>TEXT(Table1[[#This Row],[Date]],"mmm yyyy")</f>
        <v>Dec 2025</v>
      </c>
      <c r="S784" s="9">
        <f>YEAR(Table1[[#This Row],[Date]])</f>
        <v>2025</v>
      </c>
      <c r="T784" s="9"/>
      <c r="U784" s="9"/>
    </row>
    <row r="785" spans="1:21" x14ac:dyDescent="0.3">
      <c r="A785" t="s">
        <v>1299</v>
      </c>
      <c r="B785" s="6">
        <v>46049</v>
      </c>
      <c r="C785" t="s">
        <v>18</v>
      </c>
      <c r="D785" t="s">
        <v>117</v>
      </c>
      <c r="E785" t="s">
        <v>37</v>
      </c>
      <c r="F785" t="s">
        <v>1300</v>
      </c>
      <c r="G785" t="s">
        <v>30</v>
      </c>
      <c r="H785" t="s">
        <v>78</v>
      </c>
      <c r="I785" t="s">
        <v>67</v>
      </c>
      <c r="J785" s="9">
        <v>1</v>
      </c>
      <c r="K785" s="7">
        <v>17500</v>
      </c>
      <c r="L785" s="7">
        <v>0</v>
      </c>
      <c r="M785" s="9"/>
      <c r="N785" s="7">
        <v>7.2</v>
      </c>
      <c r="O785" s="7"/>
      <c r="P785" s="7"/>
      <c r="Q785" t="s">
        <v>67</v>
      </c>
      <c r="R785" s="7" t="str">
        <f>TEXT(Table1[[#This Row],[Date]],"mmm yyyy")</f>
        <v>Jan 2026</v>
      </c>
      <c r="S785" s="9">
        <f>YEAR(Table1[[#This Row],[Date]])</f>
        <v>2026</v>
      </c>
      <c r="T785" s="9"/>
      <c r="U785" s="9"/>
    </row>
    <row r="786" spans="1:21" x14ac:dyDescent="0.3">
      <c r="A786" t="s">
        <v>1301</v>
      </c>
      <c r="B786" s="6">
        <v>45953</v>
      </c>
      <c r="C786" t="s">
        <v>18</v>
      </c>
      <c r="D786" t="s">
        <v>41</v>
      </c>
      <c r="E786" t="s">
        <v>20</v>
      </c>
      <c r="F786" t="s">
        <v>1302</v>
      </c>
      <c r="G786" t="s">
        <v>44</v>
      </c>
      <c r="H786" t="s">
        <v>54</v>
      </c>
      <c r="I786" t="s">
        <v>24</v>
      </c>
      <c r="J786" s="9">
        <v>1</v>
      </c>
      <c r="K786" s="7">
        <v>17200</v>
      </c>
      <c r="L786" s="7">
        <v>17200</v>
      </c>
      <c r="M786" s="9"/>
      <c r="N786" s="7">
        <v>16</v>
      </c>
      <c r="O786" s="7"/>
      <c r="P786" s="7"/>
      <c r="Q786" t="s">
        <v>24</v>
      </c>
      <c r="R786" s="7" t="str">
        <f>TEXT(Table1[[#This Row],[Date]],"mmm yyyy")</f>
        <v>Oct 2025</v>
      </c>
      <c r="S786" s="9">
        <f>YEAR(Table1[[#This Row],[Date]])</f>
        <v>2025</v>
      </c>
      <c r="T786" s="9"/>
      <c r="U786" s="9"/>
    </row>
    <row r="787" spans="1:21" hidden="1" x14ac:dyDescent="0.3">
      <c r="A787" t="s">
        <v>1303</v>
      </c>
      <c r="B787" s="6">
        <v>45907</v>
      </c>
      <c r="C787" t="s">
        <v>26</v>
      </c>
      <c r="D787" t="s">
        <v>72</v>
      </c>
      <c r="E787" t="s">
        <v>20</v>
      </c>
      <c r="F787" t="s">
        <v>1304</v>
      </c>
      <c r="G787" t="s">
        <v>30</v>
      </c>
      <c r="J787" s="9">
        <v>0</v>
      </c>
      <c r="K787" s="7">
        <v>0</v>
      </c>
      <c r="L787" s="7">
        <v>0</v>
      </c>
      <c r="M787" s="9">
        <v>1</v>
      </c>
      <c r="N787" s="7">
        <v>4.7</v>
      </c>
      <c r="O787" s="7">
        <v>4.7</v>
      </c>
      <c r="P787" s="7">
        <v>4.3</v>
      </c>
      <c r="Q787" t="s">
        <v>39</v>
      </c>
      <c r="R787" s="7" t="str">
        <f>TEXT(Table1[[#This Row],[Date]],"mmm yyyy")</f>
        <v>Sep 2025</v>
      </c>
      <c r="S787" s="9">
        <f>YEAR(Table1[[#This Row],[Date]])</f>
        <v>2025</v>
      </c>
      <c r="T787" s="9"/>
      <c r="U787" s="9"/>
    </row>
    <row r="788" spans="1:21" hidden="1" x14ac:dyDescent="0.3">
      <c r="A788" t="s">
        <v>1305</v>
      </c>
      <c r="B788" s="6">
        <v>45914</v>
      </c>
      <c r="C788" t="s">
        <v>26</v>
      </c>
      <c r="D788" t="s">
        <v>72</v>
      </c>
      <c r="E788" t="s">
        <v>42</v>
      </c>
      <c r="F788" t="s">
        <v>783</v>
      </c>
      <c r="G788" t="s">
        <v>30</v>
      </c>
      <c r="J788" s="9">
        <v>0</v>
      </c>
      <c r="K788" s="7">
        <v>0</v>
      </c>
      <c r="L788" s="7">
        <v>0</v>
      </c>
      <c r="M788" s="9">
        <v>1</v>
      </c>
      <c r="N788" s="7">
        <v>3.5</v>
      </c>
      <c r="O788" s="7">
        <v>3.4</v>
      </c>
      <c r="P788" s="7">
        <v>4.7</v>
      </c>
      <c r="Q788" t="s">
        <v>39</v>
      </c>
      <c r="R788" s="7" t="str">
        <f>TEXT(Table1[[#This Row],[Date]],"mmm yyyy")</f>
        <v>Sep 2025</v>
      </c>
      <c r="S788" s="9">
        <f>YEAR(Table1[[#This Row],[Date]])</f>
        <v>2025</v>
      </c>
      <c r="T788" s="9"/>
      <c r="U788" s="9"/>
    </row>
    <row r="789" spans="1:21" x14ac:dyDescent="0.3">
      <c r="A789" t="s">
        <v>1306</v>
      </c>
      <c r="B789" s="6">
        <v>46081</v>
      </c>
      <c r="C789" t="s">
        <v>18</v>
      </c>
      <c r="D789" t="s">
        <v>105</v>
      </c>
      <c r="E789" t="s">
        <v>37</v>
      </c>
      <c r="F789" t="s">
        <v>1307</v>
      </c>
      <c r="G789" t="s">
        <v>30</v>
      </c>
      <c r="H789" t="s">
        <v>23</v>
      </c>
      <c r="I789" t="s">
        <v>45</v>
      </c>
      <c r="J789" s="9">
        <v>1</v>
      </c>
      <c r="K789" s="7">
        <v>8500</v>
      </c>
      <c r="L789" s="7">
        <v>0</v>
      </c>
      <c r="M789" s="9"/>
      <c r="N789" s="7">
        <v>5.2</v>
      </c>
      <c r="O789" s="7"/>
      <c r="P789" s="7"/>
      <c r="Q789" t="s">
        <v>45</v>
      </c>
      <c r="R789" s="7" t="str">
        <f>TEXT(Table1[[#This Row],[Date]],"mmm yyyy")</f>
        <v>Feb 2026</v>
      </c>
      <c r="S789" s="9">
        <f>YEAR(Table1[[#This Row],[Date]])</f>
        <v>2026</v>
      </c>
      <c r="T789" s="9"/>
      <c r="U789" s="9"/>
    </row>
    <row r="790" spans="1:21" x14ac:dyDescent="0.3">
      <c r="A790" t="s">
        <v>1308</v>
      </c>
      <c r="B790" s="6">
        <v>46095</v>
      </c>
      <c r="C790" t="s">
        <v>18</v>
      </c>
      <c r="D790" t="s">
        <v>117</v>
      </c>
      <c r="E790" t="s">
        <v>42</v>
      </c>
      <c r="F790" t="s">
        <v>1309</v>
      </c>
      <c r="G790" t="s">
        <v>22</v>
      </c>
      <c r="H790" t="s">
        <v>23</v>
      </c>
      <c r="I790" t="s">
        <v>55</v>
      </c>
      <c r="J790" s="9">
        <v>1</v>
      </c>
      <c r="K790" s="7">
        <v>18700</v>
      </c>
      <c r="L790" s="7">
        <v>0</v>
      </c>
      <c r="M790" s="9"/>
      <c r="N790" s="7">
        <v>6.8</v>
      </c>
      <c r="O790" s="7"/>
      <c r="P790" s="7"/>
      <c r="Q790" t="s">
        <v>55</v>
      </c>
      <c r="R790" s="7" t="str">
        <f>TEXT(Table1[[#This Row],[Date]],"mmm yyyy")</f>
        <v>Mar 2026</v>
      </c>
      <c r="S790" s="9">
        <f>YEAR(Table1[[#This Row],[Date]])</f>
        <v>2026</v>
      </c>
      <c r="T790" s="9"/>
      <c r="U790" s="9"/>
    </row>
    <row r="791" spans="1:21" hidden="1" x14ac:dyDescent="0.3">
      <c r="A791" t="s">
        <v>1310</v>
      </c>
      <c r="B791" s="6">
        <v>45983</v>
      </c>
      <c r="C791" t="s">
        <v>26</v>
      </c>
      <c r="D791" t="s">
        <v>33</v>
      </c>
      <c r="E791" t="s">
        <v>20</v>
      </c>
      <c r="F791" t="s">
        <v>1311</v>
      </c>
      <c r="G791" t="s">
        <v>22</v>
      </c>
      <c r="J791" s="9">
        <v>0</v>
      </c>
      <c r="K791" s="7">
        <v>0</v>
      </c>
      <c r="L791" s="7">
        <v>0</v>
      </c>
      <c r="M791" s="9">
        <v>1</v>
      </c>
      <c r="N791" s="7">
        <v>9.6999999999999993</v>
      </c>
      <c r="O791" s="7">
        <v>5.4</v>
      </c>
      <c r="P791" s="7">
        <v>4.4000000000000004</v>
      </c>
      <c r="Q791" t="s">
        <v>31</v>
      </c>
      <c r="R791" s="7" t="str">
        <f>TEXT(Table1[[#This Row],[Date]],"mmm yyyy")</f>
        <v>Nov 2025</v>
      </c>
      <c r="S791" s="9">
        <f>YEAR(Table1[[#This Row],[Date]])</f>
        <v>2025</v>
      </c>
      <c r="T791" s="9"/>
      <c r="U791" s="9"/>
    </row>
    <row r="792" spans="1:21" x14ac:dyDescent="0.3">
      <c r="A792" t="s">
        <v>1312</v>
      </c>
      <c r="B792" s="6">
        <v>45915</v>
      </c>
      <c r="C792" t="s">
        <v>18</v>
      </c>
      <c r="D792" t="s">
        <v>64</v>
      </c>
      <c r="E792" t="s">
        <v>37</v>
      </c>
      <c r="F792" t="s">
        <v>1141</v>
      </c>
      <c r="G792" t="s">
        <v>30</v>
      </c>
      <c r="H792" t="s">
        <v>86</v>
      </c>
      <c r="I792" t="s">
        <v>24</v>
      </c>
      <c r="J792" s="9">
        <v>1</v>
      </c>
      <c r="K792" s="7">
        <v>19200</v>
      </c>
      <c r="L792" s="7">
        <v>19200</v>
      </c>
      <c r="M792" s="9"/>
      <c r="N792" s="7">
        <v>10</v>
      </c>
      <c r="O792" s="7"/>
      <c r="P792" s="7"/>
      <c r="Q792" t="s">
        <v>24</v>
      </c>
      <c r="R792" s="7" t="str">
        <f>TEXT(Table1[[#This Row],[Date]],"mmm yyyy")</f>
        <v>Sep 2025</v>
      </c>
      <c r="S792" s="9">
        <f>YEAR(Table1[[#This Row],[Date]])</f>
        <v>2025</v>
      </c>
      <c r="T792" s="9"/>
      <c r="U792" s="9"/>
    </row>
    <row r="793" spans="1:21" hidden="1" x14ac:dyDescent="0.3">
      <c r="A793" t="s">
        <v>1313</v>
      </c>
      <c r="B793" s="6">
        <v>46182</v>
      </c>
      <c r="C793" t="s">
        <v>26</v>
      </c>
      <c r="D793" t="s">
        <v>232</v>
      </c>
      <c r="E793" t="s">
        <v>48</v>
      </c>
      <c r="F793" t="s">
        <v>499</v>
      </c>
      <c r="G793" t="s">
        <v>50</v>
      </c>
      <c r="J793" s="9">
        <v>0</v>
      </c>
      <c r="K793" s="7">
        <v>0</v>
      </c>
      <c r="L793" s="7">
        <v>0</v>
      </c>
      <c r="M793" s="9">
        <v>1</v>
      </c>
      <c r="N793" s="7">
        <v>5.9</v>
      </c>
      <c r="O793" s="7">
        <v>4.7</v>
      </c>
      <c r="P793" s="7">
        <v>3.7</v>
      </c>
      <c r="Q793" t="s">
        <v>39</v>
      </c>
      <c r="R793" s="7" t="str">
        <f>TEXT(Table1[[#This Row],[Date]],"mmm yyyy")</f>
        <v>Jun 2026</v>
      </c>
      <c r="S793" s="9">
        <f>YEAR(Table1[[#This Row],[Date]])</f>
        <v>2026</v>
      </c>
      <c r="T793" s="9"/>
      <c r="U793" s="9"/>
    </row>
    <row r="794" spans="1:21" x14ac:dyDescent="0.3">
      <c r="A794" t="s">
        <v>1314</v>
      </c>
      <c r="B794" s="6">
        <v>46230</v>
      </c>
      <c r="C794" t="s">
        <v>18</v>
      </c>
      <c r="D794" t="s">
        <v>105</v>
      </c>
      <c r="E794" t="s">
        <v>28</v>
      </c>
      <c r="F794" t="s">
        <v>759</v>
      </c>
      <c r="G794" t="s">
        <v>50</v>
      </c>
      <c r="H794" t="s">
        <v>66</v>
      </c>
      <c r="I794" t="s">
        <v>55</v>
      </c>
      <c r="J794" s="9">
        <v>1</v>
      </c>
      <c r="K794" s="7">
        <v>25800</v>
      </c>
      <c r="L794" s="7">
        <v>0</v>
      </c>
      <c r="M794" s="9"/>
      <c r="N794" s="7">
        <v>6</v>
      </c>
      <c r="O794" s="7"/>
      <c r="P794" s="7"/>
      <c r="Q794" t="s">
        <v>55</v>
      </c>
      <c r="R794" s="7" t="str">
        <f>TEXT(Table1[[#This Row],[Date]],"mmm yyyy")</f>
        <v>Jul 2026</v>
      </c>
      <c r="S794" s="9">
        <f>YEAR(Table1[[#This Row],[Date]])</f>
        <v>2026</v>
      </c>
      <c r="T794" s="9"/>
      <c r="U794" s="9"/>
    </row>
    <row r="795" spans="1:21" hidden="1" x14ac:dyDescent="0.3">
      <c r="A795" t="s">
        <v>1315</v>
      </c>
      <c r="B795" s="6">
        <v>45972</v>
      </c>
      <c r="C795" t="s">
        <v>26</v>
      </c>
      <c r="D795" t="s">
        <v>69</v>
      </c>
      <c r="E795" t="s">
        <v>42</v>
      </c>
      <c r="F795" t="s">
        <v>1316</v>
      </c>
      <c r="G795" t="s">
        <v>30</v>
      </c>
      <c r="J795" s="9">
        <v>0</v>
      </c>
      <c r="K795" s="7">
        <v>0</v>
      </c>
      <c r="L795" s="7">
        <v>0</v>
      </c>
      <c r="M795" s="9">
        <v>1</v>
      </c>
      <c r="N795" s="7">
        <v>7.8</v>
      </c>
      <c r="O795" s="7">
        <v>7.6</v>
      </c>
      <c r="P795" s="7">
        <v>4.3</v>
      </c>
      <c r="Q795" t="s">
        <v>62</v>
      </c>
      <c r="R795" s="7" t="str">
        <f>TEXT(Table1[[#This Row],[Date]],"mmm yyyy")</f>
        <v>Nov 2025</v>
      </c>
      <c r="S795" s="9">
        <f>YEAR(Table1[[#This Row],[Date]])</f>
        <v>2025</v>
      </c>
      <c r="T795" s="9"/>
      <c r="U795" s="9"/>
    </row>
    <row r="796" spans="1:21" x14ac:dyDescent="0.3">
      <c r="A796" t="s">
        <v>1317</v>
      </c>
      <c r="B796" s="6">
        <v>45960</v>
      </c>
      <c r="C796" t="s">
        <v>18</v>
      </c>
      <c r="D796" t="s">
        <v>95</v>
      </c>
      <c r="E796" t="s">
        <v>48</v>
      </c>
      <c r="F796" t="s">
        <v>609</v>
      </c>
      <c r="G796" t="s">
        <v>30</v>
      </c>
      <c r="H796" t="s">
        <v>23</v>
      </c>
      <c r="I796" t="s">
        <v>45</v>
      </c>
      <c r="J796" s="9">
        <v>1</v>
      </c>
      <c r="K796" s="7">
        <v>29700</v>
      </c>
      <c r="L796" s="7">
        <v>0</v>
      </c>
      <c r="M796" s="9"/>
      <c r="N796" s="7">
        <v>13.2</v>
      </c>
      <c r="O796" s="7"/>
      <c r="P796" s="7"/>
      <c r="Q796" t="s">
        <v>45</v>
      </c>
      <c r="R796" s="7" t="str">
        <f>TEXT(Table1[[#This Row],[Date]],"mmm yyyy")</f>
        <v>Oct 2025</v>
      </c>
      <c r="S796" s="9">
        <f>YEAR(Table1[[#This Row],[Date]])</f>
        <v>2025</v>
      </c>
      <c r="T796" s="9"/>
      <c r="U796" s="9"/>
    </row>
    <row r="797" spans="1:21" hidden="1" x14ac:dyDescent="0.3">
      <c r="A797" t="s">
        <v>1318</v>
      </c>
      <c r="B797" s="6">
        <v>46137</v>
      </c>
      <c r="C797" t="s">
        <v>26</v>
      </c>
      <c r="D797" t="s">
        <v>33</v>
      </c>
      <c r="E797" t="s">
        <v>20</v>
      </c>
      <c r="F797" t="s">
        <v>29</v>
      </c>
      <c r="G797" t="s">
        <v>44</v>
      </c>
      <c r="J797" s="9">
        <v>0</v>
      </c>
      <c r="K797" s="7">
        <v>0</v>
      </c>
      <c r="L797" s="7">
        <v>0</v>
      </c>
      <c r="M797" s="9">
        <v>1</v>
      </c>
      <c r="N797" s="7">
        <v>5.5</v>
      </c>
      <c r="O797" s="7">
        <v>20.100000000000001</v>
      </c>
      <c r="P797" s="7">
        <v>3.9</v>
      </c>
      <c r="Q797" t="s">
        <v>31</v>
      </c>
      <c r="R797" s="7" t="str">
        <f>TEXT(Table1[[#This Row],[Date]],"mmm yyyy")</f>
        <v>Apr 2026</v>
      </c>
      <c r="S797" s="9">
        <f>YEAR(Table1[[#This Row],[Date]])</f>
        <v>2026</v>
      </c>
      <c r="T797" s="9"/>
      <c r="U797" s="9"/>
    </row>
    <row r="798" spans="1:21" hidden="1" x14ac:dyDescent="0.3">
      <c r="A798" t="s">
        <v>1319</v>
      </c>
      <c r="B798" s="6">
        <v>46233</v>
      </c>
      <c r="C798" t="s">
        <v>26</v>
      </c>
      <c r="D798" t="s">
        <v>36</v>
      </c>
      <c r="E798" t="s">
        <v>20</v>
      </c>
      <c r="F798" t="s">
        <v>445</v>
      </c>
      <c r="G798" t="s">
        <v>30</v>
      </c>
      <c r="J798" s="9">
        <v>0</v>
      </c>
      <c r="K798" s="7">
        <v>0</v>
      </c>
      <c r="L798" s="7">
        <v>0</v>
      </c>
      <c r="M798" s="9">
        <v>1</v>
      </c>
      <c r="N798" s="7">
        <v>6</v>
      </c>
      <c r="O798" s="7">
        <v>10</v>
      </c>
      <c r="P798" s="7">
        <v>5</v>
      </c>
      <c r="Q798" t="s">
        <v>62</v>
      </c>
      <c r="R798" s="7" t="str">
        <f>TEXT(Table1[[#This Row],[Date]],"mmm yyyy")</f>
        <v>Jul 2026</v>
      </c>
      <c r="S798" s="9">
        <f>YEAR(Table1[[#This Row],[Date]])</f>
        <v>2026</v>
      </c>
      <c r="T798" s="9"/>
      <c r="U798" s="9"/>
    </row>
    <row r="799" spans="1:21" hidden="1" x14ac:dyDescent="0.3">
      <c r="A799" t="s">
        <v>1320</v>
      </c>
      <c r="B799" s="6">
        <v>46150</v>
      </c>
      <c r="C799" t="s">
        <v>26</v>
      </c>
      <c r="D799" t="s">
        <v>27</v>
      </c>
      <c r="E799" t="s">
        <v>20</v>
      </c>
      <c r="F799" t="s">
        <v>1321</v>
      </c>
      <c r="G799" t="s">
        <v>30</v>
      </c>
      <c r="J799" s="9">
        <v>0</v>
      </c>
      <c r="K799" s="7">
        <v>0</v>
      </c>
      <c r="L799" s="7">
        <v>0</v>
      </c>
      <c r="M799" s="9">
        <v>1</v>
      </c>
      <c r="N799" s="7">
        <v>2.8</v>
      </c>
      <c r="O799" s="7">
        <v>2.2999999999999998</v>
      </c>
      <c r="P799" s="7">
        <v>3.9</v>
      </c>
      <c r="Q799" t="s">
        <v>39</v>
      </c>
      <c r="R799" s="7" t="str">
        <f>TEXT(Table1[[#This Row],[Date]],"mmm yyyy")</f>
        <v>May 2026</v>
      </c>
      <c r="S799" s="9">
        <f>YEAR(Table1[[#This Row],[Date]])</f>
        <v>2026</v>
      </c>
      <c r="T799" s="9"/>
      <c r="U799" s="9"/>
    </row>
    <row r="800" spans="1:21" hidden="1" x14ac:dyDescent="0.3">
      <c r="A800" t="s">
        <v>1322</v>
      </c>
      <c r="B800" s="6">
        <v>46044</v>
      </c>
      <c r="C800" t="s">
        <v>26</v>
      </c>
      <c r="D800" t="s">
        <v>69</v>
      </c>
      <c r="E800" t="s">
        <v>42</v>
      </c>
      <c r="F800" t="s">
        <v>1323</v>
      </c>
      <c r="G800" t="s">
        <v>30</v>
      </c>
      <c r="J800" s="9">
        <v>0</v>
      </c>
      <c r="K800" s="7">
        <v>0</v>
      </c>
      <c r="L800" s="7">
        <v>0</v>
      </c>
      <c r="M800" s="9">
        <v>1</v>
      </c>
      <c r="N800" s="7">
        <v>0.5</v>
      </c>
      <c r="O800" s="7">
        <v>51.2</v>
      </c>
      <c r="P800" s="7">
        <v>5</v>
      </c>
      <c r="Q800" t="s">
        <v>62</v>
      </c>
      <c r="R800" s="7" t="str">
        <f>TEXT(Table1[[#This Row],[Date]],"mmm yyyy")</f>
        <v>Jan 2026</v>
      </c>
      <c r="S800" s="9">
        <f>YEAR(Table1[[#This Row],[Date]])</f>
        <v>2026</v>
      </c>
      <c r="T800" s="9"/>
      <c r="U800" s="9"/>
    </row>
    <row r="801" spans="1:21" hidden="1" x14ac:dyDescent="0.3">
      <c r="A801" t="s">
        <v>1324</v>
      </c>
      <c r="B801" s="6">
        <v>46066</v>
      </c>
      <c r="C801" t="s">
        <v>26</v>
      </c>
      <c r="D801" t="s">
        <v>72</v>
      </c>
      <c r="E801" t="s">
        <v>20</v>
      </c>
      <c r="F801" t="s">
        <v>158</v>
      </c>
      <c r="G801" t="s">
        <v>22</v>
      </c>
      <c r="J801" s="9">
        <v>0</v>
      </c>
      <c r="K801" s="7">
        <v>0</v>
      </c>
      <c r="L801" s="7">
        <v>0</v>
      </c>
      <c r="M801" s="9">
        <v>1</v>
      </c>
      <c r="N801" s="7">
        <v>0.9</v>
      </c>
      <c r="O801" s="7">
        <v>7.7</v>
      </c>
      <c r="P801" s="7">
        <v>4</v>
      </c>
      <c r="Q801" t="s">
        <v>62</v>
      </c>
      <c r="R801" s="7" t="str">
        <f>TEXT(Table1[[#This Row],[Date]],"mmm yyyy")</f>
        <v>Feb 2026</v>
      </c>
      <c r="S801" s="9">
        <f>YEAR(Table1[[#This Row],[Date]])</f>
        <v>2026</v>
      </c>
      <c r="T801" s="9"/>
      <c r="U801" s="9"/>
    </row>
    <row r="802" spans="1:21" hidden="1" x14ac:dyDescent="0.3">
      <c r="A802" t="s">
        <v>1325</v>
      </c>
      <c r="B802" s="6">
        <v>45967</v>
      </c>
      <c r="C802" t="s">
        <v>26</v>
      </c>
      <c r="D802" t="s">
        <v>232</v>
      </c>
      <c r="E802" t="s">
        <v>20</v>
      </c>
      <c r="F802" t="s">
        <v>1326</v>
      </c>
      <c r="G802" t="s">
        <v>30</v>
      </c>
      <c r="J802" s="9">
        <v>0</v>
      </c>
      <c r="K802" s="7">
        <v>0</v>
      </c>
      <c r="L802" s="7">
        <v>0</v>
      </c>
      <c r="M802" s="9">
        <v>1</v>
      </c>
      <c r="N802" s="7">
        <v>1.9</v>
      </c>
      <c r="O802" s="7">
        <v>12.7</v>
      </c>
      <c r="P802" s="7">
        <v>3</v>
      </c>
      <c r="Q802" t="s">
        <v>31</v>
      </c>
      <c r="R802" s="7" t="str">
        <f>TEXT(Table1[[#This Row],[Date]],"mmm yyyy")</f>
        <v>Nov 2025</v>
      </c>
      <c r="S802" s="9">
        <f>YEAR(Table1[[#This Row],[Date]])</f>
        <v>2025</v>
      </c>
      <c r="T802" s="9"/>
      <c r="U802" s="9"/>
    </row>
    <row r="803" spans="1:21" x14ac:dyDescent="0.3">
      <c r="A803" t="s">
        <v>1327</v>
      </c>
      <c r="B803" s="6">
        <v>45943</v>
      </c>
      <c r="C803" t="s">
        <v>18</v>
      </c>
      <c r="D803" t="s">
        <v>19</v>
      </c>
      <c r="E803" t="s">
        <v>20</v>
      </c>
      <c r="F803" t="s">
        <v>978</v>
      </c>
      <c r="G803" t="s">
        <v>30</v>
      </c>
      <c r="H803" t="s">
        <v>54</v>
      </c>
      <c r="I803" t="s">
        <v>24</v>
      </c>
      <c r="J803" s="9">
        <v>1</v>
      </c>
      <c r="K803" s="7">
        <v>18900</v>
      </c>
      <c r="L803" s="7">
        <v>18900</v>
      </c>
      <c r="M803" s="9"/>
      <c r="N803" s="7">
        <v>7.8</v>
      </c>
      <c r="O803" s="7"/>
      <c r="P803" s="7"/>
      <c r="Q803" t="s">
        <v>24</v>
      </c>
      <c r="R803" s="7" t="str">
        <f>TEXT(Table1[[#This Row],[Date]],"mmm yyyy")</f>
        <v>Oct 2025</v>
      </c>
      <c r="S803" s="9">
        <f>YEAR(Table1[[#This Row],[Date]])</f>
        <v>2025</v>
      </c>
      <c r="T803" s="9"/>
      <c r="U803" s="9"/>
    </row>
    <row r="804" spans="1:21" hidden="1" x14ac:dyDescent="0.3">
      <c r="A804" t="s">
        <v>1328</v>
      </c>
      <c r="B804" s="6">
        <v>45939</v>
      </c>
      <c r="C804" t="s">
        <v>26</v>
      </c>
      <c r="D804" t="s">
        <v>232</v>
      </c>
      <c r="E804" t="s">
        <v>20</v>
      </c>
      <c r="F804" t="s">
        <v>1290</v>
      </c>
      <c r="G804" t="s">
        <v>44</v>
      </c>
      <c r="J804" s="9">
        <v>0</v>
      </c>
      <c r="K804" s="7">
        <v>0</v>
      </c>
      <c r="L804" s="7">
        <v>0</v>
      </c>
      <c r="M804" s="9">
        <v>1</v>
      </c>
      <c r="N804" s="7">
        <v>3.2</v>
      </c>
      <c r="O804" s="7">
        <v>6.1</v>
      </c>
      <c r="P804" s="7">
        <v>4.0999999999999996</v>
      </c>
      <c r="Q804" t="s">
        <v>62</v>
      </c>
      <c r="R804" s="7" t="str">
        <f>TEXT(Table1[[#This Row],[Date]],"mmm yyyy")</f>
        <v>Oct 2025</v>
      </c>
      <c r="S804" s="9">
        <f>YEAR(Table1[[#This Row],[Date]])</f>
        <v>2025</v>
      </c>
      <c r="T804" s="9"/>
      <c r="U804" s="9"/>
    </row>
    <row r="805" spans="1:21" hidden="1" x14ac:dyDescent="0.3">
      <c r="A805" t="s">
        <v>1329</v>
      </c>
      <c r="B805" s="6">
        <v>45967</v>
      </c>
      <c r="C805" t="s">
        <v>26</v>
      </c>
      <c r="D805" t="s">
        <v>69</v>
      </c>
      <c r="E805" t="s">
        <v>20</v>
      </c>
      <c r="F805" t="s">
        <v>1330</v>
      </c>
      <c r="G805" t="s">
        <v>30</v>
      </c>
      <c r="J805" s="9">
        <v>0</v>
      </c>
      <c r="K805" s="7">
        <v>0</v>
      </c>
      <c r="L805" s="7">
        <v>0</v>
      </c>
      <c r="M805" s="9">
        <v>1</v>
      </c>
      <c r="N805" s="7">
        <v>4.3</v>
      </c>
      <c r="O805" s="7">
        <v>10.7</v>
      </c>
      <c r="P805" s="7">
        <v>5</v>
      </c>
      <c r="Q805" t="s">
        <v>62</v>
      </c>
      <c r="R805" s="7" t="str">
        <f>TEXT(Table1[[#This Row],[Date]],"mmm yyyy")</f>
        <v>Nov 2025</v>
      </c>
      <c r="S805" s="9">
        <f>YEAR(Table1[[#This Row],[Date]])</f>
        <v>2025</v>
      </c>
      <c r="T805" s="9"/>
      <c r="U805" s="9"/>
    </row>
    <row r="806" spans="1:21" x14ac:dyDescent="0.3">
      <c r="A806" t="s">
        <v>1331</v>
      </c>
      <c r="B806" s="6">
        <v>46008</v>
      </c>
      <c r="C806" t="s">
        <v>18</v>
      </c>
      <c r="D806" t="s">
        <v>47</v>
      </c>
      <c r="E806" t="s">
        <v>48</v>
      </c>
      <c r="F806" t="s">
        <v>1332</v>
      </c>
      <c r="G806" t="s">
        <v>22</v>
      </c>
      <c r="H806" t="s">
        <v>78</v>
      </c>
      <c r="I806" t="s">
        <v>24</v>
      </c>
      <c r="J806" s="9">
        <v>1</v>
      </c>
      <c r="K806" s="7">
        <v>13900</v>
      </c>
      <c r="L806" s="7">
        <v>13900</v>
      </c>
      <c r="M806" s="9"/>
      <c r="N806" s="7">
        <v>16.100000000000001</v>
      </c>
      <c r="O806" s="7"/>
      <c r="P806" s="7"/>
      <c r="Q806" t="s">
        <v>24</v>
      </c>
      <c r="R806" s="7" t="str">
        <f>TEXT(Table1[[#This Row],[Date]],"mmm yyyy")</f>
        <v>Dec 2025</v>
      </c>
      <c r="S806" s="9">
        <f>YEAR(Table1[[#This Row],[Date]])</f>
        <v>2025</v>
      </c>
      <c r="T806" s="9"/>
      <c r="U806" s="9"/>
    </row>
    <row r="807" spans="1:21" hidden="1" x14ac:dyDescent="0.3">
      <c r="A807" t="s">
        <v>1333</v>
      </c>
      <c r="B807" s="6">
        <v>46017</v>
      </c>
      <c r="C807" t="s">
        <v>26</v>
      </c>
      <c r="D807" t="s">
        <v>27</v>
      </c>
      <c r="E807" t="s">
        <v>37</v>
      </c>
      <c r="F807" t="s">
        <v>1334</v>
      </c>
      <c r="G807" t="s">
        <v>44</v>
      </c>
      <c r="J807" s="9">
        <v>0</v>
      </c>
      <c r="K807" s="7">
        <v>0</v>
      </c>
      <c r="L807" s="7">
        <v>0</v>
      </c>
      <c r="M807" s="9">
        <v>1</v>
      </c>
      <c r="N807" s="7">
        <v>10.6</v>
      </c>
      <c r="O807" s="7">
        <v>2</v>
      </c>
      <c r="P807" s="7">
        <v>4.8</v>
      </c>
      <c r="Q807" t="s">
        <v>31</v>
      </c>
      <c r="R807" s="7" t="str">
        <f>TEXT(Table1[[#This Row],[Date]],"mmm yyyy")</f>
        <v>Dec 2025</v>
      </c>
      <c r="S807" s="9">
        <f>YEAR(Table1[[#This Row],[Date]])</f>
        <v>2025</v>
      </c>
      <c r="T807" s="9"/>
      <c r="U807" s="9"/>
    </row>
    <row r="808" spans="1:21" hidden="1" x14ac:dyDescent="0.3">
      <c r="A808" t="s">
        <v>1335</v>
      </c>
      <c r="B808" s="6">
        <v>46187</v>
      </c>
      <c r="C808" t="s">
        <v>26</v>
      </c>
      <c r="D808" t="s">
        <v>27</v>
      </c>
      <c r="E808" t="s">
        <v>37</v>
      </c>
      <c r="F808" t="s">
        <v>1336</v>
      </c>
      <c r="G808" t="s">
        <v>44</v>
      </c>
      <c r="J808" s="9">
        <v>0</v>
      </c>
      <c r="K808" s="7">
        <v>0</v>
      </c>
      <c r="L808" s="7">
        <v>0</v>
      </c>
      <c r="M808" s="9">
        <v>1</v>
      </c>
      <c r="N808" s="7">
        <v>7.5</v>
      </c>
      <c r="O808" s="7">
        <v>3.6</v>
      </c>
      <c r="P808" s="7">
        <v>4.0999999999999996</v>
      </c>
      <c r="Q808" t="s">
        <v>225</v>
      </c>
      <c r="R808" s="7" t="str">
        <f>TEXT(Table1[[#This Row],[Date]],"mmm yyyy")</f>
        <v>Jun 2026</v>
      </c>
      <c r="S808" s="9">
        <f>YEAR(Table1[[#This Row],[Date]])</f>
        <v>2026</v>
      </c>
      <c r="T808" s="9"/>
      <c r="U808" s="9"/>
    </row>
    <row r="809" spans="1:21" hidden="1" x14ac:dyDescent="0.3">
      <c r="A809" t="s">
        <v>1337</v>
      </c>
      <c r="B809" s="6">
        <v>45913</v>
      </c>
      <c r="C809" t="s">
        <v>26</v>
      </c>
      <c r="D809" t="s">
        <v>33</v>
      </c>
      <c r="E809" t="s">
        <v>20</v>
      </c>
      <c r="F809" t="s">
        <v>366</v>
      </c>
      <c r="G809" t="s">
        <v>30</v>
      </c>
      <c r="J809" s="9">
        <v>0</v>
      </c>
      <c r="K809" s="7">
        <v>0</v>
      </c>
      <c r="L809" s="7">
        <v>0</v>
      </c>
      <c r="M809" s="9">
        <v>1</v>
      </c>
      <c r="N809" s="7">
        <v>11.7</v>
      </c>
      <c r="O809" s="7">
        <v>6.7</v>
      </c>
      <c r="P809" s="7">
        <v>4.5999999999999996</v>
      </c>
      <c r="Q809" t="s">
        <v>39</v>
      </c>
      <c r="R809" s="7" t="str">
        <f>TEXT(Table1[[#This Row],[Date]],"mmm yyyy")</f>
        <v>Sep 2025</v>
      </c>
      <c r="S809" s="9">
        <f>YEAR(Table1[[#This Row],[Date]])</f>
        <v>2025</v>
      </c>
      <c r="T809" s="9"/>
      <c r="U809" s="9"/>
    </row>
    <row r="810" spans="1:21" x14ac:dyDescent="0.3">
      <c r="A810" t="s">
        <v>1338</v>
      </c>
      <c r="B810" s="6">
        <v>45943</v>
      </c>
      <c r="C810" t="s">
        <v>18</v>
      </c>
      <c r="D810" t="s">
        <v>95</v>
      </c>
      <c r="E810" t="s">
        <v>20</v>
      </c>
      <c r="F810" t="s">
        <v>923</v>
      </c>
      <c r="G810" t="s">
        <v>22</v>
      </c>
      <c r="H810" t="s">
        <v>23</v>
      </c>
      <c r="I810" t="s">
        <v>89</v>
      </c>
      <c r="J810" s="9">
        <v>1</v>
      </c>
      <c r="K810" s="7">
        <v>5700</v>
      </c>
      <c r="L810" s="7">
        <v>0</v>
      </c>
      <c r="M810" s="9"/>
      <c r="N810" s="7">
        <v>17.8</v>
      </c>
      <c r="O810" s="7"/>
      <c r="P810" s="7"/>
      <c r="Q810" t="s">
        <v>89</v>
      </c>
      <c r="R810" s="7" t="str">
        <f>TEXT(Table1[[#This Row],[Date]],"mmm yyyy")</f>
        <v>Oct 2025</v>
      </c>
      <c r="S810" s="9">
        <f>YEAR(Table1[[#This Row],[Date]])</f>
        <v>2025</v>
      </c>
      <c r="T810" s="9"/>
      <c r="U810" s="9"/>
    </row>
    <row r="811" spans="1:21" x14ac:dyDescent="0.3">
      <c r="A811" t="s">
        <v>1339</v>
      </c>
      <c r="B811" s="6">
        <v>46220</v>
      </c>
      <c r="C811" t="s">
        <v>18</v>
      </c>
      <c r="D811" t="s">
        <v>64</v>
      </c>
      <c r="E811" t="s">
        <v>48</v>
      </c>
      <c r="F811" t="s">
        <v>340</v>
      </c>
      <c r="G811" t="s">
        <v>44</v>
      </c>
      <c r="H811" t="s">
        <v>66</v>
      </c>
      <c r="I811" t="s">
        <v>24</v>
      </c>
      <c r="J811" s="9">
        <v>1</v>
      </c>
      <c r="K811" s="7">
        <v>34500</v>
      </c>
      <c r="L811" s="7">
        <v>34500</v>
      </c>
      <c r="M811" s="9"/>
      <c r="N811" s="7">
        <v>20.100000000000001</v>
      </c>
      <c r="O811" s="7"/>
      <c r="P811" s="7"/>
      <c r="Q811" t="s">
        <v>24</v>
      </c>
      <c r="R811" s="7" t="str">
        <f>TEXT(Table1[[#This Row],[Date]],"mmm yyyy")</f>
        <v>Jul 2026</v>
      </c>
      <c r="S811" s="9">
        <f>YEAR(Table1[[#This Row],[Date]])</f>
        <v>2026</v>
      </c>
      <c r="T811" s="9"/>
      <c r="U811" s="9"/>
    </row>
    <row r="812" spans="1:21" hidden="1" x14ac:dyDescent="0.3">
      <c r="A812" t="s">
        <v>1340</v>
      </c>
      <c r="B812" s="6">
        <v>45954</v>
      </c>
      <c r="C812" t="s">
        <v>26</v>
      </c>
      <c r="D812" t="s">
        <v>126</v>
      </c>
      <c r="E812" t="s">
        <v>28</v>
      </c>
      <c r="F812" t="s">
        <v>1186</v>
      </c>
      <c r="G812" t="s">
        <v>22</v>
      </c>
      <c r="J812" s="9">
        <v>0</v>
      </c>
      <c r="K812" s="7">
        <v>0</v>
      </c>
      <c r="L812" s="7">
        <v>0</v>
      </c>
      <c r="M812" s="9">
        <v>1</v>
      </c>
      <c r="N812" s="7">
        <v>2.6</v>
      </c>
      <c r="O812" s="7">
        <v>5.7</v>
      </c>
      <c r="P812" s="7">
        <v>3.6</v>
      </c>
      <c r="Q812" t="s">
        <v>225</v>
      </c>
      <c r="R812" s="7" t="str">
        <f>TEXT(Table1[[#This Row],[Date]],"mmm yyyy")</f>
        <v>Oct 2025</v>
      </c>
      <c r="S812" s="9">
        <f>YEAR(Table1[[#This Row],[Date]])</f>
        <v>2025</v>
      </c>
      <c r="T812" s="9"/>
      <c r="U812" s="9"/>
    </row>
    <row r="813" spans="1:21" hidden="1" x14ac:dyDescent="0.3">
      <c r="A813" t="s">
        <v>1341</v>
      </c>
      <c r="B813" s="6">
        <v>46248</v>
      </c>
      <c r="C813" t="s">
        <v>26</v>
      </c>
      <c r="D813" t="s">
        <v>126</v>
      </c>
      <c r="E813" t="s">
        <v>20</v>
      </c>
      <c r="F813" t="s">
        <v>1342</v>
      </c>
      <c r="G813" t="s">
        <v>22</v>
      </c>
      <c r="J813" s="9">
        <v>0</v>
      </c>
      <c r="K813" s="7">
        <v>0</v>
      </c>
      <c r="L813" s="7">
        <v>0</v>
      </c>
      <c r="M813" s="9">
        <v>1</v>
      </c>
      <c r="N813" s="7">
        <v>0.4</v>
      </c>
      <c r="O813" s="7">
        <v>8.8000000000000007</v>
      </c>
      <c r="P813" s="7">
        <v>4.0999999999999996</v>
      </c>
      <c r="Q813" t="s">
        <v>31</v>
      </c>
      <c r="R813" s="7" t="str">
        <f>TEXT(Table1[[#This Row],[Date]],"mmm yyyy")</f>
        <v>Aug 2026</v>
      </c>
      <c r="S813" s="9">
        <f>YEAR(Table1[[#This Row],[Date]])</f>
        <v>2026</v>
      </c>
      <c r="T813" s="9"/>
      <c r="U813" s="9"/>
    </row>
    <row r="814" spans="1:21" x14ac:dyDescent="0.3">
      <c r="A814" t="s">
        <v>1343</v>
      </c>
      <c r="B814" s="6">
        <v>45959</v>
      </c>
      <c r="C814" t="s">
        <v>18</v>
      </c>
      <c r="D814" t="s">
        <v>47</v>
      </c>
      <c r="E814" t="s">
        <v>48</v>
      </c>
      <c r="F814" t="s">
        <v>857</v>
      </c>
      <c r="G814" t="s">
        <v>22</v>
      </c>
      <c r="H814" t="s">
        <v>66</v>
      </c>
      <c r="I814" t="s">
        <v>79</v>
      </c>
      <c r="J814" s="9">
        <v>1</v>
      </c>
      <c r="K814" s="7">
        <v>6200</v>
      </c>
      <c r="L814" s="7">
        <v>0</v>
      </c>
      <c r="M814" s="9"/>
      <c r="N814" s="7">
        <v>5.9</v>
      </c>
      <c r="O814" s="7"/>
      <c r="P814" s="7"/>
      <c r="Q814" t="s">
        <v>79</v>
      </c>
      <c r="R814" s="7" t="str">
        <f>TEXT(Table1[[#This Row],[Date]],"mmm yyyy")</f>
        <v>Oct 2025</v>
      </c>
      <c r="S814" s="9">
        <f>YEAR(Table1[[#This Row],[Date]])</f>
        <v>2025</v>
      </c>
      <c r="T814" s="9"/>
      <c r="U814" s="9"/>
    </row>
    <row r="815" spans="1:21" hidden="1" x14ac:dyDescent="0.3">
      <c r="A815" t="s">
        <v>1344</v>
      </c>
      <c r="B815" s="6">
        <v>46132</v>
      </c>
      <c r="C815" t="s">
        <v>26</v>
      </c>
      <c r="D815" t="s">
        <v>232</v>
      </c>
      <c r="E815" t="s">
        <v>28</v>
      </c>
      <c r="F815" t="s">
        <v>696</v>
      </c>
      <c r="G815" t="s">
        <v>44</v>
      </c>
      <c r="J815" s="9">
        <v>0</v>
      </c>
      <c r="K815" s="7">
        <v>0</v>
      </c>
      <c r="L815" s="7">
        <v>0</v>
      </c>
      <c r="M815" s="9">
        <v>1</v>
      </c>
      <c r="N815" s="7">
        <v>3.9</v>
      </c>
      <c r="O815" s="7">
        <v>3.4</v>
      </c>
      <c r="P815" s="7">
        <v>3.9</v>
      </c>
      <c r="Q815" t="s">
        <v>39</v>
      </c>
      <c r="R815" s="7" t="str">
        <f>TEXT(Table1[[#This Row],[Date]],"mmm yyyy")</f>
        <v>Apr 2026</v>
      </c>
      <c r="S815" s="9">
        <f>YEAR(Table1[[#This Row],[Date]])</f>
        <v>2026</v>
      </c>
      <c r="T815" s="9"/>
      <c r="U815" s="9"/>
    </row>
    <row r="816" spans="1:21" hidden="1" x14ac:dyDescent="0.3">
      <c r="A816" t="s">
        <v>1345</v>
      </c>
      <c r="B816" s="6">
        <v>46179</v>
      </c>
      <c r="C816" t="s">
        <v>26</v>
      </c>
      <c r="D816" t="s">
        <v>72</v>
      </c>
      <c r="E816" t="s">
        <v>48</v>
      </c>
      <c r="F816" t="s">
        <v>467</v>
      </c>
      <c r="G816" t="s">
        <v>22</v>
      </c>
      <c r="J816" s="9">
        <v>0</v>
      </c>
      <c r="K816" s="7">
        <v>0</v>
      </c>
      <c r="L816" s="7">
        <v>0</v>
      </c>
      <c r="M816" s="9">
        <v>1</v>
      </c>
      <c r="N816" s="7">
        <v>8.1</v>
      </c>
      <c r="O816" s="7">
        <v>4.5999999999999996</v>
      </c>
      <c r="P816" s="7">
        <v>4.4000000000000004</v>
      </c>
      <c r="Q816" t="s">
        <v>39</v>
      </c>
      <c r="R816" s="7" t="str">
        <f>TEXT(Table1[[#This Row],[Date]],"mmm yyyy")</f>
        <v>Jun 2026</v>
      </c>
      <c r="S816" s="9">
        <f>YEAR(Table1[[#This Row],[Date]])</f>
        <v>2026</v>
      </c>
      <c r="T816" s="9"/>
      <c r="U816" s="9"/>
    </row>
    <row r="817" spans="1:21" x14ac:dyDescent="0.3">
      <c r="A817" t="s">
        <v>1346</v>
      </c>
      <c r="B817" s="6">
        <v>46012</v>
      </c>
      <c r="C817" t="s">
        <v>18</v>
      </c>
      <c r="D817" t="s">
        <v>105</v>
      </c>
      <c r="E817" t="s">
        <v>20</v>
      </c>
      <c r="F817" t="s">
        <v>579</v>
      </c>
      <c r="G817" t="s">
        <v>22</v>
      </c>
      <c r="H817" t="s">
        <v>78</v>
      </c>
      <c r="I817" t="s">
        <v>24</v>
      </c>
      <c r="J817" s="9">
        <v>1</v>
      </c>
      <c r="K817" s="7">
        <v>5000</v>
      </c>
      <c r="L817" s="7">
        <v>5000</v>
      </c>
      <c r="M817" s="9"/>
      <c r="N817" s="7">
        <v>4</v>
      </c>
      <c r="O817" s="7"/>
      <c r="P817" s="7"/>
      <c r="Q817" t="s">
        <v>24</v>
      </c>
      <c r="R817" s="7" t="str">
        <f>TEXT(Table1[[#This Row],[Date]],"mmm yyyy")</f>
        <v>Dec 2025</v>
      </c>
      <c r="S817" s="9">
        <f>YEAR(Table1[[#This Row],[Date]])</f>
        <v>2025</v>
      </c>
      <c r="T817" s="9"/>
      <c r="U817" s="9"/>
    </row>
    <row r="818" spans="1:21" hidden="1" x14ac:dyDescent="0.3">
      <c r="A818" t="s">
        <v>1347</v>
      </c>
      <c r="B818" s="6">
        <v>46010</v>
      </c>
      <c r="C818" t="s">
        <v>26</v>
      </c>
      <c r="D818" t="s">
        <v>126</v>
      </c>
      <c r="E818" t="s">
        <v>28</v>
      </c>
      <c r="F818" t="s">
        <v>870</v>
      </c>
      <c r="G818" t="s">
        <v>22</v>
      </c>
      <c r="J818" s="9">
        <v>0</v>
      </c>
      <c r="K818" s="7">
        <v>0</v>
      </c>
      <c r="L818" s="7">
        <v>0</v>
      </c>
      <c r="M818" s="9">
        <v>1</v>
      </c>
      <c r="N818" s="7">
        <v>6.3</v>
      </c>
      <c r="O818" s="7">
        <v>9.9</v>
      </c>
      <c r="P818" s="7">
        <v>4</v>
      </c>
      <c r="Q818" t="s">
        <v>62</v>
      </c>
      <c r="R818" s="7" t="str">
        <f>TEXT(Table1[[#This Row],[Date]],"mmm yyyy")</f>
        <v>Dec 2025</v>
      </c>
      <c r="S818" s="9">
        <f>YEAR(Table1[[#This Row],[Date]])</f>
        <v>2025</v>
      </c>
      <c r="T818" s="9"/>
      <c r="U818" s="9"/>
    </row>
    <row r="819" spans="1:21" x14ac:dyDescent="0.3">
      <c r="A819" t="s">
        <v>1348</v>
      </c>
      <c r="B819" s="6">
        <v>45971</v>
      </c>
      <c r="C819" t="s">
        <v>18</v>
      </c>
      <c r="D819" t="s">
        <v>95</v>
      </c>
      <c r="E819" t="s">
        <v>28</v>
      </c>
      <c r="F819" t="s">
        <v>1349</v>
      </c>
      <c r="G819" t="s">
        <v>44</v>
      </c>
      <c r="H819" t="s">
        <v>54</v>
      </c>
      <c r="I819" t="s">
        <v>67</v>
      </c>
      <c r="J819" s="9">
        <v>1</v>
      </c>
      <c r="K819" s="7">
        <v>11000</v>
      </c>
      <c r="L819" s="7">
        <v>0</v>
      </c>
      <c r="M819" s="9"/>
      <c r="N819" s="7">
        <v>8.9</v>
      </c>
      <c r="O819" s="7"/>
      <c r="P819" s="7"/>
      <c r="Q819" t="s">
        <v>67</v>
      </c>
      <c r="R819" s="7" t="str">
        <f>TEXT(Table1[[#This Row],[Date]],"mmm yyyy")</f>
        <v>Nov 2025</v>
      </c>
      <c r="S819" s="9">
        <f>YEAR(Table1[[#This Row],[Date]])</f>
        <v>2025</v>
      </c>
      <c r="T819" s="9"/>
      <c r="U819" s="9"/>
    </row>
    <row r="820" spans="1:21" x14ac:dyDescent="0.3">
      <c r="A820" t="s">
        <v>1350</v>
      </c>
      <c r="B820" s="6">
        <v>46060</v>
      </c>
      <c r="C820" t="s">
        <v>18</v>
      </c>
      <c r="D820" t="s">
        <v>117</v>
      </c>
      <c r="E820" t="s">
        <v>20</v>
      </c>
      <c r="F820" t="s">
        <v>1351</v>
      </c>
      <c r="G820" t="s">
        <v>22</v>
      </c>
      <c r="H820" t="s">
        <v>54</v>
      </c>
      <c r="I820" t="s">
        <v>79</v>
      </c>
      <c r="J820" s="9">
        <v>1</v>
      </c>
      <c r="K820" s="7">
        <v>12600</v>
      </c>
      <c r="L820" s="7">
        <v>0</v>
      </c>
      <c r="M820" s="9"/>
      <c r="N820" s="7">
        <v>10.3</v>
      </c>
      <c r="O820" s="7"/>
      <c r="P820" s="7"/>
      <c r="Q820" t="s">
        <v>79</v>
      </c>
      <c r="R820" s="7" t="str">
        <f>TEXT(Table1[[#This Row],[Date]],"mmm yyyy")</f>
        <v>Feb 2026</v>
      </c>
      <c r="S820" s="9">
        <f>YEAR(Table1[[#This Row],[Date]])</f>
        <v>2026</v>
      </c>
      <c r="T820" s="9"/>
      <c r="U820" s="9"/>
    </row>
    <row r="821" spans="1:21" x14ac:dyDescent="0.3">
      <c r="A821" t="s">
        <v>1352</v>
      </c>
      <c r="B821" s="6">
        <v>46188</v>
      </c>
      <c r="C821" t="s">
        <v>18</v>
      </c>
      <c r="D821" t="s">
        <v>47</v>
      </c>
      <c r="E821" t="s">
        <v>20</v>
      </c>
      <c r="F821" t="s">
        <v>889</v>
      </c>
      <c r="G821" t="s">
        <v>22</v>
      </c>
      <c r="H821" t="s">
        <v>23</v>
      </c>
      <c r="I821" t="s">
        <v>45</v>
      </c>
      <c r="J821" s="9">
        <v>1</v>
      </c>
      <c r="K821" s="7">
        <v>30100</v>
      </c>
      <c r="L821" s="7">
        <v>0</v>
      </c>
      <c r="M821" s="9"/>
      <c r="N821" s="7">
        <v>17.399999999999999</v>
      </c>
      <c r="O821" s="7"/>
      <c r="P821" s="7"/>
      <c r="Q821" t="s">
        <v>45</v>
      </c>
      <c r="R821" s="7" t="str">
        <f>TEXT(Table1[[#This Row],[Date]],"mmm yyyy")</f>
        <v>Jun 2026</v>
      </c>
      <c r="S821" s="9">
        <f>YEAR(Table1[[#This Row],[Date]])</f>
        <v>2026</v>
      </c>
      <c r="T821" s="9"/>
      <c r="U821" s="9"/>
    </row>
    <row r="822" spans="1:21" hidden="1" x14ac:dyDescent="0.3">
      <c r="A822" t="s">
        <v>1353</v>
      </c>
      <c r="B822" s="6">
        <v>46218</v>
      </c>
      <c r="C822" t="s">
        <v>26</v>
      </c>
      <c r="D822" t="s">
        <v>72</v>
      </c>
      <c r="E822" t="s">
        <v>28</v>
      </c>
      <c r="F822" t="s">
        <v>1354</v>
      </c>
      <c r="G822" t="s">
        <v>22</v>
      </c>
      <c r="J822" s="9">
        <v>0</v>
      </c>
      <c r="K822" s="7">
        <v>0</v>
      </c>
      <c r="L822" s="7">
        <v>0</v>
      </c>
      <c r="M822" s="9">
        <v>1</v>
      </c>
      <c r="N822" s="7">
        <v>3.6</v>
      </c>
      <c r="O822" s="7">
        <v>11.2</v>
      </c>
      <c r="P822" s="7">
        <v>4.5999999999999996</v>
      </c>
      <c r="Q822" t="s">
        <v>39</v>
      </c>
      <c r="R822" s="7" t="str">
        <f>TEXT(Table1[[#This Row],[Date]],"mmm yyyy")</f>
        <v>Jul 2026</v>
      </c>
      <c r="S822" s="9">
        <f>YEAR(Table1[[#This Row],[Date]])</f>
        <v>2026</v>
      </c>
      <c r="T822" s="9"/>
      <c r="U822" s="9"/>
    </row>
    <row r="823" spans="1:21" x14ac:dyDescent="0.3">
      <c r="A823" t="s">
        <v>1355</v>
      </c>
      <c r="B823" s="6">
        <v>46041</v>
      </c>
      <c r="C823" t="s">
        <v>18</v>
      </c>
      <c r="D823" t="s">
        <v>117</v>
      </c>
      <c r="E823" t="s">
        <v>28</v>
      </c>
      <c r="F823" t="s">
        <v>241</v>
      </c>
      <c r="G823" t="s">
        <v>22</v>
      </c>
      <c r="H823" t="s">
        <v>86</v>
      </c>
      <c r="I823" t="s">
        <v>24</v>
      </c>
      <c r="J823" s="9">
        <v>1</v>
      </c>
      <c r="K823" s="7">
        <v>25500</v>
      </c>
      <c r="L823" s="7">
        <v>25500</v>
      </c>
      <c r="M823" s="9"/>
      <c r="N823" s="7">
        <v>10.8</v>
      </c>
      <c r="O823" s="7"/>
      <c r="P823" s="7"/>
      <c r="Q823" t="s">
        <v>24</v>
      </c>
      <c r="R823" s="7" t="str">
        <f>TEXT(Table1[[#This Row],[Date]],"mmm yyyy")</f>
        <v>Jan 2026</v>
      </c>
      <c r="S823" s="9">
        <f>YEAR(Table1[[#This Row],[Date]])</f>
        <v>2026</v>
      </c>
      <c r="T823" s="9"/>
      <c r="U823" s="9"/>
    </row>
    <row r="824" spans="1:21" x14ac:dyDescent="0.3">
      <c r="A824" t="s">
        <v>1356</v>
      </c>
      <c r="B824" s="6">
        <v>46049</v>
      </c>
      <c r="C824" t="s">
        <v>18</v>
      </c>
      <c r="D824" t="s">
        <v>19</v>
      </c>
      <c r="E824" t="s">
        <v>20</v>
      </c>
      <c r="F824" t="s">
        <v>732</v>
      </c>
      <c r="G824" t="s">
        <v>22</v>
      </c>
      <c r="H824" t="s">
        <v>78</v>
      </c>
      <c r="I824" t="s">
        <v>79</v>
      </c>
      <c r="J824" s="9">
        <v>1</v>
      </c>
      <c r="K824" s="7">
        <v>33000</v>
      </c>
      <c r="L824" s="7">
        <v>0</v>
      </c>
      <c r="M824" s="9"/>
      <c r="N824" s="7">
        <v>10.9</v>
      </c>
      <c r="O824" s="7"/>
      <c r="P824" s="7"/>
      <c r="Q824" t="s">
        <v>79</v>
      </c>
      <c r="R824" s="7" t="str">
        <f>TEXT(Table1[[#This Row],[Date]],"mmm yyyy")</f>
        <v>Jan 2026</v>
      </c>
      <c r="S824" s="9">
        <f>YEAR(Table1[[#This Row],[Date]])</f>
        <v>2026</v>
      </c>
      <c r="T824" s="9"/>
      <c r="U824" s="9"/>
    </row>
    <row r="825" spans="1:21" x14ac:dyDescent="0.3">
      <c r="A825" t="s">
        <v>1357</v>
      </c>
      <c r="B825" s="6">
        <v>46019</v>
      </c>
      <c r="C825" t="s">
        <v>18</v>
      </c>
      <c r="D825" t="s">
        <v>95</v>
      </c>
      <c r="E825" t="s">
        <v>20</v>
      </c>
      <c r="F825" t="s">
        <v>696</v>
      </c>
      <c r="G825" t="s">
        <v>30</v>
      </c>
      <c r="H825" t="s">
        <v>23</v>
      </c>
      <c r="I825" t="s">
        <v>89</v>
      </c>
      <c r="J825" s="9">
        <v>1</v>
      </c>
      <c r="K825" s="7">
        <v>31200</v>
      </c>
      <c r="L825" s="7">
        <v>0</v>
      </c>
      <c r="M825" s="9"/>
      <c r="N825" s="7">
        <v>19.899999999999999</v>
      </c>
      <c r="O825" s="7"/>
      <c r="P825" s="7"/>
      <c r="Q825" t="s">
        <v>89</v>
      </c>
      <c r="R825" s="7" t="str">
        <f>TEXT(Table1[[#This Row],[Date]],"mmm yyyy")</f>
        <v>Dec 2025</v>
      </c>
      <c r="S825" s="9">
        <f>YEAR(Table1[[#This Row],[Date]])</f>
        <v>2025</v>
      </c>
      <c r="T825" s="9"/>
      <c r="U825" s="9"/>
    </row>
    <row r="826" spans="1:21" x14ac:dyDescent="0.3">
      <c r="A826" t="s">
        <v>1358</v>
      </c>
      <c r="B826" s="6">
        <v>45914</v>
      </c>
      <c r="C826" t="s">
        <v>18</v>
      </c>
      <c r="D826" t="s">
        <v>95</v>
      </c>
      <c r="E826" t="s">
        <v>28</v>
      </c>
      <c r="F826" t="s">
        <v>1359</v>
      </c>
      <c r="G826" t="s">
        <v>30</v>
      </c>
      <c r="H826" t="s">
        <v>54</v>
      </c>
      <c r="I826" t="s">
        <v>79</v>
      </c>
      <c r="J826" s="9">
        <v>1</v>
      </c>
      <c r="K826" s="7">
        <v>33200</v>
      </c>
      <c r="L826" s="7">
        <v>0</v>
      </c>
      <c r="M826" s="9"/>
      <c r="N826" s="7">
        <v>3.6</v>
      </c>
      <c r="O826" s="7"/>
      <c r="P826" s="7"/>
      <c r="Q826" t="s">
        <v>79</v>
      </c>
      <c r="R826" s="7" t="str">
        <f>TEXT(Table1[[#This Row],[Date]],"mmm yyyy")</f>
        <v>Sep 2025</v>
      </c>
      <c r="S826" s="9">
        <f>YEAR(Table1[[#This Row],[Date]])</f>
        <v>2025</v>
      </c>
      <c r="T826" s="9"/>
      <c r="U826" s="9"/>
    </row>
    <row r="827" spans="1:21" hidden="1" x14ac:dyDescent="0.3">
      <c r="A827" t="s">
        <v>1360</v>
      </c>
      <c r="B827" s="6">
        <v>46075</v>
      </c>
      <c r="C827" t="s">
        <v>26</v>
      </c>
      <c r="D827" t="s">
        <v>69</v>
      </c>
      <c r="E827" t="s">
        <v>20</v>
      </c>
      <c r="F827" t="s">
        <v>170</v>
      </c>
      <c r="G827" t="s">
        <v>30</v>
      </c>
      <c r="J827" s="9">
        <v>0</v>
      </c>
      <c r="K827" s="7">
        <v>0</v>
      </c>
      <c r="L827" s="7">
        <v>0</v>
      </c>
      <c r="M827" s="9">
        <v>1</v>
      </c>
      <c r="N827" s="7">
        <v>1.9</v>
      </c>
      <c r="O827" s="7">
        <v>5.6</v>
      </c>
      <c r="P827" s="7">
        <v>4.4000000000000004</v>
      </c>
      <c r="Q827" t="s">
        <v>31</v>
      </c>
      <c r="R827" s="7" t="str">
        <f>TEXT(Table1[[#This Row],[Date]],"mmm yyyy")</f>
        <v>Feb 2026</v>
      </c>
      <c r="S827" s="9">
        <f>YEAR(Table1[[#This Row],[Date]])</f>
        <v>2026</v>
      </c>
      <c r="T827" s="9"/>
      <c r="U827" s="9"/>
    </row>
    <row r="828" spans="1:21" x14ac:dyDescent="0.3">
      <c r="A828" t="s">
        <v>1361</v>
      </c>
      <c r="B828" s="6">
        <v>46245</v>
      </c>
      <c r="C828" t="s">
        <v>18</v>
      </c>
      <c r="D828" t="s">
        <v>95</v>
      </c>
      <c r="E828" t="s">
        <v>20</v>
      </c>
      <c r="F828" t="s">
        <v>1362</v>
      </c>
      <c r="G828" t="s">
        <v>44</v>
      </c>
      <c r="H828" t="s">
        <v>54</v>
      </c>
      <c r="I828" t="s">
        <v>24</v>
      </c>
      <c r="J828" s="9">
        <v>1</v>
      </c>
      <c r="K828" s="7">
        <v>13700</v>
      </c>
      <c r="L828" s="7">
        <v>13700</v>
      </c>
      <c r="M828" s="9"/>
      <c r="N828" s="7">
        <v>6.9</v>
      </c>
      <c r="O828" s="7"/>
      <c r="P828" s="7"/>
      <c r="Q828" t="s">
        <v>24</v>
      </c>
      <c r="R828" s="7" t="str">
        <f>TEXT(Table1[[#This Row],[Date]],"mmm yyyy")</f>
        <v>Aug 2026</v>
      </c>
      <c r="S828" s="9">
        <f>YEAR(Table1[[#This Row],[Date]])</f>
        <v>2026</v>
      </c>
      <c r="T828" s="9"/>
      <c r="U828" s="9"/>
    </row>
    <row r="829" spans="1:21" x14ac:dyDescent="0.3">
      <c r="A829" t="s">
        <v>1363</v>
      </c>
      <c r="B829" s="6">
        <v>45995</v>
      </c>
      <c r="C829" t="s">
        <v>18</v>
      </c>
      <c r="D829" t="s">
        <v>95</v>
      </c>
      <c r="E829" t="s">
        <v>28</v>
      </c>
      <c r="F829" t="s">
        <v>1364</v>
      </c>
      <c r="G829" t="s">
        <v>22</v>
      </c>
      <c r="H829" t="s">
        <v>23</v>
      </c>
      <c r="I829" t="s">
        <v>67</v>
      </c>
      <c r="J829" s="9">
        <v>1</v>
      </c>
      <c r="K829" s="7">
        <v>17600</v>
      </c>
      <c r="L829" s="7">
        <v>0</v>
      </c>
      <c r="M829" s="9"/>
      <c r="N829" s="7">
        <v>2.2999999999999998</v>
      </c>
      <c r="O829" s="7"/>
      <c r="P829" s="7"/>
      <c r="Q829" t="s">
        <v>67</v>
      </c>
      <c r="R829" s="7" t="str">
        <f>TEXT(Table1[[#This Row],[Date]],"mmm yyyy")</f>
        <v>Dec 2025</v>
      </c>
      <c r="S829" s="9">
        <f>YEAR(Table1[[#This Row],[Date]])</f>
        <v>2025</v>
      </c>
      <c r="T829" s="9"/>
      <c r="U829" s="9"/>
    </row>
    <row r="830" spans="1:21" hidden="1" x14ac:dyDescent="0.3">
      <c r="A830" t="s">
        <v>1365</v>
      </c>
      <c r="B830" s="6">
        <v>46211</v>
      </c>
      <c r="C830" t="s">
        <v>26</v>
      </c>
      <c r="D830" t="s">
        <v>126</v>
      </c>
      <c r="E830" t="s">
        <v>20</v>
      </c>
      <c r="F830" t="s">
        <v>1061</v>
      </c>
      <c r="G830" t="s">
        <v>44</v>
      </c>
      <c r="J830" s="9">
        <v>0</v>
      </c>
      <c r="K830" s="7">
        <v>0</v>
      </c>
      <c r="L830" s="7">
        <v>0</v>
      </c>
      <c r="M830" s="9">
        <v>1</v>
      </c>
      <c r="N830" s="7">
        <v>9.1</v>
      </c>
      <c r="O830" s="7">
        <v>17.8</v>
      </c>
      <c r="P830" s="7">
        <v>5</v>
      </c>
      <c r="Q830" t="s">
        <v>62</v>
      </c>
      <c r="R830" s="7" t="str">
        <f>TEXT(Table1[[#This Row],[Date]],"mmm yyyy")</f>
        <v>Jul 2026</v>
      </c>
      <c r="S830" s="9">
        <f>YEAR(Table1[[#This Row],[Date]])</f>
        <v>2026</v>
      </c>
      <c r="T830" s="9"/>
      <c r="U830" s="9"/>
    </row>
    <row r="831" spans="1:21" x14ac:dyDescent="0.3">
      <c r="A831" t="s">
        <v>1366</v>
      </c>
      <c r="B831" s="6">
        <v>46036</v>
      </c>
      <c r="C831" t="s">
        <v>18</v>
      </c>
      <c r="D831" t="s">
        <v>52</v>
      </c>
      <c r="E831" t="s">
        <v>20</v>
      </c>
      <c r="F831" t="s">
        <v>254</v>
      </c>
      <c r="G831" t="s">
        <v>44</v>
      </c>
      <c r="H831" t="s">
        <v>86</v>
      </c>
      <c r="I831" t="s">
        <v>79</v>
      </c>
      <c r="J831" s="9">
        <v>1</v>
      </c>
      <c r="K831" s="7">
        <v>118500</v>
      </c>
      <c r="L831" s="7">
        <v>0</v>
      </c>
      <c r="M831" s="9"/>
      <c r="N831" s="7">
        <v>20</v>
      </c>
      <c r="O831" s="7"/>
      <c r="P831" s="7"/>
      <c r="Q831" t="s">
        <v>79</v>
      </c>
      <c r="R831" s="7" t="str">
        <f>TEXT(Table1[[#This Row],[Date]],"mmm yyyy")</f>
        <v>Jan 2026</v>
      </c>
      <c r="S831" s="9">
        <f>YEAR(Table1[[#This Row],[Date]])</f>
        <v>2026</v>
      </c>
      <c r="T831" s="9"/>
      <c r="U831" s="9"/>
    </row>
    <row r="832" spans="1:21" x14ac:dyDescent="0.3">
      <c r="A832" t="s">
        <v>1367</v>
      </c>
      <c r="B832" s="6">
        <v>46141</v>
      </c>
      <c r="C832" t="s">
        <v>18</v>
      </c>
      <c r="D832" t="s">
        <v>105</v>
      </c>
      <c r="E832" t="s">
        <v>37</v>
      </c>
      <c r="F832" t="s">
        <v>529</v>
      </c>
      <c r="G832" t="s">
        <v>44</v>
      </c>
      <c r="H832" t="s">
        <v>86</v>
      </c>
      <c r="I832" t="s">
        <v>67</v>
      </c>
      <c r="J832" s="9">
        <v>1</v>
      </c>
      <c r="K832" s="7">
        <v>5000</v>
      </c>
      <c r="L832" s="7">
        <v>0</v>
      </c>
      <c r="M832" s="9"/>
      <c r="N832" s="7">
        <v>17.5</v>
      </c>
      <c r="O832" s="7"/>
      <c r="P832" s="7"/>
      <c r="Q832" t="s">
        <v>67</v>
      </c>
      <c r="R832" s="7" t="str">
        <f>TEXT(Table1[[#This Row],[Date]],"mmm yyyy")</f>
        <v>Apr 2026</v>
      </c>
      <c r="S832" s="9">
        <f>YEAR(Table1[[#This Row],[Date]])</f>
        <v>2026</v>
      </c>
      <c r="T832" s="9"/>
      <c r="U832" s="9"/>
    </row>
    <row r="833" spans="1:21" x14ac:dyDescent="0.3">
      <c r="A833" t="s">
        <v>1368</v>
      </c>
      <c r="B833" s="6">
        <v>46150</v>
      </c>
      <c r="C833" t="s">
        <v>18</v>
      </c>
      <c r="D833" t="s">
        <v>41</v>
      </c>
      <c r="E833" t="s">
        <v>48</v>
      </c>
      <c r="F833" t="s">
        <v>1201</v>
      </c>
      <c r="G833" t="s">
        <v>50</v>
      </c>
      <c r="H833" t="s">
        <v>23</v>
      </c>
      <c r="I833" t="s">
        <v>45</v>
      </c>
      <c r="J833" s="9">
        <v>1</v>
      </c>
      <c r="K833" s="7">
        <v>13900</v>
      </c>
      <c r="L833" s="7">
        <v>0</v>
      </c>
      <c r="M833" s="9"/>
      <c r="N833" s="7">
        <v>16.2</v>
      </c>
      <c r="O833" s="7"/>
      <c r="P833" s="7"/>
      <c r="Q833" t="s">
        <v>45</v>
      </c>
      <c r="R833" s="7" t="str">
        <f>TEXT(Table1[[#This Row],[Date]],"mmm yyyy")</f>
        <v>May 2026</v>
      </c>
      <c r="S833" s="9">
        <f>YEAR(Table1[[#This Row],[Date]])</f>
        <v>2026</v>
      </c>
      <c r="T833" s="9"/>
      <c r="U833" s="9"/>
    </row>
    <row r="834" spans="1:21" x14ac:dyDescent="0.3">
      <c r="A834" t="s">
        <v>1369</v>
      </c>
      <c r="B834" s="6">
        <v>46206</v>
      </c>
      <c r="C834" t="s">
        <v>18</v>
      </c>
      <c r="D834" t="s">
        <v>47</v>
      </c>
      <c r="E834" t="s">
        <v>37</v>
      </c>
      <c r="F834" t="s">
        <v>360</v>
      </c>
      <c r="G834" t="s">
        <v>30</v>
      </c>
      <c r="H834" t="s">
        <v>86</v>
      </c>
      <c r="I834" t="s">
        <v>45</v>
      </c>
      <c r="J834" s="9">
        <v>1</v>
      </c>
      <c r="K834" s="7">
        <v>15100</v>
      </c>
      <c r="L834" s="7">
        <v>0</v>
      </c>
      <c r="M834" s="9"/>
      <c r="N834" s="7">
        <v>11.4</v>
      </c>
      <c r="O834" s="7"/>
      <c r="P834" s="7"/>
      <c r="Q834" t="s">
        <v>45</v>
      </c>
      <c r="R834" s="7" t="str">
        <f>TEXT(Table1[[#This Row],[Date]],"mmm yyyy")</f>
        <v>Jul 2026</v>
      </c>
      <c r="S834" s="9">
        <f>YEAR(Table1[[#This Row],[Date]])</f>
        <v>2026</v>
      </c>
      <c r="T834" s="9"/>
      <c r="U834" s="9"/>
    </row>
    <row r="835" spans="1:21" x14ac:dyDescent="0.3">
      <c r="A835" t="s">
        <v>1370</v>
      </c>
      <c r="B835" s="6">
        <v>46088</v>
      </c>
      <c r="C835" t="s">
        <v>18</v>
      </c>
      <c r="D835" t="s">
        <v>19</v>
      </c>
      <c r="E835" t="s">
        <v>20</v>
      </c>
      <c r="F835" t="s">
        <v>1371</v>
      </c>
      <c r="G835" t="s">
        <v>22</v>
      </c>
      <c r="H835" t="s">
        <v>86</v>
      </c>
      <c r="I835" t="s">
        <v>89</v>
      </c>
      <c r="J835" s="9">
        <v>1</v>
      </c>
      <c r="K835" s="7">
        <v>6100</v>
      </c>
      <c r="L835" s="7">
        <v>0</v>
      </c>
      <c r="M835" s="9"/>
      <c r="N835" s="7">
        <v>9.9</v>
      </c>
      <c r="O835" s="7"/>
      <c r="P835" s="7"/>
      <c r="Q835" t="s">
        <v>89</v>
      </c>
      <c r="R835" s="7" t="str">
        <f>TEXT(Table1[[#This Row],[Date]],"mmm yyyy")</f>
        <v>Mar 2026</v>
      </c>
      <c r="S835" s="9">
        <f>YEAR(Table1[[#This Row],[Date]])</f>
        <v>2026</v>
      </c>
      <c r="T835" s="9"/>
      <c r="U835" s="9"/>
    </row>
    <row r="836" spans="1:21" x14ac:dyDescent="0.3">
      <c r="A836" t="s">
        <v>1372</v>
      </c>
      <c r="B836" s="6">
        <v>46243</v>
      </c>
      <c r="C836" t="s">
        <v>18</v>
      </c>
      <c r="D836" t="s">
        <v>19</v>
      </c>
      <c r="E836" t="s">
        <v>20</v>
      </c>
      <c r="F836" t="s">
        <v>1373</v>
      </c>
      <c r="G836" t="s">
        <v>22</v>
      </c>
      <c r="H836" t="s">
        <v>78</v>
      </c>
      <c r="I836" t="s">
        <v>24</v>
      </c>
      <c r="J836" s="9">
        <v>1</v>
      </c>
      <c r="K836" s="7">
        <v>30600</v>
      </c>
      <c r="L836" s="7">
        <v>30600</v>
      </c>
      <c r="M836" s="9"/>
      <c r="N836" s="7">
        <v>20.5</v>
      </c>
      <c r="O836" s="7"/>
      <c r="P836" s="7"/>
      <c r="Q836" t="s">
        <v>24</v>
      </c>
      <c r="R836" s="7" t="str">
        <f>TEXT(Table1[[#This Row],[Date]],"mmm yyyy")</f>
        <v>Aug 2026</v>
      </c>
      <c r="S836" s="9">
        <f>YEAR(Table1[[#This Row],[Date]])</f>
        <v>2026</v>
      </c>
      <c r="T836" s="9"/>
      <c r="U836" s="9"/>
    </row>
    <row r="837" spans="1:21" x14ac:dyDescent="0.3">
      <c r="A837" t="s">
        <v>1374</v>
      </c>
      <c r="B837" s="6">
        <v>46078</v>
      </c>
      <c r="C837" t="s">
        <v>18</v>
      </c>
      <c r="D837" t="s">
        <v>95</v>
      </c>
      <c r="E837" t="s">
        <v>20</v>
      </c>
      <c r="F837" t="s">
        <v>893</v>
      </c>
      <c r="G837" t="s">
        <v>30</v>
      </c>
      <c r="H837" t="s">
        <v>23</v>
      </c>
      <c r="I837" t="s">
        <v>24</v>
      </c>
      <c r="J837" s="9">
        <v>1</v>
      </c>
      <c r="K837" s="7">
        <v>24600</v>
      </c>
      <c r="L837" s="7">
        <v>24600</v>
      </c>
      <c r="M837" s="9"/>
      <c r="N837" s="7">
        <v>4.9000000000000004</v>
      </c>
      <c r="O837" s="7"/>
      <c r="P837" s="7"/>
      <c r="Q837" t="s">
        <v>24</v>
      </c>
      <c r="R837" s="7" t="str">
        <f>TEXT(Table1[[#This Row],[Date]],"mmm yyyy")</f>
        <v>Feb 2026</v>
      </c>
      <c r="S837" s="9">
        <f>YEAR(Table1[[#This Row],[Date]])</f>
        <v>2026</v>
      </c>
      <c r="T837" s="9"/>
      <c r="U837" s="9"/>
    </row>
    <row r="838" spans="1:21" hidden="1" x14ac:dyDescent="0.3">
      <c r="A838" t="s">
        <v>1375</v>
      </c>
      <c r="B838" s="6">
        <v>46050</v>
      </c>
      <c r="C838" t="s">
        <v>26</v>
      </c>
      <c r="D838" t="s">
        <v>36</v>
      </c>
      <c r="E838" t="s">
        <v>20</v>
      </c>
      <c r="F838" t="s">
        <v>1070</v>
      </c>
      <c r="G838" t="s">
        <v>30</v>
      </c>
      <c r="J838" s="9">
        <v>0</v>
      </c>
      <c r="K838" s="7">
        <v>0</v>
      </c>
      <c r="L838" s="7">
        <v>0</v>
      </c>
      <c r="M838" s="9">
        <v>1</v>
      </c>
      <c r="N838" s="7">
        <v>4.8</v>
      </c>
      <c r="O838" s="7">
        <v>4.5999999999999996</v>
      </c>
      <c r="P838" s="7">
        <v>5</v>
      </c>
      <c r="Q838" t="s">
        <v>225</v>
      </c>
      <c r="R838" s="7" t="str">
        <f>TEXT(Table1[[#This Row],[Date]],"mmm yyyy")</f>
        <v>Jan 2026</v>
      </c>
      <c r="S838" s="9">
        <f>YEAR(Table1[[#This Row],[Date]])</f>
        <v>2026</v>
      </c>
      <c r="T838" s="9"/>
      <c r="U838" s="9"/>
    </row>
    <row r="839" spans="1:21" x14ac:dyDescent="0.3">
      <c r="A839" t="s">
        <v>1376</v>
      </c>
      <c r="B839" s="6">
        <v>46152</v>
      </c>
      <c r="C839" t="s">
        <v>18</v>
      </c>
      <c r="D839" t="s">
        <v>47</v>
      </c>
      <c r="E839" t="s">
        <v>37</v>
      </c>
      <c r="F839" t="s">
        <v>222</v>
      </c>
      <c r="G839" t="s">
        <v>44</v>
      </c>
      <c r="H839" t="s">
        <v>78</v>
      </c>
      <c r="I839" t="s">
        <v>24</v>
      </c>
      <c r="J839" s="9">
        <v>1</v>
      </c>
      <c r="K839" s="7">
        <v>14800</v>
      </c>
      <c r="L839" s="7">
        <v>14800</v>
      </c>
      <c r="M839" s="9"/>
      <c r="N839" s="7">
        <v>15.5</v>
      </c>
      <c r="O839" s="7"/>
      <c r="P839" s="7"/>
      <c r="Q839" t="s">
        <v>24</v>
      </c>
      <c r="R839" s="7" t="str">
        <f>TEXT(Table1[[#This Row],[Date]],"mmm yyyy")</f>
        <v>May 2026</v>
      </c>
      <c r="S839" s="9">
        <f>YEAR(Table1[[#This Row],[Date]])</f>
        <v>2026</v>
      </c>
      <c r="T839" s="9"/>
      <c r="U839" s="9"/>
    </row>
    <row r="840" spans="1:21" hidden="1" x14ac:dyDescent="0.3">
      <c r="A840" t="s">
        <v>1377</v>
      </c>
      <c r="B840" s="6">
        <v>45911</v>
      </c>
      <c r="C840" t="s">
        <v>26</v>
      </c>
      <c r="D840" t="s">
        <v>27</v>
      </c>
      <c r="E840" t="s">
        <v>48</v>
      </c>
      <c r="F840" t="s">
        <v>905</v>
      </c>
      <c r="G840" t="s">
        <v>44</v>
      </c>
      <c r="J840" s="9">
        <v>0</v>
      </c>
      <c r="K840" s="7">
        <v>0</v>
      </c>
      <c r="L840" s="7">
        <v>0</v>
      </c>
      <c r="M840" s="9">
        <v>1</v>
      </c>
      <c r="N840" s="7">
        <v>10</v>
      </c>
      <c r="O840" s="7">
        <v>26.6</v>
      </c>
      <c r="P840" s="7">
        <v>4.2</v>
      </c>
      <c r="Q840" t="s">
        <v>39</v>
      </c>
      <c r="R840" s="7" t="str">
        <f>TEXT(Table1[[#This Row],[Date]],"mmm yyyy")</f>
        <v>Sep 2025</v>
      </c>
      <c r="S840" s="9">
        <f>YEAR(Table1[[#This Row],[Date]])</f>
        <v>2025</v>
      </c>
      <c r="T840" s="9"/>
      <c r="U840" s="9"/>
    </row>
    <row r="841" spans="1:21" hidden="1" x14ac:dyDescent="0.3">
      <c r="A841" t="s">
        <v>1378</v>
      </c>
      <c r="B841" s="6">
        <v>46079</v>
      </c>
      <c r="C841" t="s">
        <v>26</v>
      </c>
      <c r="D841" t="s">
        <v>72</v>
      </c>
      <c r="E841" t="s">
        <v>37</v>
      </c>
      <c r="F841" t="s">
        <v>445</v>
      </c>
      <c r="G841" t="s">
        <v>30</v>
      </c>
      <c r="J841" s="9">
        <v>0</v>
      </c>
      <c r="K841" s="7">
        <v>0</v>
      </c>
      <c r="L841" s="7">
        <v>0</v>
      </c>
      <c r="M841" s="9">
        <v>1</v>
      </c>
      <c r="N841" s="7">
        <v>1.2</v>
      </c>
      <c r="O841" s="7">
        <v>2</v>
      </c>
      <c r="P841" s="7">
        <v>4.9000000000000004</v>
      </c>
      <c r="Q841" t="s">
        <v>39</v>
      </c>
      <c r="R841" s="7" t="str">
        <f>TEXT(Table1[[#This Row],[Date]],"mmm yyyy")</f>
        <v>Feb 2026</v>
      </c>
      <c r="S841" s="9">
        <f>YEAR(Table1[[#This Row],[Date]])</f>
        <v>2026</v>
      </c>
      <c r="T841" s="9"/>
      <c r="U841" s="9"/>
    </row>
    <row r="842" spans="1:21" x14ac:dyDescent="0.3">
      <c r="A842" t="s">
        <v>1379</v>
      </c>
      <c r="B842" s="6">
        <v>45979</v>
      </c>
      <c r="C842" t="s">
        <v>18</v>
      </c>
      <c r="D842" t="s">
        <v>41</v>
      </c>
      <c r="E842" t="s">
        <v>20</v>
      </c>
      <c r="F842" t="s">
        <v>1380</v>
      </c>
      <c r="G842" t="s">
        <v>30</v>
      </c>
      <c r="H842" t="s">
        <v>86</v>
      </c>
      <c r="I842" t="s">
        <v>67</v>
      </c>
      <c r="J842" s="9">
        <v>1</v>
      </c>
      <c r="K842" s="7">
        <v>9400</v>
      </c>
      <c r="L842" s="7">
        <v>0</v>
      </c>
      <c r="M842" s="9"/>
      <c r="N842" s="7">
        <v>3.3</v>
      </c>
      <c r="O842" s="7"/>
      <c r="P842" s="7"/>
      <c r="Q842" t="s">
        <v>67</v>
      </c>
      <c r="R842" s="7" t="str">
        <f>TEXT(Table1[[#This Row],[Date]],"mmm yyyy")</f>
        <v>Nov 2025</v>
      </c>
      <c r="S842" s="9">
        <f>YEAR(Table1[[#This Row],[Date]])</f>
        <v>2025</v>
      </c>
      <c r="T842" s="9"/>
      <c r="U842" s="9"/>
    </row>
    <row r="843" spans="1:21" hidden="1" x14ac:dyDescent="0.3">
      <c r="A843" t="s">
        <v>1381</v>
      </c>
      <c r="B843" s="6">
        <v>46061</v>
      </c>
      <c r="C843" t="s">
        <v>26</v>
      </c>
      <c r="D843" t="s">
        <v>114</v>
      </c>
      <c r="E843" t="s">
        <v>20</v>
      </c>
      <c r="F843" t="s">
        <v>742</v>
      </c>
      <c r="G843" t="s">
        <v>44</v>
      </c>
      <c r="J843" s="9">
        <v>0</v>
      </c>
      <c r="K843" s="7">
        <v>0</v>
      </c>
      <c r="L843" s="7">
        <v>0</v>
      </c>
      <c r="M843" s="9">
        <v>1</v>
      </c>
      <c r="N843" s="7">
        <v>11</v>
      </c>
      <c r="O843" s="7">
        <v>8.1</v>
      </c>
      <c r="P843" s="7">
        <v>3.9</v>
      </c>
      <c r="Q843" t="s">
        <v>62</v>
      </c>
      <c r="R843" s="7" t="str">
        <f>TEXT(Table1[[#This Row],[Date]],"mmm yyyy")</f>
        <v>Feb 2026</v>
      </c>
      <c r="S843" s="9">
        <f>YEAR(Table1[[#This Row],[Date]])</f>
        <v>2026</v>
      </c>
      <c r="T843" s="9"/>
      <c r="U843" s="9"/>
    </row>
    <row r="844" spans="1:21" x14ac:dyDescent="0.3">
      <c r="A844" t="s">
        <v>1382</v>
      </c>
      <c r="B844" s="6">
        <v>46250</v>
      </c>
      <c r="C844" t="s">
        <v>18</v>
      </c>
      <c r="D844" t="s">
        <v>52</v>
      </c>
      <c r="E844" t="s">
        <v>20</v>
      </c>
      <c r="F844" t="s">
        <v>807</v>
      </c>
      <c r="G844" t="s">
        <v>50</v>
      </c>
      <c r="H844" t="s">
        <v>23</v>
      </c>
      <c r="I844" t="s">
        <v>45</v>
      </c>
      <c r="J844" s="9">
        <v>1</v>
      </c>
      <c r="K844" s="7">
        <v>18600</v>
      </c>
      <c r="L844" s="7">
        <v>0</v>
      </c>
      <c r="M844" s="9"/>
      <c r="N844" s="7">
        <v>7.7</v>
      </c>
      <c r="O844" s="7"/>
      <c r="P844" s="7"/>
      <c r="Q844" t="s">
        <v>45</v>
      </c>
      <c r="R844" s="7" t="str">
        <f>TEXT(Table1[[#This Row],[Date]],"mmm yyyy")</f>
        <v>Aug 2026</v>
      </c>
      <c r="S844" s="9">
        <f>YEAR(Table1[[#This Row],[Date]])</f>
        <v>2026</v>
      </c>
      <c r="T844" s="9"/>
      <c r="U844" s="9"/>
    </row>
    <row r="845" spans="1:21" hidden="1" x14ac:dyDescent="0.3">
      <c r="A845" t="s">
        <v>1383</v>
      </c>
      <c r="B845" s="6">
        <v>45942</v>
      </c>
      <c r="C845" t="s">
        <v>26</v>
      </c>
      <c r="D845" t="s">
        <v>33</v>
      </c>
      <c r="E845" t="s">
        <v>28</v>
      </c>
      <c r="F845" t="s">
        <v>754</v>
      </c>
      <c r="G845" t="s">
        <v>22</v>
      </c>
      <c r="J845" s="9">
        <v>0</v>
      </c>
      <c r="K845" s="7">
        <v>0</v>
      </c>
      <c r="L845" s="7">
        <v>0</v>
      </c>
      <c r="M845" s="9">
        <v>1</v>
      </c>
      <c r="N845" s="7">
        <v>12</v>
      </c>
      <c r="O845" s="7">
        <v>4.0999999999999996</v>
      </c>
      <c r="P845" s="7">
        <v>2.7</v>
      </c>
      <c r="Q845" t="s">
        <v>225</v>
      </c>
      <c r="R845" s="7" t="str">
        <f>TEXT(Table1[[#This Row],[Date]],"mmm yyyy")</f>
        <v>Oct 2025</v>
      </c>
      <c r="S845" s="9">
        <f>YEAR(Table1[[#This Row],[Date]])</f>
        <v>2025</v>
      </c>
      <c r="T845" s="9"/>
      <c r="U845" s="9"/>
    </row>
    <row r="846" spans="1:21" x14ac:dyDescent="0.3">
      <c r="A846" t="s">
        <v>1384</v>
      </c>
      <c r="B846" s="6">
        <v>46146</v>
      </c>
      <c r="C846" t="s">
        <v>18</v>
      </c>
      <c r="D846" t="s">
        <v>95</v>
      </c>
      <c r="E846" t="s">
        <v>48</v>
      </c>
      <c r="F846" t="s">
        <v>1385</v>
      </c>
      <c r="G846" t="s">
        <v>30</v>
      </c>
      <c r="H846" t="s">
        <v>78</v>
      </c>
      <c r="I846" t="s">
        <v>67</v>
      </c>
      <c r="J846" s="9">
        <v>1</v>
      </c>
      <c r="K846" s="7">
        <v>44500</v>
      </c>
      <c r="L846" s="7">
        <v>0</v>
      </c>
      <c r="M846" s="9"/>
      <c r="N846" s="7">
        <v>23.6</v>
      </c>
      <c r="O846" s="7"/>
      <c r="P846" s="7"/>
      <c r="Q846" t="s">
        <v>67</v>
      </c>
      <c r="R846" s="7" t="str">
        <f>TEXT(Table1[[#This Row],[Date]],"mmm yyyy")</f>
        <v>May 2026</v>
      </c>
      <c r="S846" s="9">
        <f>YEAR(Table1[[#This Row],[Date]])</f>
        <v>2026</v>
      </c>
      <c r="T846" s="9"/>
      <c r="U846" s="9"/>
    </row>
    <row r="847" spans="1:21" x14ac:dyDescent="0.3">
      <c r="A847" t="s">
        <v>1386</v>
      </c>
      <c r="B847" s="6">
        <v>46164</v>
      </c>
      <c r="C847" t="s">
        <v>18</v>
      </c>
      <c r="D847" t="s">
        <v>52</v>
      </c>
      <c r="E847" t="s">
        <v>20</v>
      </c>
      <c r="F847" t="s">
        <v>600</v>
      </c>
      <c r="G847" t="s">
        <v>44</v>
      </c>
      <c r="H847" t="s">
        <v>78</v>
      </c>
      <c r="I847" t="s">
        <v>45</v>
      </c>
      <c r="J847" s="9">
        <v>1</v>
      </c>
      <c r="K847" s="7">
        <v>63800</v>
      </c>
      <c r="L847" s="7">
        <v>0</v>
      </c>
      <c r="M847" s="9"/>
      <c r="N847" s="7">
        <v>12.7</v>
      </c>
      <c r="O847" s="7"/>
      <c r="P847" s="7"/>
      <c r="Q847" t="s">
        <v>45</v>
      </c>
      <c r="R847" s="7" t="str">
        <f>TEXT(Table1[[#This Row],[Date]],"mmm yyyy")</f>
        <v>May 2026</v>
      </c>
      <c r="S847" s="9">
        <f>YEAR(Table1[[#This Row],[Date]])</f>
        <v>2026</v>
      </c>
      <c r="T847" s="9"/>
      <c r="U847" s="9"/>
    </row>
    <row r="848" spans="1:21" x14ac:dyDescent="0.3">
      <c r="A848" t="s">
        <v>1387</v>
      </c>
      <c r="B848" s="6">
        <v>46256</v>
      </c>
      <c r="C848" t="s">
        <v>18</v>
      </c>
      <c r="D848" t="s">
        <v>52</v>
      </c>
      <c r="E848" t="s">
        <v>42</v>
      </c>
      <c r="F848" t="s">
        <v>372</v>
      </c>
      <c r="G848" t="s">
        <v>22</v>
      </c>
      <c r="H848" t="s">
        <v>78</v>
      </c>
      <c r="I848" t="s">
        <v>24</v>
      </c>
      <c r="J848" s="9">
        <v>1</v>
      </c>
      <c r="K848" s="7">
        <v>32500</v>
      </c>
      <c r="L848" s="7">
        <v>32500</v>
      </c>
      <c r="M848" s="9"/>
      <c r="N848" s="7">
        <v>17.2</v>
      </c>
      <c r="O848" s="7"/>
      <c r="P848" s="7"/>
      <c r="Q848" t="s">
        <v>24</v>
      </c>
      <c r="R848" s="7" t="str">
        <f>TEXT(Table1[[#This Row],[Date]],"mmm yyyy")</f>
        <v>Aug 2026</v>
      </c>
      <c r="S848" s="9">
        <f>YEAR(Table1[[#This Row],[Date]])</f>
        <v>2026</v>
      </c>
      <c r="T848" s="9"/>
      <c r="U848" s="9"/>
    </row>
    <row r="849" spans="1:21" hidden="1" x14ac:dyDescent="0.3">
      <c r="A849" t="s">
        <v>1388</v>
      </c>
      <c r="B849" s="6">
        <v>45946</v>
      </c>
      <c r="C849" t="s">
        <v>26</v>
      </c>
      <c r="D849" t="s">
        <v>33</v>
      </c>
      <c r="E849" t="s">
        <v>20</v>
      </c>
      <c r="F849" t="s">
        <v>193</v>
      </c>
      <c r="G849" t="s">
        <v>44</v>
      </c>
      <c r="J849" s="9">
        <v>0</v>
      </c>
      <c r="K849" s="7">
        <v>0</v>
      </c>
      <c r="L849" s="7">
        <v>0</v>
      </c>
      <c r="M849" s="9">
        <v>1</v>
      </c>
      <c r="N849" s="7">
        <v>4.8</v>
      </c>
      <c r="O849" s="7">
        <v>0.9</v>
      </c>
      <c r="P849" s="7">
        <v>4</v>
      </c>
      <c r="Q849" t="s">
        <v>39</v>
      </c>
      <c r="R849" s="7" t="str">
        <f>TEXT(Table1[[#This Row],[Date]],"mmm yyyy")</f>
        <v>Oct 2025</v>
      </c>
      <c r="S849" s="9">
        <f>YEAR(Table1[[#This Row],[Date]])</f>
        <v>2025</v>
      </c>
      <c r="T849" s="9"/>
      <c r="U849" s="9"/>
    </row>
    <row r="850" spans="1:21" x14ac:dyDescent="0.3">
      <c r="A850" t="s">
        <v>1389</v>
      </c>
      <c r="B850" s="6">
        <v>46041</v>
      </c>
      <c r="C850" t="s">
        <v>18</v>
      </c>
      <c r="D850" t="s">
        <v>52</v>
      </c>
      <c r="E850" t="s">
        <v>42</v>
      </c>
      <c r="F850" t="s">
        <v>696</v>
      </c>
      <c r="G850" t="s">
        <v>30</v>
      </c>
      <c r="H850" t="s">
        <v>23</v>
      </c>
      <c r="I850" t="s">
        <v>55</v>
      </c>
      <c r="J850" s="9">
        <v>1</v>
      </c>
      <c r="K850" s="7">
        <v>29600</v>
      </c>
      <c r="L850" s="7">
        <v>0</v>
      </c>
      <c r="M850" s="9"/>
      <c r="N850" s="7">
        <v>16</v>
      </c>
      <c r="O850" s="7"/>
      <c r="P850" s="7"/>
      <c r="Q850" t="s">
        <v>55</v>
      </c>
      <c r="R850" s="7" t="str">
        <f>TEXT(Table1[[#This Row],[Date]],"mmm yyyy")</f>
        <v>Jan 2026</v>
      </c>
      <c r="S850" s="9">
        <f>YEAR(Table1[[#This Row],[Date]])</f>
        <v>2026</v>
      </c>
      <c r="T850" s="9"/>
      <c r="U850" s="9"/>
    </row>
    <row r="851" spans="1:21" hidden="1" x14ac:dyDescent="0.3">
      <c r="A851" t="s">
        <v>1390</v>
      </c>
      <c r="B851" s="6">
        <v>46052</v>
      </c>
      <c r="C851" t="s">
        <v>26</v>
      </c>
      <c r="D851" t="s">
        <v>27</v>
      </c>
      <c r="E851" t="s">
        <v>37</v>
      </c>
      <c r="F851" t="s">
        <v>581</v>
      </c>
      <c r="G851" t="s">
        <v>44</v>
      </c>
      <c r="J851" s="9">
        <v>0</v>
      </c>
      <c r="K851" s="7">
        <v>0</v>
      </c>
      <c r="L851" s="7">
        <v>0</v>
      </c>
      <c r="M851" s="9">
        <v>1</v>
      </c>
      <c r="N851" s="7">
        <v>8.6999999999999993</v>
      </c>
      <c r="O851" s="7">
        <v>3.6</v>
      </c>
      <c r="P851" s="7">
        <v>3.6</v>
      </c>
      <c r="Q851" t="s">
        <v>39</v>
      </c>
      <c r="R851" s="7" t="str">
        <f>TEXT(Table1[[#This Row],[Date]],"mmm yyyy")</f>
        <v>Jan 2026</v>
      </c>
      <c r="S851" s="9">
        <f>YEAR(Table1[[#This Row],[Date]])</f>
        <v>2026</v>
      </c>
      <c r="T851" s="9"/>
      <c r="U851" s="9"/>
    </row>
    <row r="852" spans="1:21" x14ac:dyDescent="0.3">
      <c r="A852" t="s">
        <v>1391</v>
      </c>
      <c r="B852" s="6">
        <v>46127</v>
      </c>
      <c r="C852" t="s">
        <v>18</v>
      </c>
      <c r="D852" t="s">
        <v>41</v>
      </c>
      <c r="E852" t="s">
        <v>28</v>
      </c>
      <c r="F852" t="s">
        <v>1392</v>
      </c>
      <c r="G852" t="s">
        <v>50</v>
      </c>
      <c r="H852" t="s">
        <v>78</v>
      </c>
      <c r="I852" t="s">
        <v>89</v>
      </c>
      <c r="J852" s="9">
        <v>1</v>
      </c>
      <c r="K852" s="7">
        <v>9000</v>
      </c>
      <c r="L852" s="7">
        <v>0</v>
      </c>
      <c r="M852" s="9"/>
      <c r="N852" s="7">
        <v>2.2000000000000002</v>
      </c>
      <c r="O852" s="7"/>
      <c r="P852" s="7"/>
      <c r="Q852" t="s">
        <v>89</v>
      </c>
      <c r="R852" s="7" t="str">
        <f>TEXT(Table1[[#This Row],[Date]],"mmm yyyy")</f>
        <v>Apr 2026</v>
      </c>
      <c r="S852" s="9">
        <f>YEAR(Table1[[#This Row],[Date]])</f>
        <v>2026</v>
      </c>
      <c r="T852" s="9"/>
      <c r="U852" s="9"/>
    </row>
    <row r="853" spans="1:21" hidden="1" x14ac:dyDescent="0.3">
      <c r="A853" t="s">
        <v>1393</v>
      </c>
      <c r="B853" s="6">
        <v>46210</v>
      </c>
      <c r="C853" t="s">
        <v>26</v>
      </c>
      <c r="D853" t="s">
        <v>72</v>
      </c>
      <c r="E853" t="s">
        <v>48</v>
      </c>
      <c r="F853" t="s">
        <v>1394</v>
      </c>
      <c r="G853" t="s">
        <v>22</v>
      </c>
      <c r="J853" s="9">
        <v>0</v>
      </c>
      <c r="K853" s="7">
        <v>0</v>
      </c>
      <c r="L853" s="7">
        <v>0</v>
      </c>
      <c r="M853" s="9">
        <v>1</v>
      </c>
      <c r="N853" s="7">
        <v>5.5</v>
      </c>
      <c r="O853" s="7">
        <v>20.3</v>
      </c>
      <c r="P853" s="7">
        <v>5</v>
      </c>
      <c r="Q853" t="s">
        <v>62</v>
      </c>
      <c r="R853" s="7" t="str">
        <f>TEXT(Table1[[#This Row],[Date]],"mmm yyyy")</f>
        <v>Jul 2026</v>
      </c>
      <c r="S853" s="9">
        <f>YEAR(Table1[[#This Row],[Date]])</f>
        <v>2026</v>
      </c>
      <c r="T853" s="9"/>
      <c r="U853" s="9"/>
    </row>
    <row r="854" spans="1:21" x14ac:dyDescent="0.3">
      <c r="A854" t="s">
        <v>1395</v>
      </c>
      <c r="B854" s="6">
        <v>46251</v>
      </c>
      <c r="C854" t="s">
        <v>18</v>
      </c>
      <c r="D854" t="s">
        <v>19</v>
      </c>
      <c r="E854" t="s">
        <v>20</v>
      </c>
      <c r="F854" t="s">
        <v>451</v>
      </c>
      <c r="G854" t="s">
        <v>50</v>
      </c>
      <c r="H854" t="s">
        <v>78</v>
      </c>
      <c r="I854" t="s">
        <v>24</v>
      </c>
      <c r="J854" s="9">
        <v>1</v>
      </c>
      <c r="K854" s="7">
        <v>24000</v>
      </c>
      <c r="L854" s="7">
        <v>24000</v>
      </c>
      <c r="M854" s="9"/>
      <c r="N854" s="7">
        <v>10.7</v>
      </c>
      <c r="O854" s="7"/>
      <c r="P854" s="7"/>
      <c r="Q854" t="s">
        <v>24</v>
      </c>
      <c r="R854" s="7" t="str">
        <f>TEXT(Table1[[#This Row],[Date]],"mmm yyyy")</f>
        <v>Aug 2026</v>
      </c>
      <c r="S854" s="9">
        <f>YEAR(Table1[[#This Row],[Date]])</f>
        <v>2026</v>
      </c>
      <c r="T854" s="9"/>
      <c r="U854" s="9"/>
    </row>
    <row r="855" spans="1:21" hidden="1" x14ac:dyDescent="0.3">
      <c r="A855" t="s">
        <v>1396</v>
      </c>
      <c r="B855" s="6">
        <v>46021</v>
      </c>
      <c r="C855" t="s">
        <v>26</v>
      </c>
      <c r="D855" t="s">
        <v>232</v>
      </c>
      <c r="E855" t="s">
        <v>37</v>
      </c>
      <c r="F855" t="s">
        <v>730</v>
      </c>
      <c r="G855" t="s">
        <v>30</v>
      </c>
      <c r="J855" s="9">
        <v>0</v>
      </c>
      <c r="K855" s="7">
        <v>0</v>
      </c>
      <c r="L855" s="7">
        <v>0</v>
      </c>
      <c r="M855" s="9">
        <v>1</v>
      </c>
      <c r="N855" s="7">
        <v>6.5</v>
      </c>
      <c r="O855" s="7">
        <v>5.5</v>
      </c>
      <c r="P855" s="7">
        <v>2.6</v>
      </c>
      <c r="Q855" t="s">
        <v>39</v>
      </c>
      <c r="R855" s="7" t="str">
        <f>TEXT(Table1[[#This Row],[Date]],"mmm yyyy")</f>
        <v>Dec 2025</v>
      </c>
      <c r="S855" s="9">
        <f>YEAR(Table1[[#This Row],[Date]])</f>
        <v>2025</v>
      </c>
      <c r="T855" s="9"/>
      <c r="U855" s="9"/>
    </row>
    <row r="856" spans="1:21" x14ac:dyDescent="0.3">
      <c r="A856" t="s">
        <v>1397</v>
      </c>
      <c r="B856" s="6">
        <v>45962</v>
      </c>
      <c r="C856" t="s">
        <v>18</v>
      </c>
      <c r="D856" t="s">
        <v>105</v>
      </c>
      <c r="E856" t="s">
        <v>20</v>
      </c>
      <c r="F856" t="s">
        <v>1286</v>
      </c>
      <c r="G856" t="s">
        <v>50</v>
      </c>
      <c r="H856" t="s">
        <v>86</v>
      </c>
      <c r="I856" t="s">
        <v>45</v>
      </c>
      <c r="J856" s="9">
        <v>1</v>
      </c>
      <c r="K856" s="7">
        <v>38600</v>
      </c>
      <c r="L856" s="7">
        <v>0</v>
      </c>
      <c r="M856" s="9"/>
      <c r="N856" s="7">
        <v>9.6999999999999993</v>
      </c>
      <c r="O856" s="7"/>
      <c r="P856" s="7"/>
      <c r="Q856" t="s">
        <v>45</v>
      </c>
      <c r="R856" s="7" t="str">
        <f>TEXT(Table1[[#This Row],[Date]],"mmm yyyy")</f>
        <v>Nov 2025</v>
      </c>
      <c r="S856" s="9">
        <f>YEAR(Table1[[#This Row],[Date]])</f>
        <v>2025</v>
      </c>
      <c r="T856" s="9"/>
      <c r="U856" s="9"/>
    </row>
    <row r="857" spans="1:21" x14ac:dyDescent="0.3">
      <c r="A857" t="s">
        <v>1398</v>
      </c>
      <c r="B857" s="6">
        <v>46105</v>
      </c>
      <c r="C857" t="s">
        <v>18</v>
      </c>
      <c r="D857" t="s">
        <v>64</v>
      </c>
      <c r="E857" t="s">
        <v>37</v>
      </c>
      <c r="F857" t="s">
        <v>1399</v>
      </c>
      <c r="G857" t="s">
        <v>50</v>
      </c>
      <c r="H857" t="s">
        <v>54</v>
      </c>
      <c r="I857" t="s">
        <v>89</v>
      </c>
      <c r="J857" s="9">
        <v>1</v>
      </c>
      <c r="K857" s="7">
        <v>27500</v>
      </c>
      <c r="L857" s="7">
        <v>0</v>
      </c>
      <c r="M857" s="9"/>
      <c r="N857" s="7">
        <v>13.1</v>
      </c>
      <c r="O857" s="7"/>
      <c r="P857" s="7"/>
      <c r="Q857" t="s">
        <v>89</v>
      </c>
      <c r="R857" s="7" t="str">
        <f>TEXT(Table1[[#This Row],[Date]],"mmm yyyy")</f>
        <v>Mar 2026</v>
      </c>
      <c r="S857" s="9">
        <f>YEAR(Table1[[#This Row],[Date]])</f>
        <v>2026</v>
      </c>
      <c r="T857" s="9"/>
      <c r="U857" s="9"/>
    </row>
    <row r="858" spans="1:21" x14ac:dyDescent="0.3">
      <c r="A858" t="s">
        <v>1400</v>
      </c>
      <c r="B858" s="6">
        <v>46088</v>
      </c>
      <c r="C858" t="s">
        <v>18</v>
      </c>
      <c r="D858" t="s">
        <v>52</v>
      </c>
      <c r="E858" t="s">
        <v>48</v>
      </c>
      <c r="F858" t="s">
        <v>417</v>
      </c>
      <c r="G858" t="s">
        <v>30</v>
      </c>
      <c r="H858" t="s">
        <v>86</v>
      </c>
      <c r="I858" t="s">
        <v>24</v>
      </c>
      <c r="J858" s="9">
        <v>1</v>
      </c>
      <c r="K858" s="7">
        <v>18800</v>
      </c>
      <c r="L858" s="7">
        <v>18800</v>
      </c>
      <c r="M858" s="9"/>
      <c r="N858" s="7">
        <v>15</v>
      </c>
      <c r="O858" s="7"/>
      <c r="P858" s="7"/>
      <c r="Q858" t="s">
        <v>24</v>
      </c>
      <c r="R858" s="7" t="str">
        <f>TEXT(Table1[[#This Row],[Date]],"mmm yyyy")</f>
        <v>Mar 2026</v>
      </c>
      <c r="S858" s="9">
        <f>YEAR(Table1[[#This Row],[Date]])</f>
        <v>2026</v>
      </c>
      <c r="T858" s="9"/>
      <c r="U858" s="9"/>
    </row>
    <row r="859" spans="1:21" x14ac:dyDescent="0.3">
      <c r="A859" t="s">
        <v>1401</v>
      </c>
      <c r="B859" s="6">
        <v>45960</v>
      </c>
      <c r="C859" t="s">
        <v>18</v>
      </c>
      <c r="D859" t="s">
        <v>52</v>
      </c>
      <c r="E859" t="s">
        <v>48</v>
      </c>
      <c r="F859" t="s">
        <v>1402</v>
      </c>
      <c r="G859" t="s">
        <v>44</v>
      </c>
      <c r="H859" t="s">
        <v>78</v>
      </c>
      <c r="I859" t="s">
        <v>45</v>
      </c>
      <c r="J859" s="9">
        <v>1</v>
      </c>
      <c r="K859" s="7">
        <v>5000</v>
      </c>
      <c r="L859" s="7">
        <v>0</v>
      </c>
      <c r="M859" s="9"/>
      <c r="N859" s="7">
        <v>8.8000000000000007</v>
      </c>
      <c r="O859" s="7"/>
      <c r="P859" s="7"/>
      <c r="Q859" t="s">
        <v>45</v>
      </c>
      <c r="R859" s="7" t="str">
        <f>TEXT(Table1[[#This Row],[Date]],"mmm yyyy")</f>
        <v>Oct 2025</v>
      </c>
      <c r="S859" s="9">
        <f>YEAR(Table1[[#This Row],[Date]])</f>
        <v>2025</v>
      </c>
      <c r="T859" s="9"/>
      <c r="U859" s="9"/>
    </row>
    <row r="860" spans="1:21" hidden="1" x14ac:dyDescent="0.3">
      <c r="A860" t="s">
        <v>1403</v>
      </c>
      <c r="B860" s="6">
        <v>46261</v>
      </c>
      <c r="C860" t="s">
        <v>26</v>
      </c>
      <c r="D860" t="s">
        <v>232</v>
      </c>
      <c r="E860" t="s">
        <v>20</v>
      </c>
      <c r="F860" t="s">
        <v>1297</v>
      </c>
      <c r="G860" t="s">
        <v>22</v>
      </c>
      <c r="J860" s="9">
        <v>0</v>
      </c>
      <c r="K860" s="7">
        <v>0</v>
      </c>
      <c r="L860" s="7">
        <v>0</v>
      </c>
      <c r="M860" s="9">
        <v>1</v>
      </c>
      <c r="N860" s="7">
        <v>6</v>
      </c>
      <c r="O860" s="7">
        <v>7.1</v>
      </c>
      <c r="P860" s="7">
        <v>4.0999999999999996</v>
      </c>
      <c r="Q860" t="s">
        <v>31</v>
      </c>
      <c r="R860" s="7" t="str">
        <f>TEXT(Table1[[#This Row],[Date]],"mmm yyyy")</f>
        <v>Aug 2026</v>
      </c>
      <c r="S860" s="9">
        <f>YEAR(Table1[[#This Row],[Date]])</f>
        <v>2026</v>
      </c>
      <c r="T860" s="9"/>
      <c r="U860" s="9"/>
    </row>
    <row r="861" spans="1:21" x14ac:dyDescent="0.3">
      <c r="A861" t="s">
        <v>1404</v>
      </c>
      <c r="B861" s="6">
        <v>46161</v>
      </c>
      <c r="C861" t="s">
        <v>18</v>
      </c>
      <c r="D861" t="s">
        <v>117</v>
      </c>
      <c r="E861" t="s">
        <v>20</v>
      </c>
      <c r="F861" t="s">
        <v>1405</v>
      </c>
      <c r="G861" t="s">
        <v>22</v>
      </c>
      <c r="H861" t="s">
        <v>54</v>
      </c>
      <c r="I861" t="s">
        <v>79</v>
      </c>
      <c r="J861" s="9">
        <v>1</v>
      </c>
      <c r="K861" s="7">
        <v>9500</v>
      </c>
      <c r="L861" s="7">
        <v>0</v>
      </c>
      <c r="M861" s="9"/>
      <c r="N861" s="7">
        <v>12.2</v>
      </c>
      <c r="O861" s="7"/>
      <c r="P861" s="7"/>
      <c r="Q861" t="s">
        <v>79</v>
      </c>
      <c r="R861" s="7" t="str">
        <f>TEXT(Table1[[#This Row],[Date]],"mmm yyyy")</f>
        <v>May 2026</v>
      </c>
      <c r="S861" s="9">
        <f>YEAR(Table1[[#This Row],[Date]])</f>
        <v>2026</v>
      </c>
      <c r="T861" s="9"/>
      <c r="U861" s="9"/>
    </row>
    <row r="862" spans="1:21" hidden="1" x14ac:dyDescent="0.3">
      <c r="A862" t="s">
        <v>1406</v>
      </c>
      <c r="B862" s="6">
        <v>45942</v>
      </c>
      <c r="C862" t="s">
        <v>26</v>
      </c>
      <c r="D862" t="s">
        <v>33</v>
      </c>
      <c r="E862" t="s">
        <v>28</v>
      </c>
      <c r="F862" t="s">
        <v>1407</v>
      </c>
      <c r="G862" t="s">
        <v>22</v>
      </c>
      <c r="J862" s="9">
        <v>0</v>
      </c>
      <c r="K862" s="7">
        <v>0</v>
      </c>
      <c r="L862" s="7">
        <v>0</v>
      </c>
      <c r="M862" s="9">
        <v>1</v>
      </c>
      <c r="N862" s="7">
        <v>3.5</v>
      </c>
      <c r="O862" s="7">
        <v>11.6</v>
      </c>
      <c r="P862" s="7">
        <v>3.6</v>
      </c>
      <c r="Q862" t="s">
        <v>39</v>
      </c>
      <c r="R862" s="7" t="str">
        <f>TEXT(Table1[[#This Row],[Date]],"mmm yyyy")</f>
        <v>Oct 2025</v>
      </c>
      <c r="S862" s="9">
        <f>YEAR(Table1[[#This Row],[Date]])</f>
        <v>2025</v>
      </c>
      <c r="T862" s="9"/>
      <c r="U862" s="9"/>
    </row>
    <row r="863" spans="1:21" x14ac:dyDescent="0.3">
      <c r="A863" t="s">
        <v>1408</v>
      </c>
      <c r="B863" s="6">
        <v>46173</v>
      </c>
      <c r="C863" t="s">
        <v>18</v>
      </c>
      <c r="D863" t="s">
        <v>117</v>
      </c>
      <c r="E863" t="s">
        <v>20</v>
      </c>
      <c r="F863" t="s">
        <v>1359</v>
      </c>
      <c r="G863" t="s">
        <v>44</v>
      </c>
      <c r="H863" t="s">
        <v>23</v>
      </c>
      <c r="I863" t="s">
        <v>67</v>
      </c>
      <c r="J863" s="9">
        <v>1</v>
      </c>
      <c r="K863" s="7">
        <v>15800</v>
      </c>
      <c r="L863" s="7">
        <v>0</v>
      </c>
      <c r="M863" s="9"/>
      <c r="N863" s="7">
        <v>0.6</v>
      </c>
      <c r="O863" s="7"/>
      <c r="P863" s="7"/>
      <c r="Q863" t="s">
        <v>67</v>
      </c>
      <c r="R863" s="7" t="str">
        <f>TEXT(Table1[[#This Row],[Date]],"mmm yyyy")</f>
        <v>May 2026</v>
      </c>
      <c r="S863" s="9">
        <f>YEAR(Table1[[#This Row],[Date]])</f>
        <v>2026</v>
      </c>
      <c r="T863" s="9"/>
      <c r="U863" s="9"/>
    </row>
    <row r="864" spans="1:21" x14ac:dyDescent="0.3">
      <c r="A864" t="s">
        <v>1409</v>
      </c>
      <c r="B864" s="6">
        <v>46093</v>
      </c>
      <c r="C864" t="s">
        <v>18</v>
      </c>
      <c r="D864" t="s">
        <v>52</v>
      </c>
      <c r="E864" t="s">
        <v>20</v>
      </c>
      <c r="F864" t="s">
        <v>1085</v>
      </c>
      <c r="G864" t="s">
        <v>44</v>
      </c>
      <c r="H864" t="s">
        <v>54</v>
      </c>
      <c r="I864" t="s">
        <v>24</v>
      </c>
      <c r="J864" s="9">
        <v>1</v>
      </c>
      <c r="K864" s="7">
        <v>37800</v>
      </c>
      <c r="L864" s="7">
        <v>37800</v>
      </c>
      <c r="M864" s="9"/>
      <c r="N864" s="7">
        <v>22.7</v>
      </c>
      <c r="O864" s="7"/>
      <c r="P864" s="7"/>
      <c r="Q864" t="s">
        <v>24</v>
      </c>
      <c r="R864" s="7" t="str">
        <f>TEXT(Table1[[#This Row],[Date]],"mmm yyyy")</f>
        <v>Mar 2026</v>
      </c>
      <c r="S864" s="9">
        <f>YEAR(Table1[[#This Row],[Date]])</f>
        <v>2026</v>
      </c>
      <c r="T864" s="9"/>
      <c r="U864" s="9"/>
    </row>
    <row r="865" spans="1:21" x14ac:dyDescent="0.3">
      <c r="A865" t="s">
        <v>1410</v>
      </c>
      <c r="B865" s="6">
        <v>46192</v>
      </c>
      <c r="C865" t="s">
        <v>18</v>
      </c>
      <c r="D865" t="s">
        <v>19</v>
      </c>
      <c r="E865" t="s">
        <v>48</v>
      </c>
      <c r="F865" t="s">
        <v>332</v>
      </c>
      <c r="G865" t="s">
        <v>22</v>
      </c>
      <c r="H865" t="s">
        <v>66</v>
      </c>
      <c r="I865" t="s">
        <v>67</v>
      </c>
      <c r="J865" s="9">
        <v>1</v>
      </c>
      <c r="K865" s="7">
        <v>86200</v>
      </c>
      <c r="L865" s="7">
        <v>0</v>
      </c>
      <c r="M865" s="9"/>
      <c r="N865" s="7">
        <v>16.600000000000001</v>
      </c>
      <c r="O865" s="7"/>
      <c r="P865" s="7"/>
      <c r="Q865" t="s">
        <v>67</v>
      </c>
      <c r="R865" s="7" t="str">
        <f>TEXT(Table1[[#This Row],[Date]],"mmm yyyy")</f>
        <v>Jun 2026</v>
      </c>
      <c r="S865" s="9">
        <f>YEAR(Table1[[#This Row],[Date]])</f>
        <v>2026</v>
      </c>
      <c r="T865" s="9"/>
      <c r="U865" s="9"/>
    </row>
    <row r="866" spans="1:21" x14ac:dyDescent="0.3">
      <c r="A866" t="s">
        <v>1411</v>
      </c>
      <c r="B866" s="6">
        <v>46175</v>
      </c>
      <c r="C866" t="s">
        <v>18</v>
      </c>
      <c r="D866" t="s">
        <v>52</v>
      </c>
      <c r="E866" t="s">
        <v>20</v>
      </c>
      <c r="F866" t="s">
        <v>340</v>
      </c>
      <c r="G866" t="s">
        <v>22</v>
      </c>
      <c r="H866" t="s">
        <v>66</v>
      </c>
      <c r="I866" t="s">
        <v>45</v>
      </c>
      <c r="J866" s="9">
        <v>1</v>
      </c>
      <c r="K866" s="7">
        <v>42400</v>
      </c>
      <c r="L866" s="7">
        <v>0</v>
      </c>
      <c r="M866" s="9"/>
      <c r="N866" s="7">
        <v>20.399999999999999</v>
      </c>
      <c r="O866" s="7"/>
      <c r="P866" s="7"/>
      <c r="Q866" t="s">
        <v>45</v>
      </c>
      <c r="R866" s="7" t="str">
        <f>TEXT(Table1[[#This Row],[Date]],"mmm yyyy")</f>
        <v>Jun 2026</v>
      </c>
      <c r="S866" s="9">
        <f>YEAR(Table1[[#This Row],[Date]])</f>
        <v>2026</v>
      </c>
      <c r="T866" s="9"/>
      <c r="U866" s="9"/>
    </row>
    <row r="867" spans="1:21" hidden="1" x14ac:dyDescent="0.3">
      <c r="A867" t="s">
        <v>1412</v>
      </c>
      <c r="B867" s="6">
        <v>46009</v>
      </c>
      <c r="C867" t="s">
        <v>26</v>
      </c>
      <c r="D867" t="s">
        <v>69</v>
      </c>
      <c r="E867" t="s">
        <v>37</v>
      </c>
      <c r="F867" t="s">
        <v>358</v>
      </c>
      <c r="G867" t="s">
        <v>30</v>
      </c>
      <c r="J867" s="9">
        <v>0</v>
      </c>
      <c r="K867" s="7">
        <v>0</v>
      </c>
      <c r="L867" s="7">
        <v>0</v>
      </c>
      <c r="M867" s="9">
        <v>1</v>
      </c>
      <c r="N867" s="7">
        <v>3.6</v>
      </c>
      <c r="O867" s="7">
        <v>6.5</v>
      </c>
      <c r="P867" s="7">
        <v>4.2</v>
      </c>
      <c r="Q867" t="s">
        <v>62</v>
      </c>
      <c r="R867" s="7" t="str">
        <f>TEXT(Table1[[#This Row],[Date]],"mmm yyyy")</f>
        <v>Dec 2025</v>
      </c>
      <c r="S867" s="9">
        <f>YEAR(Table1[[#This Row],[Date]])</f>
        <v>2025</v>
      </c>
      <c r="T867" s="9"/>
      <c r="U867" s="9"/>
    </row>
    <row r="868" spans="1:21" x14ac:dyDescent="0.3">
      <c r="A868" t="s">
        <v>1413</v>
      </c>
      <c r="B868" s="6">
        <v>45911</v>
      </c>
      <c r="C868" t="s">
        <v>18</v>
      </c>
      <c r="D868" t="s">
        <v>64</v>
      </c>
      <c r="E868" t="s">
        <v>28</v>
      </c>
      <c r="F868" t="s">
        <v>1414</v>
      </c>
      <c r="G868" t="s">
        <v>30</v>
      </c>
      <c r="H868" t="s">
        <v>86</v>
      </c>
      <c r="I868" t="s">
        <v>55</v>
      </c>
      <c r="J868" s="9">
        <v>1</v>
      </c>
      <c r="K868" s="7">
        <v>58000</v>
      </c>
      <c r="L868" s="7">
        <v>0</v>
      </c>
      <c r="M868" s="9"/>
      <c r="N868" s="7">
        <v>22.3</v>
      </c>
      <c r="O868" s="7"/>
      <c r="P868" s="7"/>
      <c r="Q868" t="s">
        <v>55</v>
      </c>
      <c r="R868" s="7" t="str">
        <f>TEXT(Table1[[#This Row],[Date]],"mmm yyyy")</f>
        <v>Sep 2025</v>
      </c>
      <c r="S868" s="9">
        <f>YEAR(Table1[[#This Row],[Date]])</f>
        <v>2025</v>
      </c>
      <c r="T868" s="9"/>
      <c r="U868" s="9"/>
    </row>
    <row r="869" spans="1:21" x14ac:dyDescent="0.3">
      <c r="A869" t="s">
        <v>1415</v>
      </c>
      <c r="B869" s="6">
        <v>46076</v>
      </c>
      <c r="C869" t="s">
        <v>18</v>
      </c>
      <c r="D869" t="s">
        <v>64</v>
      </c>
      <c r="E869" t="s">
        <v>20</v>
      </c>
      <c r="F869" t="s">
        <v>1416</v>
      </c>
      <c r="G869" t="s">
        <v>30</v>
      </c>
      <c r="H869" t="s">
        <v>23</v>
      </c>
      <c r="I869" t="s">
        <v>45</v>
      </c>
      <c r="J869" s="9">
        <v>1</v>
      </c>
      <c r="K869" s="7">
        <v>18500</v>
      </c>
      <c r="L869" s="7">
        <v>0</v>
      </c>
      <c r="M869" s="9"/>
      <c r="N869" s="7">
        <v>0.8</v>
      </c>
      <c r="O869" s="7"/>
      <c r="P869" s="7"/>
      <c r="Q869" t="s">
        <v>45</v>
      </c>
      <c r="R869" s="7" t="str">
        <f>TEXT(Table1[[#This Row],[Date]],"mmm yyyy")</f>
        <v>Feb 2026</v>
      </c>
      <c r="S869" s="9">
        <f>YEAR(Table1[[#This Row],[Date]])</f>
        <v>2026</v>
      </c>
      <c r="T869" s="9"/>
      <c r="U869" s="9"/>
    </row>
    <row r="870" spans="1:21" hidden="1" x14ac:dyDescent="0.3">
      <c r="A870" t="s">
        <v>1417</v>
      </c>
      <c r="B870" s="6">
        <v>46242</v>
      </c>
      <c r="C870" t="s">
        <v>26</v>
      </c>
      <c r="D870" t="s">
        <v>27</v>
      </c>
      <c r="E870" t="s">
        <v>37</v>
      </c>
      <c r="F870" t="s">
        <v>122</v>
      </c>
      <c r="G870" t="s">
        <v>30</v>
      </c>
      <c r="J870" s="9">
        <v>0</v>
      </c>
      <c r="K870" s="7">
        <v>0</v>
      </c>
      <c r="L870" s="7">
        <v>0</v>
      </c>
      <c r="M870" s="9">
        <v>1</v>
      </c>
      <c r="N870" s="7">
        <v>11</v>
      </c>
      <c r="O870" s="7">
        <v>1.1000000000000001</v>
      </c>
      <c r="P870" s="7">
        <v>3.3</v>
      </c>
      <c r="Q870" t="s">
        <v>39</v>
      </c>
      <c r="R870" s="7" t="str">
        <f>TEXT(Table1[[#This Row],[Date]],"mmm yyyy")</f>
        <v>Aug 2026</v>
      </c>
      <c r="S870" s="9">
        <f>YEAR(Table1[[#This Row],[Date]])</f>
        <v>2026</v>
      </c>
      <c r="T870" s="9"/>
      <c r="U870" s="9"/>
    </row>
    <row r="871" spans="1:21" hidden="1" x14ac:dyDescent="0.3">
      <c r="A871" t="s">
        <v>1418</v>
      </c>
      <c r="B871" s="6">
        <v>46247</v>
      </c>
      <c r="C871" t="s">
        <v>26</v>
      </c>
      <c r="D871" t="s">
        <v>72</v>
      </c>
      <c r="E871" t="s">
        <v>20</v>
      </c>
      <c r="F871" t="s">
        <v>106</v>
      </c>
      <c r="G871" t="s">
        <v>22</v>
      </c>
      <c r="J871" s="9">
        <v>0</v>
      </c>
      <c r="K871" s="7">
        <v>0</v>
      </c>
      <c r="L871" s="7">
        <v>0</v>
      </c>
      <c r="M871" s="9">
        <v>1</v>
      </c>
      <c r="N871" s="7">
        <v>3.7</v>
      </c>
      <c r="O871" s="7">
        <v>4.5999999999999996</v>
      </c>
      <c r="P871" s="7">
        <v>3.6</v>
      </c>
      <c r="Q871" t="s">
        <v>39</v>
      </c>
      <c r="R871" s="7" t="str">
        <f>TEXT(Table1[[#This Row],[Date]],"mmm yyyy")</f>
        <v>Aug 2026</v>
      </c>
      <c r="S871" s="9">
        <f>YEAR(Table1[[#This Row],[Date]])</f>
        <v>2026</v>
      </c>
      <c r="T871" s="9"/>
      <c r="U871" s="9"/>
    </row>
    <row r="872" spans="1:21" x14ac:dyDescent="0.3">
      <c r="A872" t="s">
        <v>1419</v>
      </c>
      <c r="B872" s="6">
        <v>45983</v>
      </c>
      <c r="C872" t="s">
        <v>18</v>
      </c>
      <c r="D872" t="s">
        <v>19</v>
      </c>
      <c r="E872" t="s">
        <v>42</v>
      </c>
      <c r="F872" t="s">
        <v>1394</v>
      </c>
      <c r="G872" t="s">
        <v>44</v>
      </c>
      <c r="H872" t="s">
        <v>23</v>
      </c>
      <c r="I872" t="s">
        <v>45</v>
      </c>
      <c r="J872" s="9">
        <v>1</v>
      </c>
      <c r="K872" s="7">
        <v>51100</v>
      </c>
      <c r="L872" s="7">
        <v>0</v>
      </c>
      <c r="M872" s="9"/>
      <c r="N872" s="7">
        <v>8.3000000000000007</v>
      </c>
      <c r="O872" s="7"/>
      <c r="P872" s="7"/>
      <c r="Q872" t="s">
        <v>45</v>
      </c>
      <c r="R872" s="7" t="str">
        <f>TEXT(Table1[[#This Row],[Date]],"mmm yyyy")</f>
        <v>Nov 2025</v>
      </c>
      <c r="S872" s="9">
        <f>YEAR(Table1[[#This Row],[Date]])</f>
        <v>2025</v>
      </c>
      <c r="T872" s="9"/>
      <c r="U872" s="9"/>
    </row>
    <row r="873" spans="1:21" x14ac:dyDescent="0.3">
      <c r="A873" t="s">
        <v>1420</v>
      </c>
      <c r="B873" s="6">
        <v>46020</v>
      </c>
      <c r="C873" t="s">
        <v>18</v>
      </c>
      <c r="D873" t="s">
        <v>64</v>
      </c>
      <c r="E873" t="s">
        <v>28</v>
      </c>
      <c r="F873" t="s">
        <v>280</v>
      </c>
      <c r="G873" t="s">
        <v>22</v>
      </c>
      <c r="H873" t="s">
        <v>23</v>
      </c>
      <c r="I873" t="s">
        <v>55</v>
      </c>
      <c r="J873" s="9">
        <v>1</v>
      </c>
      <c r="K873" s="7">
        <v>10300</v>
      </c>
      <c r="L873" s="7">
        <v>0</v>
      </c>
      <c r="M873" s="9"/>
      <c r="N873" s="7">
        <v>12.8</v>
      </c>
      <c r="O873" s="7"/>
      <c r="P873" s="7"/>
      <c r="Q873" t="s">
        <v>55</v>
      </c>
      <c r="R873" s="7" t="str">
        <f>TEXT(Table1[[#This Row],[Date]],"mmm yyyy")</f>
        <v>Dec 2025</v>
      </c>
      <c r="S873" s="9">
        <f>YEAR(Table1[[#This Row],[Date]])</f>
        <v>2025</v>
      </c>
      <c r="T873" s="9"/>
      <c r="U873" s="9"/>
    </row>
    <row r="874" spans="1:21" hidden="1" x14ac:dyDescent="0.3">
      <c r="A874" t="s">
        <v>1421</v>
      </c>
      <c r="B874" s="6">
        <v>45916</v>
      </c>
      <c r="C874" t="s">
        <v>26</v>
      </c>
      <c r="D874" t="s">
        <v>114</v>
      </c>
      <c r="E874" t="s">
        <v>20</v>
      </c>
      <c r="F874" t="s">
        <v>1422</v>
      </c>
      <c r="G874" t="s">
        <v>50</v>
      </c>
      <c r="J874" s="9">
        <v>0</v>
      </c>
      <c r="K874" s="7">
        <v>0</v>
      </c>
      <c r="L874" s="7">
        <v>0</v>
      </c>
      <c r="M874" s="9">
        <v>1</v>
      </c>
      <c r="N874" s="7">
        <v>7.8</v>
      </c>
      <c r="O874" s="7">
        <v>7.6</v>
      </c>
      <c r="P874" s="7">
        <v>3.3</v>
      </c>
      <c r="Q874" t="s">
        <v>31</v>
      </c>
      <c r="R874" s="7" t="str">
        <f>TEXT(Table1[[#This Row],[Date]],"mmm yyyy")</f>
        <v>Sep 2025</v>
      </c>
      <c r="S874" s="9">
        <f>YEAR(Table1[[#This Row],[Date]])</f>
        <v>2025</v>
      </c>
      <c r="T874" s="9"/>
      <c r="U874" s="9"/>
    </row>
    <row r="875" spans="1:21" x14ac:dyDescent="0.3">
      <c r="A875" t="s">
        <v>1423</v>
      </c>
      <c r="B875" s="6">
        <v>46218</v>
      </c>
      <c r="C875" t="s">
        <v>18</v>
      </c>
      <c r="D875" t="s">
        <v>41</v>
      </c>
      <c r="E875" t="s">
        <v>20</v>
      </c>
      <c r="F875" t="s">
        <v>246</v>
      </c>
      <c r="G875" t="s">
        <v>30</v>
      </c>
      <c r="H875" t="s">
        <v>86</v>
      </c>
      <c r="I875" t="s">
        <v>24</v>
      </c>
      <c r="J875" s="9">
        <v>1</v>
      </c>
      <c r="K875" s="7">
        <v>45900</v>
      </c>
      <c r="L875" s="7">
        <v>45900</v>
      </c>
      <c r="M875" s="9"/>
      <c r="N875" s="7">
        <v>10</v>
      </c>
      <c r="O875" s="7"/>
      <c r="P875" s="7"/>
      <c r="Q875" t="s">
        <v>24</v>
      </c>
      <c r="R875" s="7" t="str">
        <f>TEXT(Table1[[#This Row],[Date]],"mmm yyyy")</f>
        <v>Jul 2026</v>
      </c>
      <c r="S875" s="9">
        <f>YEAR(Table1[[#This Row],[Date]])</f>
        <v>2026</v>
      </c>
      <c r="T875" s="9"/>
      <c r="U875" s="9"/>
    </row>
    <row r="876" spans="1:21" x14ac:dyDescent="0.3">
      <c r="A876" t="s">
        <v>1424</v>
      </c>
      <c r="B876" s="6">
        <v>46128</v>
      </c>
      <c r="C876" t="s">
        <v>18</v>
      </c>
      <c r="D876" t="s">
        <v>19</v>
      </c>
      <c r="E876" t="s">
        <v>28</v>
      </c>
      <c r="F876" t="s">
        <v>1425</v>
      </c>
      <c r="G876" t="s">
        <v>30</v>
      </c>
      <c r="H876" t="s">
        <v>78</v>
      </c>
      <c r="I876" t="s">
        <v>45</v>
      </c>
      <c r="J876" s="9">
        <v>1</v>
      </c>
      <c r="K876" s="7">
        <v>51400</v>
      </c>
      <c r="L876" s="7">
        <v>0</v>
      </c>
      <c r="M876" s="9"/>
      <c r="N876" s="7">
        <v>0.9</v>
      </c>
      <c r="O876" s="7"/>
      <c r="P876" s="7"/>
      <c r="Q876" t="s">
        <v>45</v>
      </c>
      <c r="R876" s="7" t="str">
        <f>TEXT(Table1[[#This Row],[Date]],"mmm yyyy")</f>
        <v>Apr 2026</v>
      </c>
      <c r="S876" s="9">
        <f>YEAR(Table1[[#This Row],[Date]])</f>
        <v>2026</v>
      </c>
      <c r="T876" s="9"/>
      <c r="U876" s="9"/>
    </row>
    <row r="877" spans="1:21" x14ac:dyDescent="0.3">
      <c r="A877" t="s">
        <v>1426</v>
      </c>
      <c r="B877" s="6">
        <v>45967</v>
      </c>
      <c r="C877" t="s">
        <v>18</v>
      </c>
      <c r="D877" t="s">
        <v>41</v>
      </c>
      <c r="E877" t="s">
        <v>42</v>
      </c>
      <c r="F877" t="s">
        <v>1427</v>
      </c>
      <c r="G877" t="s">
        <v>30</v>
      </c>
      <c r="H877" t="s">
        <v>23</v>
      </c>
      <c r="I877" t="s">
        <v>24</v>
      </c>
      <c r="J877" s="9">
        <v>1</v>
      </c>
      <c r="K877" s="7">
        <v>66000</v>
      </c>
      <c r="L877" s="7">
        <v>66000</v>
      </c>
      <c r="M877" s="9"/>
      <c r="N877" s="7">
        <v>12.4</v>
      </c>
      <c r="O877" s="7"/>
      <c r="P877" s="7"/>
      <c r="Q877" t="s">
        <v>24</v>
      </c>
      <c r="R877" s="7" t="str">
        <f>TEXT(Table1[[#This Row],[Date]],"mmm yyyy")</f>
        <v>Nov 2025</v>
      </c>
      <c r="S877" s="9">
        <f>YEAR(Table1[[#This Row],[Date]])</f>
        <v>2025</v>
      </c>
      <c r="T877" s="9"/>
      <c r="U877" s="9"/>
    </row>
    <row r="878" spans="1:21" hidden="1" x14ac:dyDescent="0.3">
      <c r="A878" t="s">
        <v>1428</v>
      </c>
      <c r="B878" s="6">
        <v>46001</v>
      </c>
      <c r="C878" t="s">
        <v>26</v>
      </c>
      <c r="D878" t="s">
        <v>232</v>
      </c>
      <c r="E878" t="s">
        <v>20</v>
      </c>
      <c r="F878" t="s">
        <v>1429</v>
      </c>
      <c r="G878" t="s">
        <v>30</v>
      </c>
      <c r="J878" s="9">
        <v>0</v>
      </c>
      <c r="K878" s="7">
        <v>0</v>
      </c>
      <c r="L878" s="7">
        <v>0</v>
      </c>
      <c r="M878" s="9">
        <v>1</v>
      </c>
      <c r="N878" s="7">
        <v>10.6</v>
      </c>
      <c r="O878" s="7">
        <v>4.8</v>
      </c>
      <c r="P878" s="7">
        <v>3</v>
      </c>
      <c r="Q878" t="s">
        <v>39</v>
      </c>
      <c r="R878" s="7" t="str">
        <f>TEXT(Table1[[#This Row],[Date]],"mmm yyyy")</f>
        <v>Dec 2025</v>
      </c>
      <c r="S878" s="9">
        <f>YEAR(Table1[[#This Row],[Date]])</f>
        <v>2025</v>
      </c>
      <c r="T878" s="9"/>
      <c r="U878" s="9"/>
    </row>
    <row r="879" spans="1:21" hidden="1" x14ac:dyDescent="0.3">
      <c r="A879" t="s">
        <v>1430</v>
      </c>
      <c r="B879" s="6">
        <v>45996</v>
      </c>
      <c r="C879" t="s">
        <v>26</v>
      </c>
      <c r="D879" t="s">
        <v>33</v>
      </c>
      <c r="E879" t="s">
        <v>37</v>
      </c>
      <c r="F879" t="s">
        <v>1083</v>
      </c>
      <c r="G879" t="s">
        <v>22</v>
      </c>
      <c r="J879" s="9">
        <v>0</v>
      </c>
      <c r="K879" s="7">
        <v>0</v>
      </c>
      <c r="L879" s="7">
        <v>0</v>
      </c>
      <c r="M879" s="9">
        <v>1</v>
      </c>
      <c r="N879" s="7">
        <v>9.6999999999999993</v>
      </c>
      <c r="O879" s="7">
        <v>3.2</v>
      </c>
      <c r="P879" s="7">
        <v>5</v>
      </c>
      <c r="Q879" t="s">
        <v>225</v>
      </c>
      <c r="R879" s="7" t="str">
        <f>TEXT(Table1[[#This Row],[Date]],"mmm yyyy")</f>
        <v>Dec 2025</v>
      </c>
      <c r="S879" s="9">
        <f>YEAR(Table1[[#This Row],[Date]])</f>
        <v>2025</v>
      </c>
      <c r="T879" s="9"/>
      <c r="U879" s="9"/>
    </row>
    <row r="880" spans="1:21" x14ac:dyDescent="0.3">
      <c r="A880" t="s">
        <v>1431</v>
      </c>
      <c r="B880" s="6">
        <v>46046</v>
      </c>
      <c r="C880" t="s">
        <v>18</v>
      </c>
      <c r="D880" t="s">
        <v>52</v>
      </c>
      <c r="E880" t="s">
        <v>48</v>
      </c>
      <c r="F880" t="s">
        <v>1432</v>
      </c>
      <c r="G880" t="s">
        <v>30</v>
      </c>
      <c r="H880" t="s">
        <v>66</v>
      </c>
      <c r="I880" t="s">
        <v>55</v>
      </c>
      <c r="J880" s="9">
        <v>1</v>
      </c>
      <c r="K880" s="7">
        <v>9200</v>
      </c>
      <c r="L880" s="7">
        <v>0</v>
      </c>
      <c r="M880" s="9"/>
      <c r="N880" s="7">
        <v>21.8</v>
      </c>
      <c r="O880" s="7"/>
      <c r="P880" s="7"/>
      <c r="Q880" t="s">
        <v>55</v>
      </c>
      <c r="R880" s="7" t="str">
        <f>TEXT(Table1[[#This Row],[Date]],"mmm yyyy")</f>
        <v>Jan 2026</v>
      </c>
      <c r="S880" s="9">
        <f>YEAR(Table1[[#This Row],[Date]])</f>
        <v>2026</v>
      </c>
      <c r="T880" s="9"/>
      <c r="U880" s="9"/>
    </row>
    <row r="881" spans="1:21" x14ac:dyDescent="0.3">
      <c r="A881" t="s">
        <v>1433</v>
      </c>
      <c r="B881" s="6">
        <v>46247</v>
      </c>
      <c r="C881" t="s">
        <v>18</v>
      </c>
      <c r="D881" t="s">
        <v>117</v>
      </c>
      <c r="E881" t="s">
        <v>37</v>
      </c>
      <c r="F881" t="s">
        <v>415</v>
      </c>
      <c r="G881" t="s">
        <v>30</v>
      </c>
      <c r="H881" t="s">
        <v>23</v>
      </c>
      <c r="I881" t="s">
        <v>79</v>
      </c>
      <c r="J881" s="9">
        <v>1</v>
      </c>
      <c r="K881" s="7">
        <v>7100</v>
      </c>
      <c r="L881" s="7">
        <v>0</v>
      </c>
      <c r="M881" s="9"/>
      <c r="N881" s="7">
        <v>7.8</v>
      </c>
      <c r="O881" s="7"/>
      <c r="P881" s="7"/>
      <c r="Q881" t="s">
        <v>79</v>
      </c>
      <c r="R881" s="7" t="str">
        <f>TEXT(Table1[[#This Row],[Date]],"mmm yyyy")</f>
        <v>Aug 2026</v>
      </c>
      <c r="S881" s="9">
        <f>YEAR(Table1[[#This Row],[Date]])</f>
        <v>2026</v>
      </c>
      <c r="T881" s="9"/>
      <c r="U881" s="9"/>
    </row>
    <row r="882" spans="1:21" x14ac:dyDescent="0.3">
      <c r="A882" t="s">
        <v>1434</v>
      </c>
      <c r="B882" s="6">
        <v>46010</v>
      </c>
      <c r="C882" t="s">
        <v>18</v>
      </c>
      <c r="D882" t="s">
        <v>117</v>
      </c>
      <c r="E882" t="s">
        <v>20</v>
      </c>
      <c r="F882" t="s">
        <v>1422</v>
      </c>
      <c r="G882" t="s">
        <v>30</v>
      </c>
      <c r="H882" t="s">
        <v>86</v>
      </c>
      <c r="I882" t="s">
        <v>45</v>
      </c>
      <c r="J882" s="9">
        <v>1</v>
      </c>
      <c r="K882" s="7">
        <v>34700</v>
      </c>
      <c r="L882" s="7">
        <v>0</v>
      </c>
      <c r="M882" s="9"/>
      <c r="N882" s="7">
        <v>21.2</v>
      </c>
      <c r="O882" s="7"/>
      <c r="P882" s="7"/>
      <c r="Q882" t="s">
        <v>45</v>
      </c>
      <c r="R882" s="7" t="str">
        <f>TEXT(Table1[[#This Row],[Date]],"mmm yyyy")</f>
        <v>Dec 2025</v>
      </c>
      <c r="S882" s="9">
        <f>YEAR(Table1[[#This Row],[Date]])</f>
        <v>2025</v>
      </c>
      <c r="T882" s="9"/>
      <c r="U882" s="9"/>
    </row>
    <row r="883" spans="1:21" hidden="1" x14ac:dyDescent="0.3">
      <c r="A883" t="s">
        <v>1435</v>
      </c>
      <c r="B883" s="6">
        <v>45957</v>
      </c>
      <c r="C883" t="s">
        <v>26</v>
      </c>
      <c r="D883" t="s">
        <v>69</v>
      </c>
      <c r="E883" t="s">
        <v>37</v>
      </c>
      <c r="F883" t="s">
        <v>1034</v>
      </c>
      <c r="G883" t="s">
        <v>22</v>
      </c>
      <c r="J883" s="9">
        <v>0</v>
      </c>
      <c r="K883" s="7">
        <v>0</v>
      </c>
      <c r="L883" s="7">
        <v>0</v>
      </c>
      <c r="M883" s="9">
        <v>1</v>
      </c>
      <c r="N883" s="7">
        <v>4.2</v>
      </c>
      <c r="O883" s="7">
        <v>6.3</v>
      </c>
      <c r="P883" s="7">
        <v>3</v>
      </c>
      <c r="Q883" t="s">
        <v>39</v>
      </c>
      <c r="R883" s="7" t="str">
        <f>TEXT(Table1[[#This Row],[Date]],"mmm yyyy")</f>
        <v>Oct 2025</v>
      </c>
      <c r="S883" s="9">
        <f>YEAR(Table1[[#This Row],[Date]])</f>
        <v>2025</v>
      </c>
      <c r="T883" s="9"/>
      <c r="U883" s="9"/>
    </row>
    <row r="884" spans="1:21" x14ac:dyDescent="0.3">
      <c r="A884" t="s">
        <v>1436</v>
      </c>
      <c r="B884" s="6">
        <v>46229</v>
      </c>
      <c r="C884" t="s">
        <v>18</v>
      </c>
      <c r="D884" t="s">
        <v>47</v>
      </c>
      <c r="E884" t="s">
        <v>28</v>
      </c>
      <c r="F884" t="s">
        <v>334</v>
      </c>
      <c r="G884" t="s">
        <v>22</v>
      </c>
      <c r="H884" t="s">
        <v>86</v>
      </c>
      <c r="I884" t="s">
        <v>55</v>
      </c>
      <c r="J884" s="9">
        <v>1</v>
      </c>
      <c r="K884" s="7">
        <v>27900</v>
      </c>
      <c r="L884" s="7">
        <v>0</v>
      </c>
      <c r="M884" s="9"/>
      <c r="N884" s="7">
        <v>13.3</v>
      </c>
      <c r="O884" s="7"/>
      <c r="P884" s="7"/>
      <c r="Q884" t="s">
        <v>55</v>
      </c>
      <c r="R884" s="7" t="str">
        <f>TEXT(Table1[[#This Row],[Date]],"mmm yyyy")</f>
        <v>Jul 2026</v>
      </c>
      <c r="S884" s="9">
        <f>YEAR(Table1[[#This Row],[Date]])</f>
        <v>2026</v>
      </c>
      <c r="T884" s="9"/>
      <c r="U884" s="9"/>
    </row>
    <row r="885" spans="1:21" x14ac:dyDescent="0.3">
      <c r="A885" t="s">
        <v>1437</v>
      </c>
      <c r="B885" s="6">
        <v>46241</v>
      </c>
      <c r="C885" t="s">
        <v>18</v>
      </c>
      <c r="D885" t="s">
        <v>64</v>
      </c>
      <c r="E885" t="s">
        <v>20</v>
      </c>
      <c r="F885" t="s">
        <v>400</v>
      </c>
      <c r="G885" t="s">
        <v>44</v>
      </c>
      <c r="H885" t="s">
        <v>86</v>
      </c>
      <c r="I885" t="s">
        <v>89</v>
      </c>
      <c r="J885" s="9">
        <v>1</v>
      </c>
      <c r="K885" s="7">
        <v>10200</v>
      </c>
      <c r="L885" s="7">
        <v>0</v>
      </c>
      <c r="M885" s="9"/>
      <c r="N885" s="7">
        <v>15.4</v>
      </c>
      <c r="O885" s="7"/>
      <c r="P885" s="7"/>
      <c r="Q885" t="s">
        <v>89</v>
      </c>
      <c r="R885" s="7" t="str">
        <f>TEXT(Table1[[#This Row],[Date]],"mmm yyyy")</f>
        <v>Aug 2026</v>
      </c>
      <c r="S885" s="9">
        <f>YEAR(Table1[[#This Row],[Date]])</f>
        <v>2026</v>
      </c>
      <c r="T885" s="9"/>
      <c r="U885" s="9"/>
    </row>
    <row r="886" spans="1:21" hidden="1" x14ac:dyDescent="0.3">
      <c r="A886" t="s">
        <v>1438</v>
      </c>
      <c r="B886" s="6">
        <v>45942</v>
      </c>
      <c r="C886" t="s">
        <v>26</v>
      </c>
      <c r="D886" t="s">
        <v>33</v>
      </c>
      <c r="E886" t="s">
        <v>20</v>
      </c>
      <c r="F886" t="s">
        <v>962</v>
      </c>
      <c r="G886" t="s">
        <v>30</v>
      </c>
      <c r="J886" s="9">
        <v>0</v>
      </c>
      <c r="K886" s="7">
        <v>0</v>
      </c>
      <c r="L886" s="7">
        <v>0</v>
      </c>
      <c r="M886" s="9">
        <v>1</v>
      </c>
      <c r="N886" s="7">
        <v>6.8</v>
      </c>
      <c r="O886" s="7">
        <v>11</v>
      </c>
      <c r="P886" s="7">
        <v>5</v>
      </c>
      <c r="Q886" t="s">
        <v>39</v>
      </c>
      <c r="R886" s="7" t="str">
        <f>TEXT(Table1[[#This Row],[Date]],"mmm yyyy")</f>
        <v>Oct 2025</v>
      </c>
      <c r="S886" s="9">
        <f>YEAR(Table1[[#This Row],[Date]])</f>
        <v>2025</v>
      </c>
      <c r="T886" s="9"/>
      <c r="U886" s="9"/>
    </row>
    <row r="887" spans="1:21" x14ac:dyDescent="0.3">
      <c r="A887" t="s">
        <v>1439</v>
      </c>
      <c r="B887" s="6">
        <v>46219</v>
      </c>
      <c r="C887" t="s">
        <v>18</v>
      </c>
      <c r="D887" t="s">
        <v>41</v>
      </c>
      <c r="E887" t="s">
        <v>20</v>
      </c>
      <c r="F887" t="s">
        <v>384</v>
      </c>
      <c r="G887" t="s">
        <v>30</v>
      </c>
      <c r="H887" t="s">
        <v>54</v>
      </c>
      <c r="I887" t="s">
        <v>67</v>
      </c>
      <c r="J887" s="9">
        <v>1</v>
      </c>
      <c r="K887" s="7">
        <v>26000</v>
      </c>
      <c r="L887" s="7">
        <v>0</v>
      </c>
      <c r="M887" s="9"/>
      <c r="N887" s="7">
        <v>21.1</v>
      </c>
      <c r="O887" s="7"/>
      <c r="P887" s="7"/>
      <c r="Q887" t="s">
        <v>67</v>
      </c>
      <c r="R887" s="7" t="str">
        <f>TEXT(Table1[[#This Row],[Date]],"mmm yyyy")</f>
        <v>Jul 2026</v>
      </c>
      <c r="S887" s="9">
        <f>YEAR(Table1[[#This Row],[Date]])</f>
        <v>2026</v>
      </c>
      <c r="T887" s="9"/>
      <c r="U887" s="9"/>
    </row>
    <row r="888" spans="1:21" hidden="1" x14ac:dyDescent="0.3">
      <c r="A888" t="s">
        <v>1440</v>
      </c>
      <c r="B888" s="6">
        <v>46100</v>
      </c>
      <c r="C888" t="s">
        <v>26</v>
      </c>
      <c r="D888" t="s">
        <v>232</v>
      </c>
      <c r="E888" t="s">
        <v>28</v>
      </c>
      <c r="F888" t="s">
        <v>1441</v>
      </c>
      <c r="G888" t="s">
        <v>22</v>
      </c>
      <c r="J888" s="9">
        <v>0</v>
      </c>
      <c r="K888" s="7">
        <v>0</v>
      </c>
      <c r="L888" s="7">
        <v>0</v>
      </c>
      <c r="M888" s="9">
        <v>1</v>
      </c>
      <c r="N888" s="7">
        <v>0.9</v>
      </c>
      <c r="O888" s="7">
        <v>10.9</v>
      </c>
      <c r="P888" s="7">
        <v>5</v>
      </c>
      <c r="Q888" t="s">
        <v>39</v>
      </c>
      <c r="R888" s="7" t="str">
        <f>TEXT(Table1[[#This Row],[Date]],"mmm yyyy")</f>
        <v>Mar 2026</v>
      </c>
      <c r="S888" s="9">
        <f>YEAR(Table1[[#This Row],[Date]])</f>
        <v>2026</v>
      </c>
      <c r="T888" s="9"/>
      <c r="U888" s="9"/>
    </row>
    <row r="889" spans="1:21" x14ac:dyDescent="0.3">
      <c r="A889" t="s">
        <v>1442</v>
      </c>
      <c r="B889" s="6">
        <v>46148</v>
      </c>
      <c r="C889" t="s">
        <v>18</v>
      </c>
      <c r="D889" t="s">
        <v>19</v>
      </c>
      <c r="E889" t="s">
        <v>20</v>
      </c>
      <c r="F889" t="s">
        <v>809</v>
      </c>
      <c r="G889" t="s">
        <v>30</v>
      </c>
      <c r="H889" t="s">
        <v>23</v>
      </c>
      <c r="I889" t="s">
        <v>45</v>
      </c>
      <c r="J889" s="9">
        <v>1</v>
      </c>
      <c r="K889" s="7">
        <v>32400</v>
      </c>
      <c r="L889" s="7">
        <v>0</v>
      </c>
      <c r="M889" s="9"/>
      <c r="N889" s="7">
        <v>7.6</v>
      </c>
      <c r="O889" s="7"/>
      <c r="P889" s="7"/>
      <c r="Q889" t="s">
        <v>45</v>
      </c>
      <c r="R889" s="7" t="str">
        <f>TEXT(Table1[[#This Row],[Date]],"mmm yyyy")</f>
        <v>May 2026</v>
      </c>
      <c r="S889" s="9">
        <f>YEAR(Table1[[#This Row],[Date]])</f>
        <v>2026</v>
      </c>
      <c r="T889" s="9"/>
      <c r="U889" s="9"/>
    </row>
    <row r="890" spans="1:21" x14ac:dyDescent="0.3">
      <c r="A890" t="s">
        <v>1443</v>
      </c>
      <c r="B890" s="6">
        <v>46038</v>
      </c>
      <c r="C890" t="s">
        <v>18</v>
      </c>
      <c r="D890" t="s">
        <v>19</v>
      </c>
      <c r="E890" t="s">
        <v>20</v>
      </c>
      <c r="F890" t="s">
        <v>476</v>
      </c>
      <c r="G890" t="s">
        <v>22</v>
      </c>
      <c r="H890" t="s">
        <v>23</v>
      </c>
      <c r="I890" t="s">
        <v>67</v>
      </c>
      <c r="J890" s="9">
        <v>1</v>
      </c>
      <c r="K890" s="7">
        <v>5900</v>
      </c>
      <c r="L890" s="7">
        <v>0</v>
      </c>
      <c r="M890" s="9"/>
      <c r="N890" s="7">
        <v>2.5</v>
      </c>
      <c r="O890" s="7"/>
      <c r="P890" s="7"/>
      <c r="Q890" t="s">
        <v>67</v>
      </c>
      <c r="R890" s="7" t="str">
        <f>TEXT(Table1[[#This Row],[Date]],"mmm yyyy")</f>
        <v>Jan 2026</v>
      </c>
      <c r="S890" s="9">
        <f>YEAR(Table1[[#This Row],[Date]])</f>
        <v>2026</v>
      </c>
      <c r="T890" s="9"/>
      <c r="U890" s="9"/>
    </row>
    <row r="891" spans="1:21" x14ac:dyDescent="0.3">
      <c r="A891" t="s">
        <v>1444</v>
      </c>
      <c r="B891" s="6">
        <v>46210</v>
      </c>
      <c r="C891" t="s">
        <v>18</v>
      </c>
      <c r="D891" t="s">
        <v>52</v>
      </c>
      <c r="E891" t="s">
        <v>37</v>
      </c>
      <c r="F891" t="s">
        <v>827</v>
      </c>
      <c r="G891" t="s">
        <v>50</v>
      </c>
      <c r="H891" t="s">
        <v>78</v>
      </c>
      <c r="I891" t="s">
        <v>24</v>
      </c>
      <c r="J891" s="9">
        <v>1</v>
      </c>
      <c r="K891" s="7">
        <v>14900</v>
      </c>
      <c r="L891" s="7">
        <v>14900</v>
      </c>
      <c r="M891" s="9"/>
      <c r="N891" s="7">
        <v>20.100000000000001</v>
      </c>
      <c r="O891" s="7"/>
      <c r="P891" s="7"/>
      <c r="Q891" t="s">
        <v>24</v>
      </c>
      <c r="R891" s="7" t="str">
        <f>TEXT(Table1[[#This Row],[Date]],"mmm yyyy")</f>
        <v>Jul 2026</v>
      </c>
      <c r="S891" s="9">
        <f>YEAR(Table1[[#This Row],[Date]])</f>
        <v>2026</v>
      </c>
      <c r="T891" s="9"/>
      <c r="U891" s="9"/>
    </row>
    <row r="892" spans="1:21" hidden="1" x14ac:dyDescent="0.3">
      <c r="A892" t="s">
        <v>1445</v>
      </c>
      <c r="B892" s="6">
        <v>46227</v>
      </c>
      <c r="C892" t="s">
        <v>26</v>
      </c>
      <c r="D892" t="s">
        <v>72</v>
      </c>
      <c r="E892" t="s">
        <v>42</v>
      </c>
      <c r="F892" t="s">
        <v>619</v>
      </c>
      <c r="G892" t="s">
        <v>30</v>
      </c>
      <c r="J892" s="9">
        <v>0</v>
      </c>
      <c r="K892" s="7">
        <v>0</v>
      </c>
      <c r="L892" s="7">
        <v>0</v>
      </c>
      <c r="M892" s="9">
        <v>1</v>
      </c>
      <c r="N892" s="7">
        <v>11.8</v>
      </c>
      <c r="O892" s="7">
        <v>13.9</v>
      </c>
      <c r="P892" s="7">
        <v>4.4000000000000004</v>
      </c>
      <c r="Q892" t="s">
        <v>39</v>
      </c>
      <c r="R892" s="7" t="str">
        <f>TEXT(Table1[[#This Row],[Date]],"mmm yyyy")</f>
        <v>Jul 2026</v>
      </c>
      <c r="S892" s="9">
        <f>YEAR(Table1[[#This Row],[Date]])</f>
        <v>2026</v>
      </c>
      <c r="T892" s="9"/>
      <c r="U892" s="9"/>
    </row>
    <row r="893" spans="1:21" hidden="1" x14ac:dyDescent="0.3">
      <c r="A893" t="s">
        <v>1446</v>
      </c>
      <c r="B893" s="6">
        <v>46110</v>
      </c>
      <c r="C893" t="s">
        <v>26</v>
      </c>
      <c r="D893" t="s">
        <v>114</v>
      </c>
      <c r="E893" t="s">
        <v>42</v>
      </c>
      <c r="F893" t="s">
        <v>554</v>
      </c>
      <c r="G893" t="s">
        <v>44</v>
      </c>
      <c r="J893" s="9">
        <v>0</v>
      </c>
      <c r="K893" s="7">
        <v>0</v>
      </c>
      <c r="L893" s="7">
        <v>0</v>
      </c>
      <c r="M893" s="9">
        <v>1</v>
      </c>
      <c r="N893" s="7">
        <v>12</v>
      </c>
      <c r="O893" s="7">
        <v>10.3</v>
      </c>
      <c r="P893" s="7">
        <v>5</v>
      </c>
      <c r="Q893" t="s">
        <v>225</v>
      </c>
      <c r="R893" s="7" t="str">
        <f>TEXT(Table1[[#This Row],[Date]],"mmm yyyy")</f>
        <v>Mar 2026</v>
      </c>
      <c r="S893" s="9">
        <f>YEAR(Table1[[#This Row],[Date]])</f>
        <v>2026</v>
      </c>
      <c r="T893" s="9"/>
      <c r="U893" s="9"/>
    </row>
    <row r="894" spans="1:21" hidden="1" x14ac:dyDescent="0.3">
      <c r="A894" t="s">
        <v>1447</v>
      </c>
      <c r="B894" s="6">
        <v>46152</v>
      </c>
      <c r="C894" t="s">
        <v>26</v>
      </c>
      <c r="D894" t="s">
        <v>126</v>
      </c>
      <c r="E894" t="s">
        <v>20</v>
      </c>
      <c r="F894" t="s">
        <v>621</v>
      </c>
      <c r="G894" t="s">
        <v>30</v>
      </c>
      <c r="J894" s="9">
        <v>0</v>
      </c>
      <c r="K894" s="7">
        <v>0</v>
      </c>
      <c r="L894" s="7">
        <v>0</v>
      </c>
      <c r="M894" s="9">
        <v>1</v>
      </c>
      <c r="N894" s="7">
        <v>8.6</v>
      </c>
      <c r="O894" s="7">
        <v>7.6</v>
      </c>
      <c r="P894" s="7">
        <v>2.9</v>
      </c>
      <c r="Q894" t="s">
        <v>62</v>
      </c>
      <c r="R894" s="7" t="str">
        <f>TEXT(Table1[[#This Row],[Date]],"mmm yyyy")</f>
        <v>May 2026</v>
      </c>
      <c r="S894" s="9">
        <f>YEAR(Table1[[#This Row],[Date]])</f>
        <v>2026</v>
      </c>
      <c r="T894" s="9"/>
      <c r="U894" s="9"/>
    </row>
    <row r="895" spans="1:21" x14ac:dyDescent="0.3">
      <c r="A895" t="s">
        <v>1448</v>
      </c>
      <c r="B895" s="6">
        <v>46142</v>
      </c>
      <c r="C895" t="s">
        <v>18</v>
      </c>
      <c r="D895" t="s">
        <v>41</v>
      </c>
      <c r="E895" t="s">
        <v>20</v>
      </c>
      <c r="F895" t="s">
        <v>1083</v>
      </c>
      <c r="G895" t="s">
        <v>30</v>
      </c>
      <c r="H895" t="s">
        <v>78</v>
      </c>
      <c r="I895" t="s">
        <v>55</v>
      </c>
      <c r="J895" s="9">
        <v>1</v>
      </c>
      <c r="K895" s="7">
        <v>19400</v>
      </c>
      <c r="L895" s="7">
        <v>0</v>
      </c>
      <c r="M895" s="9"/>
      <c r="N895" s="7">
        <v>4.9000000000000004</v>
      </c>
      <c r="O895" s="7"/>
      <c r="P895" s="7"/>
      <c r="Q895" t="s">
        <v>55</v>
      </c>
      <c r="R895" s="7" t="str">
        <f>TEXT(Table1[[#This Row],[Date]],"mmm yyyy")</f>
        <v>Apr 2026</v>
      </c>
      <c r="S895" s="9">
        <f>YEAR(Table1[[#This Row],[Date]])</f>
        <v>2026</v>
      </c>
      <c r="T895" s="9"/>
      <c r="U895" s="9"/>
    </row>
    <row r="896" spans="1:21" hidden="1" x14ac:dyDescent="0.3">
      <c r="A896" t="s">
        <v>1449</v>
      </c>
      <c r="B896" s="6">
        <v>46153</v>
      </c>
      <c r="C896" t="s">
        <v>26</v>
      </c>
      <c r="D896" t="s">
        <v>72</v>
      </c>
      <c r="E896" t="s">
        <v>20</v>
      </c>
      <c r="F896" t="s">
        <v>1450</v>
      </c>
      <c r="G896" t="s">
        <v>50</v>
      </c>
      <c r="J896" s="9">
        <v>0</v>
      </c>
      <c r="K896" s="7">
        <v>0</v>
      </c>
      <c r="L896" s="7">
        <v>0</v>
      </c>
      <c r="M896" s="9">
        <v>1</v>
      </c>
      <c r="N896" s="7">
        <v>8</v>
      </c>
      <c r="O896" s="7">
        <v>3.6</v>
      </c>
      <c r="P896" s="7">
        <v>5</v>
      </c>
      <c r="Q896" t="s">
        <v>39</v>
      </c>
      <c r="R896" s="7" t="str">
        <f>TEXT(Table1[[#This Row],[Date]],"mmm yyyy")</f>
        <v>May 2026</v>
      </c>
      <c r="S896" s="9">
        <f>YEAR(Table1[[#This Row],[Date]])</f>
        <v>2026</v>
      </c>
      <c r="T896" s="9"/>
      <c r="U896" s="9"/>
    </row>
    <row r="897" spans="1:21" x14ac:dyDescent="0.3">
      <c r="A897" t="s">
        <v>1451</v>
      </c>
      <c r="B897" s="6">
        <v>46032</v>
      </c>
      <c r="C897" t="s">
        <v>18</v>
      </c>
      <c r="D897" t="s">
        <v>41</v>
      </c>
      <c r="E897" t="s">
        <v>48</v>
      </c>
      <c r="F897" t="s">
        <v>445</v>
      </c>
      <c r="G897" t="s">
        <v>50</v>
      </c>
      <c r="H897" t="s">
        <v>66</v>
      </c>
      <c r="I897" t="s">
        <v>79</v>
      </c>
      <c r="J897" s="9">
        <v>1</v>
      </c>
      <c r="K897" s="7">
        <v>5000</v>
      </c>
      <c r="L897" s="7">
        <v>0</v>
      </c>
      <c r="M897" s="9"/>
      <c r="N897" s="7">
        <v>11.4</v>
      </c>
      <c r="O897" s="7"/>
      <c r="P897" s="7"/>
      <c r="Q897" t="s">
        <v>79</v>
      </c>
      <c r="R897" s="7" t="str">
        <f>TEXT(Table1[[#This Row],[Date]],"mmm yyyy")</f>
        <v>Jan 2026</v>
      </c>
      <c r="S897" s="9">
        <f>YEAR(Table1[[#This Row],[Date]])</f>
        <v>2026</v>
      </c>
      <c r="T897" s="9"/>
      <c r="U897" s="9"/>
    </row>
    <row r="898" spans="1:21" x14ac:dyDescent="0.3">
      <c r="A898" t="s">
        <v>1452</v>
      </c>
      <c r="B898" s="6">
        <v>45972</v>
      </c>
      <c r="C898" t="s">
        <v>18</v>
      </c>
      <c r="D898" t="s">
        <v>95</v>
      </c>
      <c r="E898" t="s">
        <v>20</v>
      </c>
      <c r="F898" t="s">
        <v>1453</v>
      </c>
      <c r="G898" t="s">
        <v>44</v>
      </c>
      <c r="H898" t="s">
        <v>66</v>
      </c>
      <c r="I898" t="s">
        <v>79</v>
      </c>
      <c r="J898" s="9">
        <v>1</v>
      </c>
      <c r="K898" s="7">
        <v>25500</v>
      </c>
      <c r="L898" s="7">
        <v>0</v>
      </c>
      <c r="M898" s="9"/>
      <c r="N898" s="7">
        <v>21.2</v>
      </c>
      <c r="O898" s="7"/>
      <c r="P898" s="7"/>
      <c r="Q898" t="s">
        <v>79</v>
      </c>
      <c r="R898" s="7" t="str">
        <f>TEXT(Table1[[#This Row],[Date]],"mmm yyyy")</f>
        <v>Nov 2025</v>
      </c>
      <c r="S898" s="9">
        <f>YEAR(Table1[[#This Row],[Date]])</f>
        <v>2025</v>
      </c>
      <c r="T898" s="9"/>
      <c r="U898" s="9"/>
    </row>
    <row r="899" spans="1:21" hidden="1" x14ac:dyDescent="0.3">
      <c r="A899" t="s">
        <v>1454</v>
      </c>
      <c r="B899" s="6">
        <v>46165</v>
      </c>
      <c r="C899" t="s">
        <v>26</v>
      </c>
      <c r="D899" t="s">
        <v>72</v>
      </c>
      <c r="E899" t="s">
        <v>20</v>
      </c>
      <c r="F899" t="s">
        <v>138</v>
      </c>
      <c r="G899" t="s">
        <v>44</v>
      </c>
      <c r="J899" s="9">
        <v>0</v>
      </c>
      <c r="K899" s="7">
        <v>0</v>
      </c>
      <c r="L899" s="7">
        <v>0</v>
      </c>
      <c r="M899" s="9">
        <v>1</v>
      </c>
      <c r="N899" s="7">
        <v>2</v>
      </c>
      <c r="O899" s="7">
        <v>7.7</v>
      </c>
      <c r="P899" s="7">
        <v>5</v>
      </c>
      <c r="Q899" t="s">
        <v>39</v>
      </c>
      <c r="R899" s="7" t="str">
        <f>TEXT(Table1[[#This Row],[Date]],"mmm yyyy")</f>
        <v>May 2026</v>
      </c>
      <c r="S899" s="9">
        <f>YEAR(Table1[[#This Row],[Date]])</f>
        <v>2026</v>
      </c>
      <c r="T899" s="9"/>
      <c r="U899" s="9"/>
    </row>
    <row r="900" spans="1:21" x14ac:dyDescent="0.3">
      <c r="A900" t="s">
        <v>1455</v>
      </c>
      <c r="B900" s="6">
        <v>46139</v>
      </c>
      <c r="C900" t="s">
        <v>18</v>
      </c>
      <c r="D900" t="s">
        <v>95</v>
      </c>
      <c r="E900" t="s">
        <v>20</v>
      </c>
      <c r="F900" t="s">
        <v>1456</v>
      </c>
      <c r="G900" t="s">
        <v>30</v>
      </c>
      <c r="H900" t="s">
        <v>54</v>
      </c>
      <c r="I900" t="s">
        <v>67</v>
      </c>
      <c r="J900" s="9">
        <v>1</v>
      </c>
      <c r="K900" s="7">
        <v>33500</v>
      </c>
      <c r="L900" s="7">
        <v>0</v>
      </c>
      <c r="M900" s="9"/>
      <c r="N900" s="7">
        <v>5.5</v>
      </c>
      <c r="O900" s="7"/>
      <c r="P900" s="7"/>
      <c r="Q900" t="s">
        <v>67</v>
      </c>
      <c r="R900" s="7" t="str">
        <f>TEXT(Table1[[#This Row],[Date]],"mmm yyyy")</f>
        <v>Apr 2026</v>
      </c>
      <c r="S900" s="9">
        <f>YEAR(Table1[[#This Row],[Date]])</f>
        <v>2026</v>
      </c>
      <c r="T900" s="9"/>
      <c r="U900" s="9"/>
    </row>
    <row r="901" spans="1:21" x14ac:dyDescent="0.3">
      <c r="A901" t="s">
        <v>1457</v>
      </c>
      <c r="B901" s="6">
        <v>46151</v>
      </c>
      <c r="C901" t="s">
        <v>18</v>
      </c>
      <c r="D901" t="s">
        <v>41</v>
      </c>
      <c r="E901" t="s">
        <v>37</v>
      </c>
      <c r="F901" t="s">
        <v>905</v>
      </c>
      <c r="G901" t="s">
        <v>30</v>
      </c>
      <c r="H901" t="s">
        <v>78</v>
      </c>
      <c r="I901" t="s">
        <v>55</v>
      </c>
      <c r="J901" s="9">
        <v>1</v>
      </c>
      <c r="K901" s="7">
        <v>20600</v>
      </c>
      <c r="L901" s="7">
        <v>0</v>
      </c>
      <c r="M901" s="9"/>
      <c r="N901" s="7">
        <v>14.8</v>
      </c>
      <c r="O901" s="7"/>
      <c r="P901" s="7"/>
      <c r="Q901" t="s">
        <v>55</v>
      </c>
      <c r="R901" s="7" t="str">
        <f>TEXT(Table1[[#This Row],[Date]],"mmm yyyy")</f>
        <v>May 2026</v>
      </c>
      <c r="S901" s="9">
        <f>YEAR(Table1[[#This Row],[Date]])</f>
        <v>2026</v>
      </c>
      <c r="T901" s="9"/>
      <c r="U901" s="9"/>
    </row>
    <row r="902" spans="1:21" x14ac:dyDescent="0.3">
      <c r="A902" t="s">
        <v>1458</v>
      </c>
      <c r="B902" s="6">
        <v>46002</v>
      </c>
      <c r="C902" t="s">
        <v>18</v>
      </c>
      <c r="D902" t="s">
        <v>117</v>
      </c>
      <c r="E902" t="s">
        <v>48</v>
      </c>
      <c r="F902" t="s">
        <v>180</v>
      </c>
      <c r="G902" t="s">
        <v>22</v>
      </c>
      <c r="H902" t="s">
        <v>23</v>
      </c>
      <c r="I902" t="s">
        <v>24</v>
      </c>
      <c r="J902" s="9">
        <v>1</v>
      </c>
      <c r="K902" s="7">
        <v>13000</v>
      </c>
      <c r="L902" s="7">
        <v>13000</v>
      </c>
      <c r="M902" s="9"/>
      <c r="N902" s="7">
        <v>15.6</v>
      </c>
      <c r="O902" s="7"/>
      <c r="P902" s="7"/>
      <c r="Q902" t="s">
        <v>24</v>
      </c>
      <c r="R902" s="7" t="str">
        <f>TEXT(Table1[[#This Row],[Date]],"mmm yyyy")</f>
        <v>Dec 2025</v>
      </c>
      <c r="S902" s="9">
        <f>YEAR(Table1[[#This Row],[Date]])</f>
        <v>2025</v>
      </c>
      <c r="T902" s="9"/>
      <c r="U902" s="9"/>
    </row>
    <row r="903" spans="1:21" x14ac:dyDescent="0.3">
      <c r="A903" t="s">
        <v>1459</v>
      </c>
      <c r="B903" s="6">
        <v>46016</v>
      </c>
      <c r="C903" t="s">
        <v>18</v>
      </c>
      <c r="D903" t="s">
        <v>105</v>
      </c>
      <c r="E903" t="s">
        <v>20</v>
      </c>
      <c r="F903" t="s">
        <v>1074</v>
      </c>
      <c r="G903" t="s">
        <v>44</v>
      </c>
      <c r="H903" t="s">
        <v>66</v>
      </c>
      <c r="I903" t="s">
        <v>55</v>
      </c>
      <c r="J903" s="9">
        <v>1</v>
      </c>
      <c r="K903" s="7">
        <v>12400</v>
      </c>
      <c r="L903" s="7">
        <v>0</v>
      </c>
      <c r="M903" s="9"/>
      <c r="N903" s="7">
        <v>11.3</v>
      </c>
      <c r="O903" s="7"/>
      <c r="P903" s="7"/>
      <c r="Q903" t="s">
        <v>55</v>
      </c>
      <c r="R903" s="7" t="str">
        <f>TEXT(Table1[[#This Row],[Date]],"mmm yyyy")</f>
        <v>Dec 2025</v>
      </c>
      <c r="S903" s="9">
        <f>YEAR(Table1[[#This Row],[Date]])</f>
        <v>2025</v>
      </c>
      <c r="T903" s="9"/>
      <c r="U903" s="9"/>
    </row>
    <row r="904" spans="1:21" x14ac:dyDescent="0.3">
      <c r="A904" t="s">
        <v>1460</v>
      </c>
      <c r="B904" s="6">
        <v>46104</v>
      </c>
      <c r="C904" t="s">
        <v>18</v>
      </c>
      <c r="D904" t="s">
        <v>117</v>
      </c>
      <c r="E904" t="s">
        <v>42</v>
      </c>
      <c r="F904" t="s">
        <v>1461</v>
      </c>
      <c r="G904" t="s">
        <v>44</v>
      </c>
      <c r="H904" t="s">
        <v>78</v>
      </c>
      <c r="I904" t="s">
        <v>79</v>
      </c>
      <c r="J904" s="9">
        <v>1</v>
      </c>
      <c r="K904" s="7">
        <v>15800</v>
      </c>
      <c r="L904" s="7">
        <v>0</v>
      </c>
      <c r="M904" s="9"/>
      <c r="N904" s="7">
        <v>5.8</v>
      </c>
      <c r="O904" s="7"/>
      <c r="P904" s="7"/>
      <c r="Q904" t="s">
        <v>79</v>
      </c>
      <c r="R904" s="7" t="str">
        <f>TEXT(Table1[[#This Row],[Date]],"mmm yyyy")</f>
        <v>Mar 2026</v>
      </c>
      <c r="S904" s="9">
        <f>YEAR(Table1[[#This Row],[Date]])</f>
        <v>2026</v>
      </c>
      <c r="T904" s="9"/>
      <c r="U904" s="9"/>
    </row>
    <row r="905" spans="1:21" hidden="1" x14ac:dyDescent="0.3">
      <c r="A905" t="s">
        <v>1462</v>
      </c>
      <c r="B905" s="6">
        <v>46189</v>
      </c>
      <c r="C905" t="s">
        <v>26</v>
      </c>
      <c r="D905" t="s">
        <v>126</v>
      </c>
      <c r="E905" t="s">
        <v>20</v>
      </c>
      <c r="F905" t="s">
        <v>1059</v>
      </c>
      <c r="G905" t="s">
        <v>44</v>
      </c>
      <c r="J905" s="9">
        <v>0</v>
      </c>
      <c r="K905" s="7">
        <v>0</v>
      </c>
      <c r="L905" s="7">
        <v>0</v>
      </c>
      <c r="M905" s="9">
        <v>1</v>
      </c>
      <c r="N905" s="7">
        <v>0.5</v>
      </c>
      <c r="O905" s="7">
        <v>3.3</v>
      </c>
      <c r="P905" s="7">
        <v>3.7</v>
      </c>
      <c r="Q905" t="s">
        <v>39</v>
      </c>
      <c r="R905" s="7" t="str">
        <f>TEXT(Table1[[#This Row],[Date]],"mmm yyyy")</f>
        <v>Jun 2026</v>
      </c>
      <c r="S905" s="9">
        <f>YEAR(Table1[[#This Row],[Date]])</f>
        <v>2026</v>
      </c>
      <c r="T905" s="9"/>
      <c r="U905" s="9"/>
    </row>
    <row r="906" spans="1:21" x14ac:dyDescent="0.3">
      <c r="A906" t="s">
        <v>1463</v>
      </c>
      <c r="B906" s="6">
        <v>46120</v>
      </c>
      <c r="C906" t="s">
        <v>18</v>
      </c>
      <c r="D906" t="s">
        <v>105</v>
      </c>
      <c r="E906" t="s">
        <v>20</v>
      </c>
      <c r="F906" t="s">
        <v>188</v>
      </c>
      <c r="G906" t="s">
        <v>30</v>
      </c>
      <c r="H906" t="s">
        <v>78</v>
      </c>
      <c r="I906" t="s">
        <v>45</v>
      </c>
      <c r="J906" s="9">
        <v>1</v>
      </c>
      <c r="K906" s="7">
        <v>29100</v>
      </c>
      <c r="L906" s="7">
        <v>0</v>
      </c>
      <c r="M906" s="9"/>
      <c r="N906" s="7">
        <v>19.899999999999999</v>
      </c>
      <c r="O906" s="7"/>
      <c r="P906" s="7"/>
      <c r="Q906" t="s">
        <v>45</v>
      </c>
      <c r="R906" s="7" t="str">
        <f>TEXT(Table1[[#This Row],[Date]],"mmm yyyy")</f>
        <v>Apr 2026</v>
      </c>
      <c r="S906" s="9">
        <f>YEAR(Table1[[#This Row],[Date]])</f>
        <v>2026</v>
      </c>
      <c r="T906" s="9"/>
      <c r="U906" s="9"/>
    </row>
    <row r="907" spans="1:21" hidden="1" x14ac:dyDescent="0.3">
      <c r="A907" t="s">
        <v>1464</v>
      </c>
      <c r="B907" s="6">
        <v>45919</v>
      </c>
      <c r="C907" t="s">
        <v>26</v>
      </c>
      <c r="D907" t="s">
        <v>232</v>
      </c>
      <c r="E907" t="s">
        <v>20</v>
      </c>
      <c r="F907" t="s">
        <v>1284</v>
      </c>
      <c r="G907" t="s">
        <v>22</v>
      </c>
      <c r="J907" s="9">
        <v>0</v>
      </c>
      <c r="K907" s="7">
        <v>0</v>
      </c>
      <c r="L907" s="7">
        <v>0</v>
      </c>
      <c r="M907" s="9">
        <v>1</v>
      </c>
      <c r="N907" s="7">
        <v>11.2</v>
      </c>
      <c r="O907" s="7">
        <v>3.2</v>
      </c>
      <c r="P907" s="7">
        <v>4.5999999999999996</v>
      </c>
      <c r="Q907" t="s">
        <v>39</v>
      </c>
      <c r="R907" s="7" t="str">
        <f>TEXT(Table1[[#This Row],[Date]],"mmm yyyy")</f>
        <v>Sep 2025</v>
      </c>
      <c r="S907" s="9">
        <f>YEAR(Table1[[#This Row],[Date]])</f>
        <v>2025</v>
      </c>
      <c r="T907" s="9"/>
      <c r="U907" s="9"/>
    </row>
    <row r="908" spans="1:21" hidden="1" x14ac:dyDescent="0.3">
      <c r="A908" t="s">
        <v>1465</v>
      </c>
      <c r="B908" s="6">
        <v>46006</v>
      </c>
      <c r="C908" t="s">
        <v>26</v>
      </c>
      <c r="D908" t="s">
        <v>232</v>
      </c>
      <c r="E908" t="s">
        <v>37</v>
      </c>
      <c r="F908" t="s">
        <v>671</v>
      </c>
      <c r="G908" t="s">
        <v>44</v>
      </c>
      <c r="J908" s="9">
        <v>0</v>
      </c>
      <c r="K908" s="7">
        <v>0</v>
      </c>
      <c r="L908" s="7">
        <v>0</v>
      </c>
      <c r="M908" s="9">
        <v>1</v>
      </c>
      <c r="N908" s="7">
        <v>1</v>
      </c>
      <c r="O908" s="7">
        <v>25.7</v>
      </c>
      <c r="P908" s="7">
        <v>4.4000000000000004</v>
      </c>
      <c r="Q908" t="s">
        <v>39</v>
      </c>
      <c r="R908" s="7" t="str">
        <f>TEXT(Table1[[#This Row],[Date]],"mmm yyyy")</f>
        <v>Dec 2025</v>
      </c>
      <c r="S908" s="9">
        <f>YEAR(Table1[[#This Row],[Date]])</f>
        <v>2025</v>
      </c>
      <c r="T908" s="9"/>
      <c r="U908" s="9"/>
    </row>
    <row r="909" spans="1:21" x14ac:dyDescent="0.3">
      <c r="A909" t="s">
        <v>1466</v>
      </c>
      <c r="B909" s="6">
        <v>46136</v>
      </c>
      <c r="C909" t="s">
        <v>18</v>
      </c>
      <c r="D909" t="s">
        <v>52</v>
      </c>
      <c r="E909" t="s">
        <v>20</v>
      </c>
      <c r="F909" t="s">
        <v>1316</v>
      </c>
      <c r="G909" t="s">
        <v>30</v>
      </c>
      <c r="H909" t="s">
        <v>86</v>
      </c>
      <c r="I909" t="s">
        <v>45</v>
      </c>
      <c r="J909" s="9">
        <v>1</v>
      </c>
      <c r="K909" s="7">
        <v>35800</v>
      </c>
      <c r="L909" s="7">
        <v>0</v>
      </c>
      <c r="M909" s="9"/>
      <c r="N909" s="7">
        <v>8.8000000000000007</v>
      </c>
      <c r="O909" s="7"/>
      <c r="P909" s="7"/>
      <c r="Q909" t="s">
        <v>45</v>
      </c>
      <c r="R909" s="7" t="str">
        <f>TEXT(Table1[[#This Row],[Date]],"mmm yyyy")</f>
        <v>Apr 2026</v>
      </c>
      <c r="S909" s="9">
        <f>YEAR(Table1[[#This Row],[Date]])</f>
        <v>2026</v>
      </c>
      <c r="T909" s="9"/>
      <c r="U909" s="9"/>
    </row>
    <row r="910" spans="1:21" x14ac:dyDescent="0.3">
      <c r="A910" t="s">
        <v>1467</v>
      </c>
      <c r="B910" s="6">
        <v>46262</v>
      </c>
      <c r="C910" t="s">
        <v>18</v>
      </c>
      <c r="D910" t="s">
        <v>19</v>
      </c>
      <c r="E910" t="s">
        <v>37</v>
      </c>
      <c r="F910" t="s">
        <v>1468</v>
      </c>
      <c r="G910" t="s">
        <v>22</v>
      </c>
      <c r="H910" t="s">
        <v>23</v>
      </c>
      <c r="I910" t="s">
        <v>89</v>
      </c>
      <c r="J910" s="9">
        <v>1</v>
      </c>
      <c r="K910" s="7">
        <v>10300</v>
      </c>
      <c r="L910" s="7">
        <v>0</v>
      </c>
      <c r="M910" s="9"/>
      <c r="N910" s="7">
        <v>13.4</v>
      </c>
      <c r="O910" s="7"/>
      <c r="P910" s="7"/>
      <c r="Q910" t="s">
        <v>89</v>
      </c>
      <c r="R910" s="7" t="str">
        <f>TEXT(Table1[[#This Row],[Date]],"mmm yyyy")</f>
        <v>Aug 2026</v>
      </c>
      <c r="S910" s="9">
        <f>YEAR(Table1[[#This Row],[Date]])</f>
        <v>2026</v>
      </c>
      <c r="T910" s="9"/>
      <c r="U910" s="9"/>
    </row>
    <row r="911" spans="1:21" x14ac:dyDescent="0.3">
      <c r="A911" t="s">
        <v>1469</v>
      </c>
      <c r="B911" s="6">
        <v>46197</v>
      </c>
      <c r="C911" t="s">
        <v>18</v>
      </c>
      <c r="D911" t="s">
        <v>52</v>
      </c>
      <c r="E911" t="s">
        <v>20</v>
      </c>
      <c r="F911" t="s">
        <v>320</v>
      </c>
      <c r="G911" t="s">
        <v>22</v>
      </c>
      <c r="H911" t="s">
        <v>86</v>
      </c>
      <c r="I911" t="s">
        <v>45</v>
      </c>
      <c r="J911" s="9">
        <v>1</v>
      </c>
      <c r="K911" s="7">
        <v>53200</v>
      </c>
      <c r="L911" s="7">
        <v>0</v>
      </c>
      <c r="M911" s="9"/>
      <c r="N911" s="7">
        <v>12.5</v>
      </c>
      <c r="O911" s="7"/>
      <c r="P911" s="7"/>
      <c r="Q911" t="s">
        <v>45</v>
      </c>
      <c r="R911" s="7" t="str">
        <f>TEXT(Table1[[#This Row],[Date]],"mmm yyyy")</f>
        <v>Jun 2026</v>
      </c>
      <c r="S911" s="9">
        <f>YEAR(Table1[[#This Row],[Date]])</f>
        <v>2026</v>
      </c>
      <c r="T911" s="9"/>
      <c r="U911" s="9"/>
    </row>
    <row r="912" spans="1:21" hidden="1" x14ac:dyDescent="0.3">
      <c r="A912" t="s">
        <v>1470</v>
      </c>
      <c r="B912" s="6">
        <v>46068</v>
      </c>
      <c r="C912" t="s">
        <v>26</v>
      </c>
      <c r="D912" t="s">
        <v>72</v>
      </c>
      <c r="E912" t="s">
        <v>20</v>
      </c>
      <c r="F912" t="s">
        <v>306</v>
      </c>
      <c r="G912" t="s">
        <v>30</v>
      </c>
      <c r="J912" s="9">
        <v>0</v>
      </c>
      <c r="K912" s="7">
        <v>0</v>
      </c>
      <c r="L912" s="7">
        <v>0</v>
      </c>
      <c r="M912" s="9">
        <v>1</v>
      </c>
      <c r="N912" s="7">
        <v>6</v>
      </c>
      <c r="O912" s="7">
        <v>3.4</v>
      </c>
      <c r="P912" s="7">
        <v>3.7</v>
      </c>
      <c r="Q912" t="s">
        <v>39</v>
      </c>
      <c r="R912" s="7" t="str">
        <f>TEXT(Table1[[#This Row],[Date]],"mmm yyyy")</f>
        <v>Feb 2026</v>
      </c>
      <c r="S912" s="9">
        <f>YEAR(Table1[[#This Row],[Date]])</f>
        <v>2026</v>
      </c>
      <c r="T912" s="9"/>
      <c r="U912" s="9"/>
    </row>
    <row r="913" spans="1:21" x14ac:dyDescent="0.3">
      <c r="A913" t="s">
        <v>1471</v>
      </c>
      <c r="B913" s="6">
        <v>45909</v>
      </c>
      <c r="C913" t="s">
        <v>18</v>
      </c>
      <c r="D913" t="s">
        <v>52</v>
      </c>
      <c r="E913" t="s">
        <v>48</v>
      </c>
      <c r="F913" t="s">
        <v>1067</v>
      </c>
      <c r="G913" t="s">
        <v>30</v>
      </c>
      <c r="H913" t="s">
        <v>78</v>
      </c>
      <c r="I913" t="s">
        <v>24</v>
      </c>
      <c r="J913" s="9">
        <v>1</v>
      </c>
      <c r="K913" s="7">
        <v>12700</v>
      </c>
      <c r="L913" s="7">
        <v>12700</v>
      </c>
      <c r="M913" s="9"/>
      <c r="N913" s="7">
        <v>1</v>
      </c>
      <c r="O913" s="7"/>
      <c r="P913" s="7"/>
      <c r="Q913" t="s">
        <v>24</v>
      </c>
      <c r="R913" s="7" t="str">
        <f>TEXT(Table1[[#This Row],[Date]],"mmm yyyy")</f>
        <v>Sep 2025</v>
      </c>
      <c r="S913" s="9">
        <f>YEAR(Table1[[#This Row],[Date]])</f>
        <v>2025</v>
      </c>
      <c r="T913" s="9"/>
      <c r="U913" s="9"/>
    </row>
    <row r="914" spans="1:21" hidden="1" x14ac:dyDescent="0.3">
      <c r="A914" t="s">
        <v>1472</v>
      </c>
      <c r="B914" s="6">
        <v>45952</v>
      </c>
      <c r="C914" t="s">
        <v>26</v>
      </c>
      <c r="D914" t="s">
        <v>114</v>
      </c>
      <c r="E914" t="s">
        <v>20</v>
      </c>
      <c r="F914" t="s">
        <v>1473</v>
      </c>
      <c r="G914" t="s">
        <v>30</v>
      </c>
      <c r="J914" s="9">
        <v>0</v>
      </c>
      <c r="K914" s="7">
        <v>0</v>
      </c>
      <c r="L914" s="7">
        <v>0</v>
      </c>
      <c r="M914" s="9">
        <v>1</v>
      </c>
      <c r="N914" s="7">
        <v>4.9000000000000004</v>
      </c>
      <c r="O914" s="7">
        <v>7.2</v>
      </c>
      <c r="P914" s="7">
        <v>4.4000000000000004</v>
      </c>
      <c r="Q914" t="s">
        <v>31</v>
      </c>
      <c r="R914" s="7" t="str">
        <f>TEXT(Table1[[#This Row],[Date]],"mmm yyyy")</f>
        <v>Oct 2025</v>
      </c>
      <c r="S914" s="9">
        <f>YEAR(Table1[[#This Row],[Date]])</f>
        <v>2025</v>
      </c>
      <c r="T914" s="9"/>
      <c r="U914" s="9"/>
    </row>
    <row r="915" spans="1:21" x14ac:dyDescent="0.3">
      <c r="A915" t="s">
        <v>1474</v>
      </c>
      <c r="B915" s="6">
        <v>46257</v>
      </c>
      <c r="C915" t="s">
        <v>18</v>
      </c>
      <c r="D915" t="s">
        <v>52</v>
      </c>
      <c r="E915" t="s">
        <v>37</v>
      </c>
      <c r="F915" t="s">
        <v>635</v>
      </c>
      <c r="G915" t="s">
        <v>22</v>
      </c>
      <c r="H915" t="s">
        <v>86</v>
      </c>
      <c r="I915" t="s">
        <v>45</v>
      </c>
      <c r="J915" s="9">
        <v>1</v>
      </c>
      <c r="K915" s="7">
        <v>19300</v>
      </c>
      <c r="L915" s="7">
        <v>0</v>
      </c>
      <c r="M915" s="9"/>
      <c r="N915" s="7">
        <v>17.899999999999999</v>
      </c>
      <c r="O915" s="7"/>
      <c r="P915" s="7"/>
      <c r="Q915" t="s">
        <v>45</v>
      </c>
      <c r="R915" s="7" t="str">
        <f>TEXT(Table1[[#This Row],[Date]],"mmm yyyy")</f>
        <v>Aug 2026</v>
      </c>
      <c r="S915" s="9">
        <f>YEAR(Table1[[#This Row],[Date]])</f>
        <v>2026</v>
      </c>
      <c r="T915" s="9"/>
      <c r="U915" s="9"/>
    </row>
    <row r="916" spans="1:21" hidden="1" x14ac:dyDescent="0.3">
      <c r="A916" t="s">
        <v>1475</v>
      </c>
      <c r="B916" s="6">
        <v>46063</v>
      </c>
      <c r="C916" t="s">
        <v>26</v>
      </c>
      <c r="D916" t="s">
        <v>126</v>
      </c>
      <c r="E916" t="s">
        <v>28</v>
      </c>
      <c r="F916" t="s">
        <v>77</v>
      </c>
      <c r="G916" t="s">
        <v>22</v>
      </c>
      <c r="J916" s="9">
        <v>0</v>
      </c>
      <c r="K916" s="7">
        <v>0</v>
      </c>
      <c r="L916" s="7">
        <v>0</v>
      </c>
      <c r="M916" s="9">
        <v>1</v>
      </c>
      <c r="N916" s="7">
        <v>11.9</v>
      </c>
      <c r="O916" s="7">
        <v>3.6</v>
      </c>
      <c r="P916" s="7">
        <v>3.6</v>
      </c>
      <c r="Q916" t="s">
        <v>31</v>
      </c>
      <c r="R916" s="7" t="str">
        <f>TEXT(Table1[[#This Row],[Date]],"mmm yyyy")</f>
        <v>Feb 2026</v>
      </c>
      <c r="S916" s="9">
        <f>YEAR(Table1[[#This Row],[Date]])</f>
        <v>2026</v>
      </c>
      <c r="T916" s="9"/>
      <c r="U916" s="9"/>
    </row>
    <row r="917" spans="1:21" x14ac:dyDescent="0.3">
      <c r="A917" t="s">
        <v>1476</v>
      </c>
      <c r="B917" s="6">
        <v>45967</v>
      </c>
      <c r="C917" t="s">
        <v>18</v>
      </c>
      <c r="D917" t="s">
        <v>64</v>
      </c>
      <c r="E917" t="s">
        <v>28</v>
      </c>
      <c r="F917" t="s">
        <v>566</v>
      </c>
      <c r="G917" t="s">
        <v>44</v>
      </c>
      <c r="H917" t="s">
        <v>86</v>
      </c>
      <c r="I917" t="s">
        <v>89</v>
      </c>
      <c r="J917" s="9">
        <v>1</v>
      </c>
      <c r="K917" s="7">
        <v>47900</v>
      </c>
      <c r="L917" s="7">
        <v>0</v>
      </c>
      <c r="M917" s="9"/>
      <c r="N917" s="7">
        <v>16.2</v>
      </c>
      <c r="O917" s="7"/>
      <c r="P917" s="7"/>
      <c r="Q917" t="s">
        <v>89</v>
      </c>
      <c r="R917" s="7" t="str">
        <f>TEXT(Table1[[#This Row],[Date]],"mmm yyyy")</f>
        <v>Nov 2025</v>
      </c>
      <c r="S917" s="9">
        <f>YEAR(Table1[[#This Row],[Date]])</f>
        <v>2025</v>
      </c>
      <c r="T917" s="9"/>
      <c r="U917" s="9"/>
    </row>
    <row r="918" spans="1:21" x14ac:dyDescent="0.3">
      <c r="A918" t="s">
        <v>1477</v>
      </c>
      <c r="B918" s="6">
        <v>46072</v>
      </c>
      <c r="C918" t="s">
        <v>18</v>
      </c>
      <c r="D918" t="s">
        <v>117</v>
      </c>
      <c r="E918" t="s">
        <v>48</v>
      </c>
      <c r="F918" t="s">
        <v>1478</v>
      </c>
      <c r="G918" t="s">
        <v>44</v>
      </c>
      <c r="H918" t="s">
        <v>78</v>
      </c>
      <c r="I918" t="s">
        <v>79</v>
      </c>
      <c r="J918" s="9">
        <v>1</v>
      </c>
      <c r="K918" s="7">
        <v>28500</v>
      </c>
      <c r="L918" s="7">
        <v>0</v>
      </c>
      <c r="M918" s="9"/>
      <c r="N918" s="7">
        <v>12.5</v>
      </c>
      <c r="O918" s="7"/>
      <c r="P918" s="7"/>
      <c r="Q918" t="s">
        <v>79</v>
      </c>
      <c r="R918" s="7" t="str">
        <f>TEXT(Table1[[#This Row],[Date]],"mmm yyyy")</f>
        <v>Feb 2026</v>
      </c>
      <c r="S918" s="9">
        <f>YEAR(Table1[[#This Row],[Date]])</f>
        <v>2026</v>
      </c>
      <c r="T918" s="9"/>
      <c r="U918" s="9"/>
    </row>
    <row r="919" spans="1:21" hidden="1" x14ac:dyDescent="0.3">
      <c r="A919" t="s">
        <v>1479</v>
      </c>
      <c r="B919" s="6">
        <v>45976</v>
      </c>
      <c r="C919" t="s">
        <v>26</v>
      </c>
      <c r="D919" t="s">
        <v>72</v>
      </c>
      <c r="E919" t="s">
        <v>20</v>
      </c>
      <c r="F919" t="s">
        <v>1020</v>
      </c>
      <c r="G919" t="s">
        <v>30</v>
      </c>
      <c r="J919" s="9">
        <v>0</v>
      </c>
      <c r="K919" s="7">
        <v>0</v>
      </c>
      <c r="L919" s="7">
        <v>0</v>
      </c>
      <c r="M919" s="9">
        <v>1</v>
      </c>
      <c r="N919" s="7">
        <v>6.8</v>
      </c>
      <c r="O919" s="7">
        <v>15.1</v>
      </c>
      <c r="P919" s="7">
        <v>2.6</v>
      </c>
      <c r="Q919" t="s">
        <v>62</v>
      </c>
      <c r="R919" s="7" t="str">
        <f>TEXT(Table1[[#This Row],[Date]],"mmm yyyy")</f>
        <v>Nov 2025</v>
      </c>
      <c r="S919" s="9">
        <f>YEAR(Table1[[#This Row],[Date]])</f>
        <v>2025</v>
      </c>
      <c r="T919" s="9"/>
      <c r="U919" s="9"/>
    </row>
    <row r="920" spans="1:21" hidden="1" x14ac:dyDescent="0.3">
      <c r="A920" t="s">
        <v>1480</v>
      </c>
      <c r="B920" s="6">
        <v>46230</v>
      </c>
      <c r="C920" t="s">
        <v>26</v>
      </c>
      <c r="D920" t="s">
        <v>33</v>
      </c>
      <c r="E920" t="s">
        <v>28</v>
      </c>
      <c r="F920" t="s">
        <v>1481</v>
      </c>
      <c r="G920" t="s">
        <v>22</v>
      </c>
      <c r="J920" s="9">
        <v>0</v>
      </c>
      <c r="K920" s="7">
        <v>0</v>
      </c>
      <c r="L920" s="7">
        <v>0</v>
      </c>
      <c r="M920" s="9">
        <v>1</v>
      </c>
      <c r="N920" s="7">
        <v>9</v>
      </c>
      <c r="O920" s="7">
        <v>13.8</v>
      </c>
      <c r="P920" s="7">
        <v>4.5</v>
      </c>
      <c r="Q920" t="s">
        <v>39</v>
      </c>
      <c r="R920" s="7" t="str">
        <f>TEXT(Table1[[#This Row],[Date]],"mmm yyyy")</f>
        <v>Jul 2026</v>
      </c>
      <c r="S920" s="9">
        <f>YEAR(Table1[[#This Row],[Date]])</f>
        <v>2026</v>
      </c>
      <c r="T920" s="9"/>
      <c r="U920" s="9"/>
    </row>
    <row r="921" spans="1:21" x14ac:dyDescent="0.3">
      <c r="A921" t="s">
        <v>1482</v>
      </c>
      <c r="B921" s="6">
        <v>45983</v>
      </c>
      <c r="C921" t="s">
        <v>18</v>
      </c>
      <c r="D921" t="s">
        <v>117</v>
      </c>
      <c r="E921" t="s">
        <v>20</v>
      </c>
      <c r="F921" t="s">
        <v>1143</v>
      </c>
      <c r="G921" t="s">
        <v>22</v>
      </c>
      <c r="H921" t="s">
        <v>78</v>
      </c>
      <c r="I921" t="s">
        <v>67</v>
      </c>
      <c r="J921" s="9">
        <v>1</v>
      </c>
      <c r="K921" s="7">
        <v>37400</v>
      </c>
      <c r="L921" s="7">
        <v>0</v>
      </c>
      <c r="M921" s="9"/>
      <c r="N921" s="7">
        <v>14.3</v>
      </c>
      <c r="O921" s="7"/>
      <c r="P921" s="7"/>
      <c r="Q921" t="s">
        <v>67</v>
      </c>
      <c r="R921" s="7" t="str">
        <f>TEXT(Table1[[#This Row],[Date]],"mmm yyyy")</f>
        <v>Nov 2025</v>
      </c>
      <c r="S921" s="9">
        <f>YEAR(Table1[[#This Row],[Date]])</f>
        <v>2025</v>
      </c>
      <c r="T921" s="9"/>
      <c r="U921" s="9"/>
    </row>
    <row r="922" spans="1:21" hidden="1" x14ac:dyDescent="0.3">
      <c r="A922" t="s">
        <v>1483</v>
      </c>
      <c r="B922" s="6">
        <v>45950</v>
      </c>
      <c r="C922" t="s">
        <v>26</v>
      </c>
      <c r="D922" t="s">
        <v>114</v>
      </c>
      <c r="E922" t="s">
        <v>20</v>
      </c>
      <c r="F922" t="s">
        <v>1425</v>
      </c>
      <c r="G922" t="s">
        <v>22</v>
      </c>
      <c r="J922" s="9">
        <v>0</v>
      </c>
      <c r="K922" s="7">
        <v>0</v>
      </c>
      <c r="L922" s="7">
        <v>0</v>
      </c>
      <c r="M922" s="9">
        <v>1</v>
      </c>
      <c r="N922" s="7">
        <v>11</v>
      </c>
      <c r="O922" s="7">
        <v>3.8</v>
      </c>
      <c r="P922" s="7">
        <v>2.2999999999999998</v>
      </c>
      <c r="Q922" t="s">
        <v>39</v>
      </c>
      <c r="R922" s="7" t="str">
        <f>TEXT(Table1[[#This Row],[Date]],"mmm yyyy")</f>
        <v>Oct 2025</v>
      </c>
      <c r="S922" s="9">
        <f>YEAR(Table1[[#This Row],[Date]])</f>
        <v>2025</v>
      </c>
      <c r="T922" s="9"/>
      <c r="U922" s="9"/>
    </row>
    <row r="923" spans="1:21" x14ac:dyDescent="0.3">
      <c r="A923" t="s">
        <v>1484</v>
      </c>
      <c r="B923" s="6">
        <v>45990</v>
      </c>
      <c r="C923" t="s">
        <v>18</v>
      </c>
      <c r="D923" t="s">
        <v>19</v>
      </c>
      <c r="E923" t="s">
        <v>20</v>
      </c>
      <c r="F923" t="s">
        <v>101</v>
      </c>
      <c r="G923" t="s">
        <v>22</v>
      </c>
      <c r="H923" t="s">
        <v>54</v>
      </c>
      <c r="I923" t="s">
        <v>24</v>
      </c>
      <c r="J923" s="9">
        <v>1</v>
      </c>
      <c r="K923" s="7">
        <v>24500</v>
      </c>
      <c r="L923" s="7">
        <v>24500</v>
      </c>
      <c r="M923" s="9"/>
      <c r="N923" s="7">
        <v>12.8</v>
      </c>
      <c r="O923" s="7"/>
      <c r="P923" s="7"/>
      <c r="Q923" t="s">
        <v>24</v>
      </c>
      <c r="R923" s="7" t="str">
        <f>TEXT(Table1[[#This Row],[Date]],"mmm yyyy")</f>
        <v>Nov 2025</v>
      </c>
      <c r="S923" s="9">
        <f>YEAR(Table1[[#This Row],[Date]])</f>
        <v>2025</v>
      </c>
      <c r="T923" s="9"/>
      <c r="U923" s="9"/>
    </row>
    <row r="924" spans="1:21" hidden="1" x14ac:dyDescent="0.3">
      <c r="A924" t="s">
        <v>1485</v>
      </c>
      <c r="B924" s="6">
        <v>46207</v>
      </c>
      <c r="C924" t="s">
        <v>26</v>
      </c>
      <c r="D924" t="s">
        <v>114</v>
      </c>
      <c r="E924" t="s">
        <v>48</v>
      </c>
      <c r="F924" t="s">
        <v>485</v>
      </c>
      <c r="G924" t="s">
        <v>22</v>
      </c>
      <c r="J924" s="9">
        <v>0</v>
      </c>
      <c r="K924" s="7">
        <v>0</v>
      </c>
      <c r="L924" s="7">
        <v>0</v>
      </c>
      <c r="M924" s="9">
        <v>1</v>
      </c>
      <c r="N924" s="7">
        <v>6.1</v>
      </c>
      <c r="O924" s="7">
        <v>11.1</v>
      </c>
      <c r="P924" s="7">
        <v>4</v>
      </c>
      <c r="Q924" t="s">
        <v>62</v>
      </c>
      <c r="R924" s="7" t="str">
        <f>TEXT(Table1[[#This Row],[Date]],"mmm yyyy")</f>
        <v>Jul 2026</v>
      </c>
      <c r="S924" s="9">
        <f>YEAR(Table1[[#This Row],[Date]])</f>
        <v>2026</v>
      </c>
      <c r="T924" s="9"/>
      <c r="U924" s="9"/>
    </row>
    <row r="925" spans="1:21" hidden="1" x14ac:dyDescent="0.3">
      <c r="A925" t="s">
        <v>1486</v>
      </c>
      <c r="B925" s="6">
        <v>45946</v>
      </c>
      <c r="C925" t="s">
        <v>26</v>
      </c>
      <c r="D925" t="s">
        <v>232</v>
      </c>
      <c r="E925" t="s">
        <v>42</v>
      </c>
      <c r="F925" t="s">
        <v>424</v>
      </c>
      <c r="G925" t="s">
        <v>30</v>
      </c>
      <c r="J925" s="9">
        <v>0</v>
      </c>
      <c r="K925" s="7">
        <v>0</v>
      </c>
      <c r="L925" s="7">
        <v>0</v>
      </c>
      <c r="M925" s="9">
        <v>1</v>
      </c>
      <c r="N925" s="7">
        <v>1.8</v>
      </c>
      <c r="O925" s="7">
        <v>11.1</v>
      </c>
      <c r="P925" s="7">
        <v>4.3</v>
      </c>
      <c r="Q925" t="s">
        <v>39</v>
      </c>
      <c r="R925" s="7" t="str">
        <f>TEXT(Table1[[#This Row],[Date]],"mmm yyyy")</f>
        <v>Oct 2025</v>
      </c>
      <c r="S925" s="9">
        <f>YEAR(Table1[[#This Row],[Date]])</f>
        <v>2025</v>
      </c>
      <c r="T925" s="9"/>
      <c r="U925" s="9"/>
    </row>
    <row r="926" spans="1:21" x14ac:dyDescent="0.3">
      <c r="A926" t="s">
        <v>1487</v>
      </c>
      <c r="B926" s="6">
        <v>46086</v>
      </c>
      <c r="C926" t="s">
        <v>18</v>
      </c>
      <c r="D926" t="s">
        <v>117</v>
      </c>
      <c r="E926" t="s">
        <v>48</v>
      </c>
      <c r="F926" t="s">
        <v>1456</v>
      </c>
      <c r="G926" t="s">
        <v>22</v>
      </c>
      <c r="H926" t="s">
        <v>86</v>
      </c>
      <c r="I926" t="s">
        <v>24</v>
      </c>
      <c r="J926" s="9">
        <v>1</v>
      </c>
      <c r="K926" s="7">
        <v>9000</v>
      </c>
      <c r="L926" s="7">
        <v>9000</v>
      </c>
      <c r="M926" s="9"/>
      <c r="N926" s="7">
        <v>19.100000000000001</v>
      </c>
      <c r="O926" s="7"/>
      <c r="P926" s="7"/>
      <c r="Q926" t="s">
        <v>24</v>
      </c>
      <c r="R926" s="7" t="str">
        <f>TEXT(Table1[[#This Row],[Date]],"mmm yyyy")</f>
        <v>Mar 2026</v>
      </c>
      <c r="S926" s="9">
        <f>YEAR(Table1[[#This Row],[Date]])</f>
        <v>2026</v>
      </c>
      <c r="T926" s="9"/>
      <c r="U926" s="9"/>
    </row>
    <row r="927" spans="1:21" x14ac:dyDescent="0.3">
      <c r="A927" t="s">
        <v>1488</v>
      </c>
      <c r="B927" s="6">
        <v>46137</v>
      </c>
      <c r="C927" t="s">
        <v>18</v>
      </c>
      <c r="D927" t="s">
        <v>47</v>
      </c>
      <c r="E927" t="s">
        <v>20</v>
      </c>
      <c r="F927" t="s">
        <v>290</v>
      </c>
      <c r="G927" t="s">
        <v>22</v>
      </c>
      <c r="H927" t="s">
        <v>86</v>
      </c>
      <c r="I927" t="s">
        <v>79</v>
      </c>
      <c r="J927" s="9">
        <v>1</v>
      </c>
      <c r="K927" s="7">
        <v>15100</v>
      </c>
      <c r="L927" s="7">
        <v>0</v>
      </c>
      <c r="M927" s="9"/>
      <c r="N927" s="7">
        <v>4.9000000000000004</v>
      </c>
      <c r="O927" s="7"/>
      <c r="P927" s="7"/>
      <c r="Q927" t="s">
        <v>79</v>
      </c>
      <c r="R927" s="7" t="str">
        <f>TEXT(Table1[[#This Row],[Date]],"mmm yyyy")</f>
        <v>Apr 2026</v>
      </c>
      <c r="S927" s="9">
        <f>YEAR(Table1[[#This Row],[Date]])</f>
        <v>2026</v>
      </c>
      <c r="T927" s="9"/>
      <c r="U927" s="9"/>
    </row>
    <row r="928" spans="1:21" x14ac:dyDescent="0.3">
      <c r="A928" t="s">
        <v>1489</v>
      </c>
      <c r="B928" s="6">
        <v>45960</v>
      </c>
      <c r="C928" t="s">
        <v>18</v>
      </c>
      <c r="D928" t="s">
        <v>64</v>
      </c>
      <c r="E928" t="s">
        <v>20</v>
      </c>
      <c r="F928" t="s">
        <v>971</v>
      </c>
      <c r="G928" t="s">
        <v>22</v>
      </c>
      <c r="H928" t="s">
        <v>86</v>
      </c>
      <c r="I928" t="s">
        <v>24</v>
      </c>
      <c r="J928" s="9">
        <v>1</v>
      </c>
      <c r="K928" s="7">
        <v>33100</v>
      </c>
      <c r="L928" s="7">
        <v>33100</v>
      </c>
      <c r="M928" s="9"/>
      <c r="N928" s="7">
        <v>10.6</v>
      </c>
      <c r="O928" s="7"/>
      <c r="P928" s="7"/>
      <c r="Q928" t="s">
        <v>24</v>
      </c>
      <c r="R928" s="7" t="str">
        <f>TEXT(Table1[[#This Row],[Date]],"mmm yyyy")</f>
        <v>Oct 2025</v>
      </c>
      <c r="S928" s="9">
        <f>YEAR(Table1[[#This Row],[Date]])</f>
        <v>2025</v>
      </c>
      <c r="T928" s="9"/>
      <c r="U928" s="9"/>
    </row>
    <row r="929" spans="1:21" x14ac:dyDescent="0.3">
      <c r="A929" t="s">
        <v>1490</v>
      </c>
      <c r="B929" s="6">
        <v>45980</v>
      </c>
      <c r="C929" t="s">
        <v>18</v>
      </c>
      <c r="D929" t="s">
        <v>41</v>
      </c>
      <c r="E929" t="s">
        <v>37</v>
      </c>
      <c r="F929" t="s">
        <v>605</v>
      </c>
      <c r="G929" t="s">
        <v>30</v>
      </c>
      <c r="H929" t="s">
        <v>78</v>
      </c>
      <c r="I929" t="s">
        <v>55</v>
      </c>
      <c r="J929" s="9">
        <v>1</v>
      </c>
      <c r="K929" s="7">
        <v>9400</v>
      </c>
      <c r="L929" s="7">
        <v>0</v>
      </c>
      <c r="M929" s="9"/>
      <c r="N929" s="7">
        <v>16.7</v>
      </c>
      <c r="O929" s="7"/>
      <c r="P929" s="7"/>
      <c r="Q929" t="s">
        <v>55</v>
      </c>
      <c r="R929" s="7" t="str">
        <f>TEXT(Table1[[#This Row],[Date]],"mmm yyyy")</f>
        <v>Nov 2025</v>
      </c>
      <c r="S929" s="9">
        <f>YEAR(Table1[[#This Row],[Date]])</f>
        <v>2025</v>
      </c>
      <c r="T929" s="9"/>
      <c r="U929" s="9"/>
    </row>
    <row r="930" spans="1:21" hidden="1" x14ac:dyDescent="0.3">
      <c r="A930" t="s">
        <v>1491</v>
      </c>
      <c r="B930" s="6">
        <v>46082</v>
      </c>
      <c r="C930" t="s">
        <v>26</v>
      </c>
      <c r="D930" t="s">
        <v>36</v>
      </c>
      <c r="E930" t="s">
        <v>37</v>
      </c>
      <c r="F930" t="s">
        <v>1492</v>
      </c>
      <c r="G930" t="s">
        <v>50</v>
      </c>
      <c r="J930" s="9">
        <v>0</v>
      </c>
      <c r="K930" s="7">
        <v>0</v>
      </c>
      <c r="L930" s="7">
        <v>0</v>
      </c>
      <c r="M930" s="9">
        <v>1</v>
      </c>
      <c r="N930" s="7">
        <v>10.1</v>
      </c>
      <c r="O930" s="7">
        <v>3.1</v>
      </c>
      <c r="P930" s="7">
        <v>4.8</v>
      </c>
      <c r="Q930" t="s">
        <v>31</v>
      </c>
      <c r="R930" s="7" t="str">
        <f>TEXT(Table1[[#This Row],[Date]],"mmm yyyy")</f>
        <v>Mar 2026</v>
      </c>
      <c r="S930" s="9">
        <f>YEAR(Table1[[#This Row],[Date]])</f>
        <v>2026</v>
      </c>
      <c r="T930" s="9"/>
      <c r="U930" s="9"/>
    </row>
    <row r="931" spans="1:21" x14ac:dyDescent="0.3">
      <c r="A931" t="s">
        <v>1493</v>
      </c>
      <c r="B931" s="6">
        <v>46096</v>
      </c>
      <c r="C931" t="s">
        <v>18</v>
      </c>
      <c r="D931" t="s">
        <v>19</v>
      </c>
      <c r="E931" t="s">
        <v>42</v>
      </c>
      <c r="F931" t="s">
        <v>386</v>
      </c>
      <c r="G931" t="s">
        <v>22</v>
      </c>
      <c r="H931" t="s">
        <v>66</v>
      </c>
      <c r="I931" t="s">
        <v>67</v>
      </c>
      <c r="J931" s="9">
        <v>1</v>
      </c>
      <c r="K931" s="7">
        <v>56100</v>
      </c>
      <c r="L931" s="7">
        <v>0</v>
      </c>
      <c r="M931" s="9"/>
      <c r="N931" s="7">
        <v>22.2</v>
      </c>
      <c r="O931" s="7"/>
      <c r="P931" s="7"/>
      <c r="Q931" t="s">
        <v>67</v>
      </c>
      <c r="R931" s="7" t="str">
        <f>TEXT(Table1[[#This Row],[Date]],"mmm yyyy")</f>
        <v>Mar 2026</v>
      </c>
      <c r="S931" s="9">
        <f>YEAR(Table1[[#This Row],[Date]])</f>
        <v>2026</v>
      </c>
      <c r="T931" s="9"/>
      <c r="U931" s="9"/>
    </row>
    <row r="932" spans="1:21" x14ac:dyDescent="0.3">
      <c r="A932" t="s">
        <v>1494</v>
      </c>
      <c r="B932" s="6">
        <v>46040</v>
      </c>
      <c r="C932" t="s">
        <v>18</v>
      </c>
      <c r="D932" t="s">
        <v>52</v>
      </c>
      <c r="E932" t="s">
        <v>37</v>
      </c>
      <c r="F932" t="s">
        <v>407</v>
      </c>
      <c r="G932" t="s">
        <v>44</v>
      </c>
      <c r="H932" t="s">
        <v>78</v>
      </c>
      <c r="I932" t="s">
        <v>55</v>
      </c>
      <c r="J932" s="9">
        <v>1</v>
      </c>
      <c r="K932" s="7">
        <v>11900</v>
      </c>
      <c r="L932" s="7">
        <v>0</v>
      </c>
      <c r="M932" s="9"/>
      <c r="N932" s="7">
        <v>11.7</v>
      </c>
      <c r="O932" s="7"/>
      <c r="P932" s="7"/>
      <c r="Q932" t="s">
        <v>55</v>
      </c>
      <c r="R932" s="7" t="str">
        <f>TEXT(Table1[[#This Row],[Date]],"mmm yyyy")</f>
        <v>Jan 2026</v>
      </c>
      <c r="S932" s="9">
        <f>YEAR(Table1[[#This Row],[Date]])</f>
        <v>2026</v>
      </c>
      <c r="T932" s="9"/>
      <c r="U932" s="9"/>
    </row>
    <row r="933" spans="1:21" hidden="1" x14ac:dyDescent="0.3">
      <c r="A933" t="s">
        <v>1495</v>
      </c>
      <c r="B933" s="6">
        <v>46013</v>
      </c>
      <c r="C933" t="s">
        <v>26</v>
      </c>
      <c r="D933" t="s">
        <v>69</v>
      </c>
      <c r="E933" t="s">
        <v>20</v>
      </c>
      <c r="F933" t="s">
        <v>1496</v>
      </c>
      <c r="G933" t="s">
        <v>44</v>
      </c>
      <c r="J933" s="9">
        <v>0</v>
      </c>
      <c r="K933" s="7">
        <v>0</v>
      </c>
      <c r="L933" s="7">
        <v>0</v>
      </c>
      <c r="M933" s="9">
        <v>1</v>
      </c>
      <c r="N933" s="7">
        <v>6.4</v>
      </c>
      <c r="O933" s="7">
        <v>2.5</v>
      </c>
      <c r="P933" s="7">
        <v>4.8</v>
      </c>
      <c r="Q933" t="s">
        <v>39</v>
      </c>
      <c r="R933" s="7" t="str">
        <f>TEXT(Table1[[#This Row],[Date]],"mmm yyyy")</f>
        <v>Dec 2025</v>
      </c>
      <c r="S933" s="9">
        <f>YEAR(Table1[[#This Row],[Date]])</f>
        <v>2025</v>
      </c>
      <c r="T933" s="9"/>
      <c r="U933" s="9"/>
    </row>
    <row r="934" spans="1:21" hidden="1" x14ac:dyDescent="0.3">
      <c r="A934" t="s">
        <v>1497</v>
      </c>
      <c r="B934" s="6">
        <v>46256</v>
      </c>
      <c r="C934" t="s">
        <v>26</v>
      </c>
      <c r="D934" t="s">
        <v>114</v>
      </c>
      <c r="E934" t="s">
        <v>20</v>
      </c>
      <c r="F934" t="s">
        <v>1074</v>
      </c>
      <c r="G934" t="s">
        <v>44</v>
      </c>
      <c r="J934" s="9">
        <v>0</v>
      </c>
      <c r="K934" s="7">
        <v>0</v>
      </c>
      <c r="L934" s="7">
        <v>0</v>
      </c>
      <c r="M934" s="9">
        <v>1</v>
      </c>
      <c r="N934" s="7">
        <v>11.3</v>
      </c>
      <c r="O934" s="7">
        <v>20.100000000000001</v>
      </c>
      <c r="P934" s="7">
        <v>4.2</v>
      </c>
      <c r="Q934" t="s">
        <v>39</v>
      </c>
      <c r="R934" s="7" t="str">
        <f>TEXT(Table1[[#This Row],[Date]],"mmm yyyy")</f>
        <v>Aug 2026</v>
      </c>
      <c r="S934" s="9">
        <f>YEAR(Table1[[#This Row],[Date]])</f>
        <v>2026</v>
      </c>
      <c r="T934" s="9"/>
      <c r="U934" s="9"/>
    </row>
    <row r="935" spans="1:21" x14ac:dyDescent="0.3">
      <c r="A935" t="s">
        <v>1498</v>
      </c>
      <c r="B935" s="6">
        <v>45927</v>
      </c>
      <c r="C935" t="s">
        <v>18</v>
      </c>
      <c r="D935" t="s">
        <v>41</v>
      </c>
      <c r="E935" t="s">
        <v>20</v>
      </c>
      <c r="F935" t="s">
        <v>549</v>
      </c>
      <c r="G935" t="s">
        <v>30</v>
      </c>
      <c r="H935" t="s">
        <v>23</v>
      </c>
      <c r="I935" t="s">
        <v>55</v>
      </c>
      <c r="J935" s="9">
        <v>1</v>
      </c>
      <c r="K935" s="7">
        <v>26400</v>
      </c>
      <c r="L935" s="7">
        <v>0</v>
      </c>
      <c r="M935" s="9"/>
      <c r="N935" s="7">
        <v>6.7</v>
      </c>
      <c r="O935" s="7"/>
      <c r="P935" s="7"/>
      <c r="Q935" t="s">
        <v>55</v>
      </c>
      <c r="R935" s="7" t="str">
        <f>TEXT(Table1[[#This Row],[Date]],"mmm yyyy")</f>
        <v>Sep 2025</v>
      </c>
      <c r="S935" s="9">
        <f>YEAR(Table1[[#This Row],[Date]])</f>
        <v>2025</v>
      </c>
      <c r="T935" s="9"/>
      <c r="U935" s="9"/>
    </row>
    <row r="936" spans="1:21" x14ac:dyDescent="0.3">
      <c r="A936" t="s">
        <v>1499</v>
      </c>
      <c r="B936" s="6">
        <v>45930</v>
      </c>
      <c r="C936" t="s">
        <v>18</v>
      </c>
      <c r="D936" t="s">
        <v>41</v>
      </c>
      <c r="E936" t="s">
        <v>37</v>
      </c>
      <c r="F936" t="s">
        <v>510</v>
      </c>
      <c r="G936" t="s">
        <v>22</v>
      </c>
      <c r="H936" t="s">
        <v>66</v>
      </c>
      <c r="I936" t="s">
        <v>55</v>
      </c>
      <c r="J936" s="9">
        <v>1</v>
      </c>
      <c r="K936" s="7">
        <v>38800</v>
      </c>
      <c r="L936" s="7">
        <v>0</v>
      </c>
      <c r="M936" s="9"/>
      <c r="N936" s="7">
        <v>23.3</v>
      </c>
      <c r="O936" s="7"/>
      <c r="P936" s="7"/>
      <c r="Q936" t="s">
        <v>55</v>
      </c>
      <c r="R936" s="7" t="str">
        <f>TEXT(Table1[[#This Row],[Date]],"mmm yyyy")</f>
        <v>Sep 2025</v>
      </c>
      <c r="S936" s="9">
        <f>YEAR(Table1[[#This Row],[Date]])</f>
        <v>2025</v>
      </c>
      <c r="T936" s="9"/>
      <c r="U936" s="9"/>
    </row>
    <row r="937" spans="1:21" x14ac:dyDescent="0.3">
      <c r="A937" t="s">
        <v>1500</v>
      </c>
      <c r="B937" s="6">
        <v>46014</v>
      </c>
      <c r="C937" t="s">
        <v>18</v>
      </c>
      <c r="D937" t="s">
        <v>41</v>
      </c>
      <c r="E937" t="s">
        <v>37</v>
      </c>
      <c r="F937" t="s">
        <v>754</v>
      </c>
      <c r="G937" t="s">
        <v>44</v>
      </c>
      <c r="H937" t="s">
        <v>86</v>
      </c>
      <c r="I937" t="s">
        <v>24</v>
      </c>
      <c r="J937" s="9">
        <v>1</v>
      </c>
      <c r="K937" s="7">
        <v>12900</v>
      </c>
      <c r="L937" s="7">
        <v>12900</v>
      </c>
      <c r="M937" s="9"/>
      <c r="N937" s="7">
        <v>23.7</v>
      </c>
      <c r="O937" s="7"/>
      <c r="P937" s="7"/>
      <c r="Q937" t="s">
        <v>24</v>
      </c>
      <c r="R937" s="7" t="str">
        <f>TEXT(Table1[[#This Row],[Date]],"mmm yyyy")</f>
        <v>Dec 2025</v>
      </c>
      <c r="S937" s="9">
        <f>YEAR(Table1[[#This Row],[Date]])</f>
        <v>2025</v>
      </c>
      <c r="T937" s="9"/>
      <c r="U937" s="9"/>
    </row>
    <row r="938" spans="1:21" x14ac:dyDescent="0.3">
      <c r="A938" t="s">
        <v>1501</v>
      </c>
      <c r="B938" s="6">
        <v>45943</v>
      </c>
      <c r="C938" t="s">
        <v>18</v>
      </c>
      <c r="D938" t="s">
        <v>19</v>
      </c>
      <c r="E938" t="s">
        <v>20</v>
      </c>
      <c r="F938" t="s">
        <v>1502</v>
      </c>
      <c r="G938" t="s">
        <v>22</v>
      </c>
      <c r="H938" t="s">
        <v>23</v>
      </c>
      <c r="I938" t="s">
        <v>89</v>
      </c>
      <c r="J938" s="9">
        <v>1</v>
      </c>
      <c r="K938" s="7">
        <v>28100</v>
      </c>
      <c r="L938" s="7">
        <v>0</v>
      </c>
      <c r="M938" s="9"/>
      <c r="N938" s="7">
        <v>1</v>
      </c>
      <c r="O938" s="7"/>
      <c r="P938" s="7"/>
      <c r="Q938" t="s">
        <v>89</v>
      </c>
      <c r="R938" s="7" t="str">
        <f>TEXT(Table1[[#This Row],[Date]],"mmm yyyy")</f>
        <v>Oct 2025</v>
      </c>
      <c r="S938" s="9">
        <f>YEAR(Table1[[#This Row],[Date]])</f>
        <v>2025</v>
      </c>
      <c r="T938" s="9"/>
      <c r="U938" s="9"/>
    </row>
    <row r="939" spans="1:21" hidden="1" x14ac:dyDescent="0.3">
      <c r="A939" t="s">
        <v>1503</v>
      </c>
      <c r="B939" s="6">
        <v>45990</v>
      </c>
      <c r="C939" t="s">
        <v>26</v>
      </c>
      <c r="D939" t="s">
        <v>72</v>
      </c>
      <c r="E939" t="s">
        <v>20</v>
      </c>
      <c r="F939" t="s">
        <v>981</v>
      </c>
      <c r="G939" t="s">
        <v>30</v>
      </c>
      <c r="J939" s="9">
        <v>0</v>
      </c>
      <c r="K939" s="7">
        <v>0</v>
      </c>
      <c r="L939" s="7">
        <v>0</v>
      </c>
      <c r="M939" s="9">
        <v>1</v>
      </c>
      <c r="N939" s="7">
        <v>9</v>
      </c>
      <c r="O939" s="7">
        <v>3.8</v>
      </c>
      <c r="P939" s="7">
        <v>4.4000000000000004</v>
      </c>
      <c r="Q939" t="s">
        <v>39</v>
      </c>
      <c r="R939" s="7" t="str">
        <f>TEXT(Table1[[#This Row],[Date]],"mmm yyyy")</f>
        <v>Nov 2025</v>
      </c>
      <c r="S939" s="9">
        <f>YEAR(Table1[[#This Row],[Date]])</f>
        <v>2025</v>
      </c>
      <c r="T939" s="9"/>
      <c r="U939" s="9"/>
    </row>
    <row r="940" spans="1:21" x14ac:dyDescent="0.3">
      <c r="A940" t="s">
        <v>1504</v>
      </c>
      <c r="B940" s="6">
        <v>46016</v>
      </c>
      <c r="C940" t="s">
        <v>18</v>
      </c>
      <c r="D940" t="s">
        <v>95</v>
      </c>
      <c r="E940" t="s">
        <v>28</v>
      </c>
      <c r="F940" t="s">
        <v>560</v>
      </c>
      <c r="G940" t="s">
        <v>30</v>
      </c>
      <c r="H940" t="s">
        <v>78</v>
      </c>
      <c r="I940" t="s">
        <v>55</v>
      </c>
      <c r="J940" s="9">
        <v>1</v>
      </c>
      <c r="K940" s="7">
        <v>34700</v>
      </c>
      <c r="L940" s="7">
        <v>0</v>
      </c>
      <c r="M940" s="9"/>
      <c r="N940" s="7">
        <v>6.4</v>
      </c>
      <c r="O940" s="7"/>
      <c r="P940" s="7"/>
      <c r="Q940" t="s">
        <v>55</v>
      </c>
      <c r="R940" s="7" t="str">
        <f>TEXT(Table1[[#This Row],[Date]],"mmm yyyy")</f>
        <v>Dec 2025</v>
      </c>
      <c r="S940" s="9">
        <f>YEAR(Table1[[#This Row],[Date]])</f>
        <v>2025</v>
      </c>
      <c r="T940" s="9"/>
      <c r="U940" s="9"/>
    </row>
    <row r="941" spans="1:21" hidden="1" x14ac:dyDescent="0.3">
      <c r="A941" t="s">
        <v>1505</v>
      </c>
      <c r="B941" s="6">
        <v>46184</v>
      </c>
      <c r="C941" t="s">
        <v>26</v>
      </c>
      <c r="D941" t="s">
        <v>126</v>
      </c>
      <c r="E941" t="s">
        <v>20</v>
      </c>
      <c r="F941" t="s">
        <v>766</v>
      </c>
      <c r="G941" t="s">
        <v>22</v>
      </c>
      <c r="J941" s="9">
        <v>0</v>
      </c>
      <c r="K941" s="7">
        <v>0</v>
      </c>
      <c r="L941" s="7">
        <v>0</v>
      </c>
      <c r="M941" s="9">
        <v>1</v>
      </c>
      <c r="N941" s="7">
        <v>0.3</v>
      </c>
      <c r="O941" s="7">
        <v>9.9</v>
      </c>
      <c r="P941" s="7">
        <v>3.9</v>
      </c>
      <c r="Q941" t="s">
        <v>225</v>
      </c>
      <c r="R941" s="7" t="str">
        <f>TEXT(Table1[[#This Row],[Date]],"mmm yyyy")</f>
        <v>Jun 2026</v>
      </c>
      <c r="S941" s="9">
        <f>YEAR(Table1[[#This Row],[Date]])</f>
        <v>2026</v>
      </c>
      <c r="T941" s="9"/>
      <c r="U941" s="9"/>
    </row>
    <row r="942" spans="1:21" x14ac:dyDescent="0.3">
      <c r="A942" t="s">
        <v>1506</v>
      </c>
      <c r="B942" s="6">
        <v>45932</v>
      </c>
      <c r="C942" t="s">
        <v>18</v>
      </c>
      <c r="D942" t="s">
        <v>52</v>
      </c>
      <c r="E942" t="s">
        <v>42</v>
      </c>
      <c r="F942" t="s">
        <v>683</v>
      </c>
      <c r="G942" t="s">
        <v>44</v>
      </c>
      <c r="H942" t="s">
        <v>78</v>
      </c>
      <c r="I942" t="s">
        <v>24</v>
      </c>
      <c r="J942" s="9">
        <v>1</v>
      </c>
      <c r="K942" s="7">
        <v>34000</v>
      </c>
      <c r="L942" s="7">
        <v>34000</v>
      </c>
      <c r="M942" s="9"/>
      <c r="N942" s="7">
        <v>2.5</v>
      </c>
      <c r="O942" s="7"/>
      <c r="P942" s="7"/>
      <c r="Q942" t="s">
        <v>24</v>
      </c>
      <c r="R942" s="7" t="str">
        <f>TEXT(Table1[[#This Row],[Date]],"mmm yyyy")</f>
        <v>Oct 2025</v>
      </c>
      <c r="S942" s="9">
        <f>YEAR(Table1[[#This Row],[Date]])</f>
        <v>2025</v>
      </c>
      <c r="T942" s="9"/>
      <c r="U942" s="9"/>
    </row>
    <row r="943" spans="1:21" hidden="1" x14ac:dyDescent="0.3">
      <c r="A943" t="s">
        <v>1507</v>
      </c>
      <c r="B943" s="6">
        <v>46083</v>
      </c>
      <c r="C943" t="s">
        <v>26</v>
      </c>
      <c r="D943" t="s">
        <v>114</v>
      </c>
      <c r="E943" t="s">
        <v>48</v>
      </c>
      <c r="F943" t="s">
        <v>396</v>
      </c>
      <c r="G943" t="s">
        <v>50</v>
      </c>
      <c r="J943" s="9">
        <v>0</v>
      </c>
      <c r="K943" s="7">
        <v>0</v>
      </c>
      <c r="L943" s="7">
        <v>0</v>
      </c>
      <c r="M943" s="9">
        <v>1</v>
      </c>
      <c r="N943" s="7">
        <v>0.8</v>
      </c>
      <c r="O943" s="7">
        <v>14.8</v>
      </c>
      <c r="P943" s="7">
        <v>4.5</v>
      </c>
      <c r="Q943" t="s">
        <v>39</v>
      </c>
      <c r="R943" s="7" t="str">
        <f>TEXT(Table1[[#This Row],[Date]],"mmm yyyy")</f>
        <v>Mar 2026</v>
      </c>
      <c r="S943" s="9">
        <f>YEAR(Table1[[#This Row],[Date]])</f>
        <v>2026</v>
      </c>
      <c r="T943" s="9"/>
      <c r="U943" s="9"/>
    </row>
    <row r="944" spans="1:21" hidden="1" x14ac:dyDescent="0.3">
      <c r="A944" t="s">
        <v>1508</v>
      </c>
      <c r="B944" s="6">
        <v>46030</v>
      </c>
      <c r="C944" t="s">
        <v>26</v>
      </c>
      <c r="D944" t="s">
        <v>126</v>
      </c>
      <c r="E944" t="s">
        <v>48</v>
      </c>
      <c r="F944" t="s">
        <v>568</v>
      </c>
      <c r="G944" t="s">
        <v>30</v>
      </c>
      <c r="J944" s="9">
        <v>0</v>
      </c>
      <c r="K944" s="7">
        <v>0</v>
      </c>
      <c r="L944" s="7">
        <v>0</v>
      </c>
      <c r="M944" s="9">
        <v>1</v>
      </c>
      <c r="N944" s="7">
        <v>4.5</v>
      </c>
      <c r="O944" s="7">
        <v>25.8</v>
      </c>
      <c r="P944" s="7">
        <v>4.3</v>
      </c>
      <c r="Q944" t="s">
        <v>31</v>
      </c>
      <c r="R944" s="7" t="str">
        <f>TEXT(Table1[[#This Row],[Date]],"mmm yyyy")</f>
        <v>Jan 2026</v>
      </c>
      <c r="S944" s="9">
        <f>YEAR(Table1[[#This Row],[Date]])</f>
        <v>2026</v>
      </c>
      <c r="T944" s="9"/>
      <c r="U944" s="9"/>
    </row>
    <row r="945" spans="1:21" hidden="1" x14ac:dyDescent="0.3">
      <c r="A945" t="s">
        <v>1509</v>
      </c>
      <c r="B945" s="6">
        <v>46003</v>
      </c>
      <c r="C945" t="s">
        <v>26</v>
      </c>
      <c r="D945" t="s">
        <v>36</v>
      </c>
      <c r="E945" t="s">
        <v>20</v>
      </c>
      <c r="F945" t="s">
        <v>1281</v>
      </c>
      <c r="G945" t="s">
        <v>22</v>
      </c>
      <c r="J945" s="9">
        <v>0</v>
      </c>
      <c r="K945" s="7">
        <v>0</v>
      </c>
      <c r="L945" s="7">
        <v>0</v>
      </c>
      <c r="M945" s="9">
        <v>1</v>
      </c>
      <c r="N945" s="7">
        <v>10.9</v>
      </c>
      <c r="O945" s="7">
        <v>5.2</v>
      </c>
      <c r="P945" s="7">
        <v>4.5999999999999996</v>
      </c>
      <c r="Q945" t="s">
        <v>62</v>
      </c>
      <c r="R945" s="7" t="str">
        <f>TEXT(Table1[[#This Row],[Date]],"mmm yyyy")</f>
        <v>Dec 2025</v>
      </c>
      <c r="S945" s="9">
        <f>YEAR(Table1[[#This Row],[Date]])</f>
        <v>2025</v>
      </c>
      <c r="T945" s="9"/>
      <c r="U945" s="9"/>
    </row>
    <row r="946" spans="1:21" x14ac:dyDescent="0.3">
      <c r="A946" t="s">
        <v>1510</v>
      </c>
      <c r="B946" s="6">
        <v>45983</v>
      </c>
      <c r="C946" t="s">
        <v>18</v>
      </c>
      <c r="D946" t="s">
        <v>105</v>
      </c>
      <c r="E946" t="s">
        <v>48</v>
      </c>
      <c r="F946" t="s">
        <v>1511</v>
      </c>
      <c r="G946" t="s">
        <v>30</v>
      </c>
      <c r="H946" t="s">
        <v>23</v>
      </c>
      <c r="I946" t="s">
        <v>24</v>
      </c>
      <c r="J946" s="9">
        <v>1</v>
      </c>
      <c r="K946" s="7">
        <v>11800</v>
      </c>
      <c r="L946" s="7">
        <v>11800</v>
      </c>
      <c r="M946" s="9"/>
      <c r="N946" s="7">
        <v>13.5</v>
      </c>
      <c r="O946" s="7"/>
      <c r="P946" s="7"/>
      <c r="Q946" t="s">
        <v>24</v>
      </c>
      <c r="R946" s="7" t="str">
        <f>TEXT(Table1[[#This Row],[Date]],"mmm yyyy")</f>
        <v>Nov 2025</v>
      </c>
      <c r="S946" s="9">
        <f>YEAR(Table1[[#This Row],[Date]])</f>
        <v>2025</v>
      </c>
      <c r="T946" s="9"/>
      <c r="U946" s="9"/>
    </row>
    <row r="947" spans="1:21" x14ac:dyDescent="0.3">
      <c r="A947" t="s">
        <v>1512</v>
      </c>
      <c r="B947" s="6">
        <v>46004</v>
      </c>
      <c r="C947" t="s">
        <v>18</v>
      </c>
      <c r="D947" t="s">
        <v>19</v>
      </c>
      <c r="E947" t="s">
        <v>48</v>
      </c>
      <c r="F947" t="s">
        <v>199</v>
      </c>
      <c r="G947" t="s">
        <v>22</v>
      </c>
      <c r="H947" t="s">
        <v>66</v>
      </c>
      <c r="I947" t="s">
        <v>24</v>
      </c>
      <c r="J947" s="9">
        <v>1</v>
      </c>
      <c r="K947" s="7">
        <v>24100</v>
      </c>
      <c r="L947" s="7">
        <v>24100</v>
      </c>
      <c r="M947" s="9"/>
      <c r="N947" s="7">
        <v>4.8</v>
      </c>
      <c r="O947" s="7"/>
      <c r="P947" s="7"/>
      <c r="Q947" t="s">
        <v>24</v>
      </c>
      <c r="R947" s="7" t="str">
        <f>TEXT(Table1[[#This Row],[Date]],"mmm yyyy")</f>
        <v>Dec 2025</v>
      </c>
      <c r="S947" s="9">
        <f>YEAR(Table1[[#This Row],[Date]])</f>
        <v>2025</v>
      </c>
      <c r="T947" s="9"/>
      <c r="U947" s="9"/>
    </row>
    <row r="948" spans="1:21" x14ac:dyDescent="0.3">
      <c r="A948" t="s">
        <v>1513</v>
      </c>
      <c r="B948" s="6">
        <v>45987</v>
      </c>
      <c r="C948" t="s">
        <v>18</v>
      </c>
      <c r="D948" t="s">
        <v>19</v>
      </c>
      <c r="E948" t="s">
        <v>20</v>
      </c>
      <c r="F948" t="s">
        <v>1414</v>
      </c>
      <c r="G948" t="s">
        <v>44</v>
      </c>
      <c r="H948" t="s">
        <v>66</v>
      </c>
      <c r="I948" t="s">
        <v>24</v>
      </c>
      <c r="J948" s="9">
        <v>1</v>
      </c>
      <c r="K948" s="7">
        <v>24700</v>
      </c>
      <c r="L948" s="7">
        <v>24700</v>
      </c>
      <c r="M948" s="9"/>
      <c r="N948" s="7">
        <v>19.2</v>
      </c>
      <c r="O948" s="7"/>
      <c r="P948" s="7"/>
      <c r="Q948" t="s">
        <v>24</v>
      </c>
      <c r="R948" s="7" t="str">
        <f>TEXT(Table1[[#This Row],[Date]],"mmm yyyy")</f>
        <v>Nov 2025</v>
      </c>
      <c r="S948" s="9">
        <f>YEAR(Table1[[#This Row],[Date]])</f>
        <v>2025</v>
      </c>
      <c r="T948" s="9"/>
      <c r="U948" s="9"/>
    </row>
    <row r="949" spans="1:21" hidden="1" x14ac:dyDescent="0.3">
      <c r="A949" t="s">
        <v>1514</v>
      </c>
      <c r="B949" s="6">
        <v>45977</v>
      </c>
      <c r="C949" t="s">
        <v>26</v>
      </c>
      <c r="D949" t="s">
        <v>114</v>
      </c>
      <c r="E949" t="s">
        <v>37</v>
      </c>
      <c r="F949" t="s">
        <v>336</v>
      </c>
      <c r="G949" t="s">
        <v>22</v>
      </c>
      <c r="J949" s="9">
        <v>0</v>
      </c>
      <c r="K949" s="7">
        <v>0</v>
      </c>
      <c r="L949" s="7">
        <v>0</v>
      </c>
      <c r="M949" s="9">
        <v>1</v>
      </c>
      <c r="N949" s="7">
        <v>0.4</v>
      </c>
      <c r="O949" s="7">
        <v>5.8</v>
      </c>
      <c r="P949" s="7">
        <v>3.3</v>
      </c>
      <c r="Q949" t="s">
        <v>62</v>
      </c>
      <c r="R949" s="7" t="str">
        <f>TEXT(Table1[[#This Row],[Date]],"mmm yyyy")</f>
        <v>Nov 2025</v>
      </c>
      <c r="S949" s="9">
        <f>YEAR(Table1[[#This Row],[Date]])</f>
        <v>2025</v>
      </c>
      <c r="T949" s="9"/>
      <c r="U949" s="9"/>
    </row>
    <row r="950" spans="1:21" hidden="1" x14ac:dyDescent="0.3">
      <c r="A950" t="s">
        <v>1515</v>
      </c>
      <c r="B950" s="6">
        <v>46085</v>
      </c>
      <c r="C950" t="s">
        <v>26</v>
      </c>
      <c r="D950" t="s">
        <v>126</v>
      </c>
      <c r="E950" t="s">
        <v>20</v>
      </c>
      <c r="F950" t="s">
        <v>1516</v>
      </c>
      <c r="G950" t="s">
        <v>30</v>
      </c>
      <c r="J950" s="9">
        <v>0</v>
      </c>
      <c r="K950" s="7">
        <v>0</v>
      </c>
      <c r="L950" s="7">
        <v>0</v>
      </c>
      <c r="M950" s="9">
        <v>1</v>
      </c>
      <c r="N950" s="7">
        <v>7</v>
      </c>
      <c r="O950" s="7">
        <v>7.3</v>
      </c>
      <c r="P950" s="7">
        <v>4</v>
      </c>
      <c r="Q950" t="s">
        <v>39</v>
      </c>
      <c r="R950" s="7" t="str">
        <f>TEXT(Table1[[#This Row],[Date]],"mmm yyyy")</f>
        <v>Mar 2026</v>
      </c>
      <c r="S950" s="9">
        <f>YEAR(Table1[[#This Row],[Date]])</f>
        <v>2026</v>
      </c>
      <c r="T950" s="9"/>
      <c r="U950" s="9"/>
    </row>
    <row r="951" spans="1:21" hidden="1" x14ac:dyDescent="0.3">
      <c r="A951" t="s">
        <v>1517</v>
      </c>
      <c r="B951" s="6">
        <v>46058</v>
      </c>
      <c r="C951" t="s">
        <v>26</v>
      </c>
      <c r="D951" t="s">
        <v>126</v>
      </c>
      <c r="E951" t="s">
        <v>20</v>
      </c>
      <c r="F951" t="s">
        <v>1349</v>
      </c>
      <c r="G951" t="s">
        <v>50</v>
      </c>
      <c r="J951" s="9">
        <v>0</v>
      </c>
      <c r="K951" s="7">
        <v>0</v>
      </c>
      <c r="L951" s="7">
        <v>0</v>
      </c>
      <c r="M951" s="9">
        <v>1</v>
      </c>
      <c r="N951" s="7">
        <v>4.5</v>
      </c>
      <c r="O951" s="7">
        <v>10.7</v>
      </c>
      <c r="P951" s="7">
        <v>3.9</v>
      </c>
      <c r="Q951" t="s">
        <v>62</v>
      </c>
      <c r="R951" s="7" t="str">
        <f>TEXT(Table1[[#This Row],[Date]],"mmm yyyy")</f>
        <v>Feb 2026</v>
      </c>
      <c r="S951" s="9">
        <f>YEAR(Table1[[#This Row],[Date]])</f>
        <v>2026</v>
      </c>
      <c r="T951" s="9"/>
      <c r="U951" s="9"/>
    </row>
    <row r="952" spans="1:21" hidden="1" x14ac:dyDescent="0.3">
      <c r="A952" t="s">
        <v>1518</v>
      </c>
      <c r="B952" s="6">
        <v>46013</v>
      </c>
      <c r="C952" t="s">
        <v>26</v>
      </c>
      <c r="D952" t="s">
        <v>114</v>
      </c>
      <c r="E952" t="s">
        <v>48</v>
      </c>
      <c r="F952" t="s">
        <v>934</v>
      </c>
      <c r="G952" t="s">
        <v>30</v>
      </c>
      <c r="J952" s="9">
        <v>0</v>
      </c>
      <c r="K952" s="7">
        <v>0</v>
      </c>
      <c r="L952" s="7">
        <v>0</v>
      </c>
      <c r="M952" s="9">
        <v>1</v>
      </c>
      <c r="N952" s="7">
        <v>1.2</v>
      </c>
      <c r="O952" s="7">
        <v>6</v>
      </c>
      <c r="P952" s="7">
        <v>3.6</v>
      </c>
      <c r="Q952" t="s">
        <v>39</v>
      </c>
      <c r="R952" s="7" t="str">
        <f>TEXT(Table1[[#This Row],[Date]],"mmm yyyy")</f>
        <v>Dec 2025</v>
      </c>
      <c r="S952" s="9">
        <f>YEAR(Table1[[#This Row],[Date]])</f>
        <v>2025</v>
      </c>
      <c r="T952" s="9"/>
      <c r="U952" s="9"/>
    </row>
    <row r="953" spans="1:21" hidden="1" x14ac:dyDescent="0.3">
      <c r="A953" t="s">
        <v>1519</v>
      </c>
      <c r="B953" s="6">
        <v>45945</v>
      </c>
      <c r="C953" t="s">
        <v>26</v>
      </c>
      <c r="D953" t="s">
        <v>36</v>
      </c>
      <c r="E953" t="s">
        <v>20</v>
      </c>
      <c r="F953" t="s">
        <v>942</v>
      </c>
      <c r="G953" t="s">
        <v>44</v>
      </c>
      <c r="J953" s="9">
        <v>0</v>
      </c>
      <c r="K953" s="7">
        <v>0</v>
      </c>
      <c r="L953" s="7">
        <v>0</v>
      </c>
      <c r="M953" s="9">
        <v>1</v>
      </c>
      <c r="N953" s="7">
        <v>2.5</v>
      </c>
      <c r="O953" s="7">
        <v>6.4</v>
      </c>
      <c r="P953" s="7">
        <v>3.3</v>
      </c>
      <c r="Q953" t="s">
        <v>31</v>
      </c>
      <c r="R953" s="7" t="str">
        <f>TEXT(Table1[[#This Row],[Date]],"mmm yyyy")</f>
        <v>Oct 2025</v>
      </c>
      <c r="S953" s="9">
        <f>YEAR(Table1[[#This Row],[Date]])</f>
        <v>2025</v>
      </c>
      <c r="T953" s="9"/>
      <c r="U953" s="9"/>
    </row>
    <row r="954" spans="1:21" x14ac:dyDescent="0.3">
      <c r="A954" t="s">
        <v>1520</v>
      </c>
      <c r="B954" s="6">
        <v>46206</v>
      </c>
      <c r="C954" t="s">
        <v>18</v>
      </c>
      <c r="D954" t="s">
        <v>19</v>
      </c>
      <c r="E954" t="s">
        <v>20</v>
      </c>
      <c r="F954" t="s">
        <v>1521</v>
      </c>
      <c r="G954" t="s">
        <v>30</v>
      </c>
      <c r="H954" t="s">
        <v>54</v>
      </c>
      <c r="I954" t="s">
        <v>89</v>
      </c>
      <c r="J954" s="9">
        <v>1</v>
      </c>
      <c r="K954" s="7">
        <v>15600</v>
      </c>
      <c r="L954" s="7">
        <v>0</v>
      </c>
      <c r="M954" s="9"/>
      <c r="N954" s="7">
        <v>17.899999999999999</v>
      </c>
      <c r="O954" s="7"/>
      <c r="P954" s="7"/>
      <c r="Q954" t="s">
        <v>89</v>
      </c>
      <c r="R954" s="7" t="str">
        <f>TEXT(Table1[[#This Row],[Date]],"mmm yyyy")</f>
        <v>Jul 2026</v>
      </c>
      <c r="S954" s="9">
        <f>YEAR(Table1[[#This Row],[Date]])</f>
        <v>2026</v>
      </c>
      <c r="T954" s="9"/>
      <c r="U954" s="9"/>
    </row>
    <row r="955" spans="1:21" hidden="1" x14ac:dyDescent="0.3">
      <c r="A955" t="s">
        <v>1522</v>
      </c>
      <c r="B955" s="6">
        <v>46197</v>
      </c>
      <c r="C955" t="s">
        <v>26</v>
      </c>
      <c r="D955" t="s">
        <v>232</v>
      </c>
      <c r="E955" t="s">
        <v>20</v>
      </c>
      <c r="F955" t="s">
        <v>1441</v>
      </c>
      <c r="G955" t="s">
        <v>30</v>
      </c>
      <c r="J955" s="9">
        <v>0</v>
      </c>
      <c r="K955" s="7">
        <v>0</v>
      </c>
      <c r="L955" s="7">
        <v>0</v>
      </c>
      <c r="M955" s="9">
        <v>1</v>
      </c>
      <c r="N955" s="7">
        <v>5.9</v>
      </c>
      <c r="O955" s="7">
        <v>5.4</v>
      </c>
      <c r="P955" s="7">
        <v>3.3</v>
      </c>
      <c r="Q955" t="s">
        <v>62</v>
      </c>
      <c r="R955" s="7" t="str">
        <f>TEXT(Table1[[#This Row],[Date]],"mmm yyyy")</f>
        <v>Jun 2026</v>
      </c>
      <c r="S955" s="9">
        <f>YEAR(Table1[[#This Row],[Date]])</f>
        <v>2026</v>
      </c>
      <c r="T955" s="9"/>
      <c r="U955" s="9"/>
    </row>
    <row r="956" spans="1:21" x14ac:dyDescent="0.3">
      <c r="A956" t="s">
        <v>1523</v>
      </c>
      <c r="B956" s="6">
        <v>46217</v>
      </c>
      <c r="C956" t="s">
        <v>18</v>
      </c>
      <c r="D956" t="s">
        <v>64</v>
      </c>
      <c r="E956" t="s">
        <v>20</v>
      </c>
      <c r="F956" t="s">
        <v>419</v>
      </c>
      <c r="G956" t="s">
        <v>44</v>
      </c>
      <c r="H956" t="s">
        <v>54</v>
      </c>
      <c r="I956" t="s">
        <v>79</v>
      </c>
      <c r="J956" s="9">
        <v>1</v>
      </c>
      <c r="K956" s="7">
        <v>206800</v>
      </c>
      <c r="L956" s="7">
        <v>0</v>
      </c>
      <c r="M956" s="9"/>
      <c r="N956" s="7">
        <v>18.100000000000001</v>
      </c>
      <c r="O956" s="7"/>
      <c r="P956" s="7"/>
      <c r="Q956" t="s">
        <v>79</v>
      </c>
      <c r="R956" s="7" t="str">
        <f>TEXT(Table1[[#This Row],[Date]],"mmm yyyy")</f>
        <v>Jul 2026</v>
      </c>
      <c r="S956" s="9">
        <f>YEAR(Table1[[#This Row],[Date]])</f>
        <v>2026</v>
      </c>
      <c r="T956" s="9"/>
      <c r="U956" s="9"/>
    </row>
    <row r="957" spans="1:21" x14ac:dyDescent="0.3">
      <c r="A957" t="s">
        <v>1524</v>
      </c>
      <c r="B957" s="6">
        <v>46099</v>
      </c>
      <c r="C957" t="s">
        <v>18</v>
      </c>
      <c r="D957" t="s">
        <v>52</v>
      </c>
      <c r="E957" t="s">
        <v>20</v>
      </c>
      <c r="F957" t="s">
        <v>1323</v>
      </c>
      <c r="G957" t="s">
        <v>50</v>
      </c>
      <c r="H957" t="s">
        <v>86</v>
      </c>
      <c r="I957" t="s">
        <v>24</v>
      </c>
      <c r="J957" s="9">
        <v>1</v>
      </c>
      <c r="K957" s="7">
        <v>53000</v>
      </c>
      <c r="L957" s="7">
        <v>53000</v>
      </c>
      <c r="M957" s="9"/>
      <c r="N957" s="7">
        <v>7.8</v>
      </c>
      <c r="O957" s="7"/>
      <c r="P957" s="7"/>
      <c r="Q957" t="s">
        <v>24</v>
      </c>
      <c r="R957" s="7" t="str">
        <f>TEXT(Table1[[#This Row],[Date]],"mmm yyyy")</f>
        <v>Mar 2026</v>
      </c>
      <c r="S957" s="9">
        <f>YEAR(Table1[[#This Row],[Date]])</f>
        <v>2026</v>
      </c>
      <c r="T957" s="9"/>
      <c r="U957" s="9"/>
    </row>
    <row r="958" spans="1:21" x14ac:dyDescent="0.3">
      <c r="A958" t="s">
        <v>1525</v>
      </c>
      <c r="B958" s="6">
        <v>46047</v>
      </c>
      <c r="C958" t="s">
        <v>18</v>
      </c>
      <c r="D958" t="s">
        <v>47</v>
      </c>
      <c r="E958" t="s">
        <v>48</v>
      </c>
      <c r="F958" t="s">
        <v>1223</v>
      </c>
      <c r="G958" t="s">
        <v>44</v>
      </c>
      <c r="H958" t="s">
        <v>78</v>
      </c>
      <c r="I958" t="s">
        <v>45</v>
      </c>
      <c r="J958" s="9">
        <v>1</v>
      </c>
      <c r="K958" s="7">
        <v>6400</v>
      </c>
      <c r="L958" s="7">
        <v>0</v>
      </c>
      <c r="M958" s="9"/>
      <c r="N958" s="7">
        <v>2.4</v>
      </c>
      <c r="O958" s="7"/>
      <c r="P958" s="7"/>
      <c r="Q958" t="s">
        <v>45</v>
      </c>
      <c r="R958" s="7" t="str">
        <f>TEXT(Table1[[#This Row],[Date]],"mmm yyyy")</f>
        <v>Jan 2026</v>
      </c>
      <c r="S958" s="9">
        <f>YEAR(Table1[[#This Row],[Date]])</f>
        <v>2026</v>
      </c>
      <c r="T958" s="9"/>
      <c r="U958" s="9"/>
    </row>
    <row r="959" spans="1:21" x14ac:dyDescent="0.3">
      <c r="A959" t="s">
        <v>1526</v>
      </c>
      <c r="B959" s="6">
        <v>46250</v>
      </c>
      <c r="C959" t="s">
        <v>18</v>
      </c>
      <c r="D959" t="s">
        <v>117</v>
      </c>
      <c r="E959" t="s">
        <v>42</v>
      </c>
      <c r="F959" t="s">
        <v>308</v>
      </c>
      <c r="G959" t="s">
        <v>44</v>
      </c>
      <c r="H959" t="s">
        <v>66</v>
      </c>
      <c r="I959" t="s">
        <v>55</v>
      </c>
      <c r="J959" s="9">
        <v>1</v>
      </c>
      <c r="K959" s="7">
        <v>14700</v>
      </c>
      <c r="L959" s="7">
        <v>0</v>
      </c>
      <c r="M959" s="9"/>
      <c r="N959" s="7">
        <v>6.4</v>
      </c>
      <c r="O959" s="7"/>
      <c r="P959" s="7"/>
      <c r="Q959" t="s">
        <v>55</v>
      </c>
      <c r="R959" s="7" t="str">
        <f>TEXT(Table1[[#This Row],[Date]],"mmm yyyy")</f>
        <v>Aug 2026</v>
      </c>
      <c r="S959" s="9">
        <f>YEAR(Table1[[#This Row],[Date]])</f>
        <v>2026</v>
      </c>
      <c r="T959" s="9"/>
      <c r="U959" s="9"/>
    </row>
    <row r="960" spans="1:21" x14ac:dyDescent="0.3">
      <c r="A960" t="s">
        <v>1527</v>
      </c>
      <c r="B960" s="6">
        <v>46195</v>
      </c>
      <c r="C960" t="s">
        <v>18</v>
      </c>
      <c r="D960" t="s">
        <v>52</v>
      </c>
      <c r="E960" t="s">
        <v>20</v>
      </c>
      <c r="F960" t="s">
        <v>1528</v>
      </c>
      <c r="G960" t="s">
        <v>30</v>
      </c>
      <c r="H960" t="s">
        <v>23</v>
      </c>
      <c r="I960" t="s">
        <v>45</v>
      </c>
      <c r="J960" s="9">
        <v>1</v>
      </c>
      <c r="K960" s="7">
        <v>81300</v>
      </c>
      <c r="L960" s="7">
        <v>0</v>
      </c>
      <c r="M960" s="9"/>
      <c r="N960" s="7">
        <v>20.8</v>
      </c>
      <c r="O960" s="7"/>
      <c r="P960" s="7"/>
      <c r="Q960" t="s">
        <v>45</v>
      </c>
      <c r="R960" s="7" t="str">
        <f>TEXT(Table1[[#This Row],[Date]],"mmm yyyy")</f>
        <v>Jun 2026</v>
      </c>
      <c r="S960" s="9">
        <f>YEAR(Table1[[#This Row],[Date]])</f>
        <v>2026</v>
      </c>
      <c r="T960" s="9"/>
      <c r="U960" s="9"/>
    </row>
    <row r="961" spans="1:21" hidden="1" x14ac:dyDescent="0.3">
      <c r="A961" t="s">
        <v>1529</v>
      </c>
      <c r="B961" s="6">
        <v>46229</v>
      </c>
      <c r="C961" t="s">
        <v>26</v>
      </c>
      <c r="D961" t="s">
        <v>27</v>
      </c>
      <c r="E961" t="s">
        <v>42</v>
      </c>
      <c r="F961" t="s">
        <v>483</v>
      </c>
      <c r="G961" t="s">
        <v>22</v>
      </c>
      <c r="J961" s="9">
        <v>0</v>
      </c>
      <c r="K961" s="7">
        <v>0</v>
      </c>
      <c r="L961" s="7">
        <v>0</v>
      </c>
      <c r="M961" s="9">
        <v>1</v>
      </c>
      <c r="N961" s="7">
        <v>9.1999999999999993</v>
      </c>
      <c r="O961" s="7">
        <v>21</v>
      </c>
      <c r="P961" s="7">
        <v>4.7</v>
      </c>
      <c r="Q961" t="s">
        <v>39</v>
      </c>
      <c r="R961" s="7" t="str">
        <f>TEXT(Table1[[#This Row],[Date]],"mmm yyyy")</f>
        <v>Jul 2026</v>
      </c>
      <c r="S961" s="9">
        <f>YEAR(Table1[[#This Row],[Date]])</f>
        <v>2026</v>
      </c>
      <c r="T961" s="9"/>
      <c r="U961" s="9"/>
    </row>
    <row r="962" spans="1:21" x14ac:dyDescent="0.3">
      <c r="A962" t="s">
        <v>1530</v>
      </c>
      <c r="B962" s="6">
        <v>46167</v>
      </c>
      <c r="C962" t="s">
        <v>18</v>
      </c>
      <c r="D962" t="s">
        <v>19</v>
      </c>
      <c r="E962" t="s">
        <v>48</v>
      </c>
      <c r="F962" t="s">
        <v>1531</v>
      </c>
      <c r="G962" t="s">
        <v>30</v>
      </c>
      <c r="H962" t="s">
        <v>54</v>
      </c>
      <c r="I962" t="s">
        <v>79</v>
      </c>
      <c r="J962" s="9">
        <v>1</v>
      </c>
      <c r="K962" s="7">
        <v>65300</v>
      </c>
      <c r="L962" s="7">
        <v>0</v>
      </c>
      <c r="M962" s="9"/>
      <c r="N962" s="7">
        <v>22.5</v>
      </c>
      <c r="O962" s="7"/>
      <c r="P962" s="7"/>
      <c r="Q962" t="s">
        <v>79</v>
      </c>
      <c r="R962" s="7" t="str">
        <f>TEXT(Table1[[#This Row],[Date]],"mmm yyyy")</f>
        <v>May 2026</v>
      </c>
      <c r="S962" s="9">
        <f>YEAR(Table1[[#This Row],[Date]])</f>
        <v>2026</v>
      </c>
      <c r="T962" s="9"/>
      <c r="U962" s="9"/>
    </row>
    <row r="963" spans="1:21" hidden="1" x14ac:dyDescent="0.3">
      <c r="A963" t="s">
        <v>1532</v>
      </c>
      <c r="B963" s="6">
        <v>46228</v>
      </c>
      <c r="C963" t="s">
        <v>26</v>
      </c>
      <c r="D963" t="s">
        <v>33</v>
      </c>
      <c r="E963" t="s">
        <v>20</v>
      </c>
      <c r="F963" t="s">
        <v>176</v>
      </c>
      <c r="G963" t="s">
        <v>50</v>
      </c>
      <c r="J963" s="9">
        <v>0</v>
      </c>
      <c r="K963" s="7">
        <v>0</v>
      </c>
      <c r="L963" s="7">
        <v>0</v>
      </c>
      <c r="M963" s="9">
        <v>1</v>
      </c>
      <c r="N963" s="7">
        <v>10.7</v>
      </c>
      <c r="O963" s="7">
        <v>17.3</v>
      </c>
      <c r="P963" s="7">
        <v>4.5999999999999996</v>
      </c>
      <c r="Q963" t="s">
        <v>39</v>
      </c>
      <c r="R963" s="7" t="str">
        <f>TEXT(Table1[[#This Row],[Date]],"mmm yyyy")</f>
        <v>Jul 2026</v>
      </c>
      <c r="S963" s="9">
        <f>YEAR(Table1[[#This Row],[Date]])</f>
        <v>2026</v>
      </c>
      <c r="T963" s="9"/>
      <c r="U963" s="9"/>
    </row>
    <row r="964" spans="1:21" x14ac:dyDescent="0.3">
      <c r="A964" t="s">
        <v>1533</v>
      </c>
      <c r="B964" s="6">
        <v>46141</v>
      </c>
      <c r="C964" t="s">
        <v>18</v>
      </c>
      <c r="D964" t="s">
        <v>47</v>
      </c>
      <c r="E964" t="s">
        <v>42</v>
      </c>
      <c r="F964" t="s">
        <v>603</v>
      </c>
      <c r="G964" t="s">
        <v>22</v>
      </c>
      <c r="H964" t="s">
        <v>54</v>
      </c>
      <c r="I964" t="s">
        <v>79</v>
      </c>
      <c r="J964" s="9">
        <v>1</v>
      </c>
      <c r="K964" s="7">
        <v>53000</v>
      </c>
      <c r="L964" s="7">
        <v>0</v>
      </c>
      <c r="M964" s="9"/>
      <c r="N964" s="7">
        <v>7.4</v>
      </c>
      <c r="O964" s="7"/>
      <c r="P964" s="7"/>
      <c r="Q964" t="s">
        <v>79</v>
      </c>
      <c r="R964" s="7" t="str">
        <f>TEXT(Table1[[#This Row],[Date]],"mmm yyyy")</f>
        <v>Apr 2026</v>
      </c>
      <c r="S964" s="9">
        <f>YEAR(Table1[[#This Row],[Date]])</f>
        <v>2026</v>
      </c>
      <c r="T964" s="9"/>
      <c r="U964" s="9"/>
    </row>
    <row r="965" spans="1:21" x14ac:dyDescent="0.3">
      <c r="A965" t="s">
        <v>1534</v>
      </c>
      <c r="B965" s="6">
        <v>46186</v>
      </c>
      <c r="C965" t="s">
        <v>18</v>
      </c>
      <c r="D965" t="s">
        <v>41</v>
      </c>
      <c r="E965" t="s">
        <v>28</v>
      </c>
      <c r="F965" t="s">
        <v>260</v>
      </c>
      <c r="G965" t="s">
        <v>22</v>
      </c>
      <c r="H965" t="s">
        <v>23</v>
      </c>
      <c r="I965" t="s">
        <v>67</v>
      </c>
      <c r="J965" s="9">
        <v>1</v>
      </c>
      <c r="K965" s="7">
        <v>34800</v>
      </c>
      <c r="L965" s="7">
        <v>0</v>
      </c>
      <c r="M965" s="9"/>
      <c r="N965" s="7">
        <v>6</v>
      </c>
      <c r="O965" s="7"/>
      <c r="P965" s="7"/>
      <c r="Q965" t="s">
        <v>67</v>
      </c>
      <c r="R965" s="7" t="str">
        <f>TEXT(Table1[[#This Row],[Date]],"mmm yyyy")</f>
        <v>Jun 2026</v>
      </c>
      <c r="S965" s="9">
        <f>YEAR(Table1[[#This Row],[Date]])</f>
        <v>2026</v>
      </c>
      <c r="T965" s="9"/>
      <c r="U965" s="9"/>
    </row>
    <row r="966" spans="1:21" x14ac:dyDescent="0.3">
      <c r="A966" t="s">
        <v>1535</v>
      </c>
      <c r="B966" s="6">
        <v>45939</v>
      </c>
      <c r="C966" t="s">
        <v>18</v>
      </c>
      <c r="D966" t="s">
        <v>41</v>
      </c>
      <c r="E966" t="s">
        <v>28</v>
      </c>
      <c r="F966" t="s">
        <v>725</v>
      </c>
      <c r="G966" t="s">
        <v>30</v>
      </c>
      <c r="H966" t="s">
        <v>86</v>
      </c>
      <c r="I966" t="s">
        <v>79</v>
      </c>
      <c r="J966" s="9">
        <v>1</v>
      </c>
      <c r="K966" s="7">
        <v>60400</v>
      </c>
      <c r="L966" s="7">
        <v>0</v>
      </c>
      <c r="M966" s="9"/>
      <c r="N966" s="7">
        <v>10.1</v>
      </c>
      <c r="O966" s="7"/>
      <c r="P966" s="7"/>
      <c r="Q966" t="s">
        <v>79</v>
      </c>
      <c r="R966" s="7" t="str">
        <f>TEXT(Table1[[#This Row],[Date]],"mmm yyyy")</f>
        <v>Oct 2025</v>
      </c>
      <c r="S966" s="9">
        <f>YEAR(Table1[[#This Row],[Date]])</f>
        <v>2025</v>
      </c>
      <c r="T966" s="9"/>
      <c r="U966" s="9"/>
    </row>
    <row r="967" spans="1:21" x14ac:dyDescent="0.3">
      <c r="A967" t="s">
        <v>1536</v>
      </c>
      <c r="B967" s="6">
        <v>46052</v>
      </c>
      <c r="C967" t="s">
        <v>18</v>
      </c>
      <c r="D967" t="s">
        <v>117</v>
      </c>
      <c r="E967" t="s">
        <v>20</v>
      </c>
      <c r="F967" t="s">
        <v>138</v>
      </c>
      <c r="G967" t="s">
        <v>44</v>
      </c>
      <c r="H967" t="s">
        <v>23</v>
      </c>
      <c r="I967" t="s">
        <v>79</v>
      </c>
      <c r="J967" s="9">
        <v>1</v>
      </c>
      <c r="K967" s="7">
        <v>81000</v>
      </c>
      <c r="L967" s="7">
        <v>0</v>
      </c>
      <c r="M967" s="9"/>
      <c r="N967" s="7">
        <v>3.4</v>
      </c>
      <c r="O967" s="7"/>
      <c r="P967" s="7"/>
      <c r="Q967" t="s">
        <v>79</v>
      </c>
      <c r="R967" s="7" t="str">
        <f>TEXT(Table1[[#This Row],[Date]],"mmm yyyy")</f>
        <v>Jan 2026</v>
      </c>
      <c r="S967" s="9">
        <f>YEAR(Table1[[#This Row],[Date]])</f>
        <v>2026</v>
      </c>
      <c r="T967" s="9"/>
      <c r="U967" s="9"/>
    </row>
    <row r="968" spans="1:21" hidden="1" x14ac:dyDescent="0.3">
      <c r="A968" t="s">
        <v>1537</v>
      </c>
      <c r="B968" s="6">
        <v>46206</v>
      </c>
      <c r="C968" t="s">
        <v>26</v>
      </c>
      <c r="D968" t="s">
        <v>36</v>
      </c>
      <c r="E968" t="s">
        <v>20</v>
      </c>
      <c r="F968" t="s">
        <v>212</v>
      </c>
      <c r="G968" t="s">
        <v>22</v>
      </c>
      <c r="J968" s="9">
        <v>0</v>
      </c>
      <c r="K968" s="7">
        <v>0</v>
      </c>
      <c r="L968" s="7">
        <v>0</v>
      </c>
      <c r="M968" s="9">
        <v>1</v>
      </c>
      <c r="N968" s="7">
        <v>10.5</v>
      </c>
      <c r="O968" s="7">
        <v>9.8000000000000007</v>
      </c>
      <c r="P968" s="7">
        <v>4.3</v>
      </c>
      <c r="Q968" t="s">
        <v>31</v>
      </c>
      <c r="R968" s="7" t="str">
        <f>TEXT(Table1[[#This Row],[Date]],"mmm yyyy")</f>
        <v>Jul 2026</v>
      </c>
      <c r="S968" s="9">
        <f>YEAR(Table1[[#This Row],[Date]])</f>
        <v>2026</v>
      </c>
      <c r="T968" s="9"/>
      <c r="U968" s="9"/>
    </row>
    <row r="969" spans="1:21" x14ac:dyDescent="0.3">
      <c r="A969" t="s">
        <v>1538</v>
      </c>
      <c r="B969" s="6">
        <v>46065</v>
      </c>
      <c r="C969" t="s">
        <v>18</v>
      </c>
      <c r="D969" t="s">
        <v>19</v>
      </c>
      <c r="E969" t="s">
        <v>20</v>
      </c>
      <c r="F969" t="s">
        <v>1539</v>
      </c>
      <c r="G969" t="s">
        <v>22</v>
      </c>
      <c r="H969" t="s">
        <v>78</v>
      </c>
      <c r="I969" t="s">
        <v>67</v>
      </c>
      <c r="J969" s="9">
        <v>1</v>
      </c>
      <c r="K969" s="7">
        <v>26900</v>
      </c>
      <c r="L969" s="7">
        <v>0</v>
      </c>
      <c r="M969" s="9"/>
      <c r="N969" s="7">
        <v>15.4</v>
      </c>
      <c r="O969" s="7"/>
      <c r="P969" s="7"/>
      <c r="Q969" t="s">
        <v>67</v>
      </c>
      <c r="R969" s="7" t="str">
        <f>TEXT(Table1[[#This Row],[Date]],"mmm yyyy")</f>
        <v>Feb 2026</v>
      </c>
      <c r="S969" s="9">
        <f>YEAR(Table1[[#This Row],[Date]])</f>
        <v>2026</v>
      </c>
      <c r="T969" s="9"/>
      <c r="U969" s="9"/>
    </row>
    <row r="970" spans="1:21" hidden="1" x14ac:dyDescent="0.3">
      <c r="A970" t="s">
        <v>1540</v>
      </c>
      <c r="B970" s="6">
        <v>46163</v>
      </c>
      <c r="C970" t="s">
        <v>26</v>
      </c>
      <c r="D970" t="s">
        <v>232</v>
      </c>
      <c r="E970" t="s">
        <v>20</v>
      </c>
      <c r="F970" t="s">
        <v>1541</v>
      </c>
      <c r="G970" t="s">
        <v>30</v>
      </c>
      <c r="J970" s="9">
        <v>0</v>
      </c>
      <c r="K970" s="7">
        <v>0</v>
      </c>
      <c r="L970" s="7">
        <v>0</v>
      </c>
      <c r="M970" s="9">
        <v>1</v>
      </c>
      <c r="N970" s="7">
        <v>6.7</v>
      </c>
      <c r="O970" s="7">
        <v>30.1</v>
      </c>
      <c r="P970" s="7">
        <v>4.0999999999999996</v>
      </c>
      <c r="Q970" t="s">
        <v>39</v>
      </c>
      <c r="R970" s="7" t="str">
        <f>TEXT(Table1[[#This Row],[Date]],"mmm yyyy")</f>
        <v>May 2026</v>
      </c>
      <c r="S970" s="9">
        <f>YEAR(Table1[[#This Row],[Date]])</f>
        <v>2026</v>
      </c>
      <c r="T970" s="9"/>
      <c r="U970" s="9"/>
    </row>
    <row r="971" spans="1:21" x14ac:dyDescent="0.3">
      <c r="A971" t="s">
        <v>1542</v>
      </c>
      <c r="B971" s="6">
        <v>46106</v>
      </c>
      <c r="C971" t="s">
        <v>18</v>
      </c>
      <c r="D971" t="s">
        <v>52</v>
      </c>
      <c r="E971" t="s">
        <v>20</v>
      </c>
      <c r="F971" t="s">
        <v>1543</v>
      </c>
      <c r="G971" t="s">
        <v>22</v>
      </c>
      <c r="H971" t="s">
        <v>23</v>
      </c>
      <c r="I971" t="s">
        <v>24</v>
      </c>
      <c r="J971" s="9">
        <v>1</v>
      </c>
      <c r="K971" s="7">
        <v>9800</v>
      </c>
      <c r="L971" s="7">
        <v>9800</v>
      </c>
      <c r="M971" s="9"/>
      <c r="N971" s="7">
        <v>11.9</v>
      </c>
      <c r="O971" s="7"/>
      <c r="P971" s="7"/>
      <c r="Q971" t="s">
        <v>24</v>
      </c>
      <c r="R971" s="7" t="str">
        <f>TEXT(Table1[[#This Row],[Date]],"mmm yyyy")</f>
        <v>Mar 2026</v>
      </c>
      <c r="S971" s="9">
        <f>YEAR(Table1[[#This Row],[Date]])</f>
        <v>2026</v>
      </c>
      <c r="T971" s="9"/>
      <c r="U971" s="9"/>
    </row>
    <row r="972" spans="1:21" hidden="1" x14ac:dyDescent="0.3">
      <c r="A972" t="s">
        <v>1544</v>
      </c>
      <c r="B972" s="6">
        <v>46183</v>
      </c>
      <c r="C972" t="s">
        <v>26</v>
      </c>
      <c r="D972" t="s">
        <v>72</v>
      </c>
      <c r="E972" t="s">
        <v>28</v>
      </c>
      <c r="F972" t="s">
        <v>663</v>
      </c>
      <c r="G972" t="s">
        <v>30</v>
      </c>
      <c r="J972" s="9">
        <v>0</v>
      </c>
      <c r="K972" s="7">
        <v>0</v>
      </c>
      <c r="L972" s="7">
        <v>0</v>
      </c>
      <c r="M972" s="9">
        <v>1</v>
      </c>
      <c r="N972" s="7">
        <v>8.6999999999999993</v>
      </c>
      <c r="O972" s="7">
        <v>4.8</v>
      </c>
      <c r="P972" s="7">
        <v>3.1</v>
      </c>
      <c r="Q972" t="s">
        <v>31</v>
      </c>
      <c r="R972" s="7" t="str">
        <f>TEXT(Table1[[#This Row],[Date]],"mmm yyyy")</f>
        <v>Jun 2026</v>
      </c>
      <c r="S972" s="9">
        <f>YEAR(Table1[[#This Row],[Date]])</f>
        <v>2026</v>
      </c>
      <c r="T972" s="9"/>
      <c r="U972" s="9"/>
    </row>
    <row r="973" spans="1:21" hidden="1" x14ac:dyDescent="0.3">
      <c r="A973" t="s">
        <v>1545</v>
      </c>
      <c r="B973" s="6">
        <v>45998</v>
      </c>
      <c r="C973" t="s">
        <v>26</v>
      </c>
      <c r="D973" t="s">
        <v>114</v>
      </c>
      <c r="E973" t="s">
        <v>48</v>
      </c>
      <c r="F973" t="s">
        <v>807</v>
      </c>
      <c r="G973" t="s">
        <v>22</v>
      </c>
      <c r="J973" s="9">
        <v>0</v>
      </c>
      <c r="K973" s="7">
        <v>0</v>
      </c>
      <c r="L973" s="7">
        <v>0</v>
      </c>
      <c r="M973" s="9">
        <v>1</v>
      </c>
      <c r="N973" s="7">
        <v>5.8</v>
      </c>
      <c r="O973" s="7">
        <v>10.5</v>
      </c>
      <c r="P973" s="7">
        <v>3.7</v>
      </c>
      <c r="Q973" t="s">
        <v>225</v>
      </c>
      <c r="R973" s="7" t="str">
        <f>TEXT(Table1[[#This Row],[Date]],"mmm yyyy")</f>
        <v>Dec 2025</v>
      </c>
      <c r="S973" s="9">
        <f>YEAR(Table1[[#This Row],[Date]])</f>
        <v>2025</v>
      </c>
      <c r="T973" s="9"/>
      <c r="U973" s="9"/>
    </row>
    <row r="974" spans="1:21" hidden="1" x14ac:dyDescent="0.3">
      <c r="A974" t="s">
        <v>1546</v>
      </c>
      <c r="B974" s="6">
        <v>46190</v>
      </c>
      <c r="C974" t="s">
        <v>26</v>
      </c>
      <c r="D974" t="s">
        <v>36</v>
      </c>
      <c r="E974" t="s">
        <v>20</v>
      </c>
      <c r="F974" t="s">
        <v>49</v>
      </c>
      <c r="G974" t="s">
        <v>22</v>
      </c>
      <c r="J974" s="9">
        <v>0</v>
      </c>
      <c r="K974" s="7">
        <v>0</v>
      </c>
      <c r="L974" s="7">
        <v>0</v>
      </c>
      <c r="M974" s="9">
        <v>1</v>
      </c>
      <c r="N974" s="7">
        <v>8.5</v>
      </c>
      <c r="O974" s="7">
        <v>4.0999999999999996</v>
      </c>
      <c r="P974" s="7">
        <v>2.6</v>
      </c>
      <c r="Q974" t="s">
        <v>39</v>
      </c>
      <c r="R974" s="7" t="str">
        <f>TEXT(Table1[[#This Row],[Date]],"mmm yyyy")</f>
        <v>Jun 2026</v>
      </c>
      <c r="S974" s="9">
        <f>YEAR(Table1[[#This Row],[Date]])</f>
        <v>2026</v>
      </c>
      <c r="T974" s="9"/>
      <c r="U974" s="9"/>
    </row>
    <row r="975" spans="1:21" x14ac:dyDescent="0.3">
      <c r="A975" t="s">
        <v>1547</v>
      </c>
      <c r="B975" s="6">
        <v>45918</v>
      </c>
      <c r="C975" t="s">
        <v>18</v>
      </c>
      <c r="D975" t="s">
        <v>47</v>
      </c>
      <c r="E975" t="s">
        <v>37</v>
      </c>
      <c r="F975" t="s">
        <v>570</v>
      </c>
      <c r="G975" t="s">
        <v>22</v>
      </c>
      <c r="H975" t="s">
        <v>66</v>
      </c>
      <c r="I975" t="s">
        <v>79</v>
      </c>
      <c r="J975" s="9">
        <v>1</v>
      </c>
      <c r="K975" s="7">
        <v>21700</v>
      </c>
      <c r="L975" s="7">
        <v>0</v>
      </c>
      <c r="M975" s="9"/>
      <c r="N975" s="7">
        <v>16.600000000000001</v>
      </c>
      <c r="O975" s="7"/>
      <c r="P975" s="7"/>
      <c r="Q975" t="s">
        <v>79</v>
      </c>
      <c r="R975" s="7" t="str">
        <f>TEXT(Table1[[#This Row],[Date]],"mmm yyyy")</f>
        <v>Sep 2025</v>
      </c>
      <c r="S975" s="9">
        <f>YEAR(Table1[[#This Row],[Date]])</f>
        <v>2025</v>
      </c>
      <c r="T975" s="9"/>
      <c r="U975" s="9"/>
    </row>
    <row r="976" spans="1:21" x14ac:dyDescent="0.3">
      <c r="A976" t="s">
        <v>1548</v>
      </c>
      <c r="B976" s="6">
        <v>46212</v>
      </c>
      <c r="C976" t="s">
        <v>18</v>
      </c>
      <c r="D976" t="s">
        <v>19</v>
      </c>
      <c r="E976" t="s">
        <v>20</v>
      </c>
      <c r="F976" t="s">
        <v>1549</v>
      </c>
      <c r="G976" t="s">
        <v>44</v>
      </c>
      <c r="H976" t="s">
        <v>78</v>
      </c>
      <c r="I976" t="s">
        <v>67</v>
      </c>
      <c r="J976" s="9">
        <v>1</v>
      </c>
      <c r="K976" s="7">
        <v>34800</v>
      </c>
      <c r="L976" s="7">
        <v>0</v>
      </c>
      <c r="M976" s="9"/>
      <c r="N976" s="7">
        <v>11.3</v>
      </c>
      <c r="O976" s="7"/>
      <c r="P976" s="7"/>
      <c r="Q976" t="s">
        <v>67</v>
      </c>
      <c r="R976" s="7" t="str">
        <f>TEXT(Table1[[#This Row],[Date]],"mmm yyyy")</f>
        <v>Jul 2026</v>
      </c>
      <c r="S976" s="9">
        <f>YEAR(Table1[[#This Row],[Date]])</f>
        <v>2026</v>
      </c>
      <c r="T976" s="9"/>
      <c r="U976" s="9"/>
    </row>
    <row r="977" spans="1:21" x14ac:dyDescent="0.3">
      <c r="A977" t="s">
        <v>1550</v>
      </c>
      <c r="B977" s="6">
        <v>46160</v>
      </c>
      <c r="C977" t="s">
        <v>18</v>
      </c>
      <c r="D977" t="s">
        <v>19</v>
      </c>
      <c r="E977" t="s">
        <v>48</v>
      </c>
      <c r="F977" t="s">
        <v>398</v>
      </c>
      <c r="G977" t="s">
        <v>30</v>
      </c>
      <c r="H977" t="s">
        <v>54</v>
      </c>
      <c r="I977" t="s">
        <v>55</v>
      </c>
      <c r="J977" s="9">
        <v>1</v>
      </c>
      <c r="K977" s="7">
        <v>8200</v>
      </c>
      <c r="L977" s="7">
        <v>0</v>
      </c>
      <c r="M977" s="9"/>
      <c r="N977" s="7">
        <v>11.5</v>
      </c>
      <c r="O977" s="7"/>
      <c r="P977" s="7"/>
      <c r="Q977" t="s">
        <v>55</v>
      </c>
      <c r="R977" s="7" t="str">
        <f>TEXT(Table1[[#This Row],[Date]],"mmm yyyy")</f>
        <v>May 2026</v>
      </c>
      <c r="S977" s="9">
        <f>YEAR(Table1[[#This Row],[Date]])</f>
        <v>2026</v>
      </c>
      <c r="T977" s="9"/>
      <c r="U977" s="9"/>
    </row>
    <row r="978" spans="1:21" hidden="1" x14ac:dyDescent="0.3">
      <c r="A978" t="s">
        <v>1551</v>
      </c>
      <c r="B978" s="6">
        <v>46083</v>
      </c>
      <c r="C978" t="s">
        <v>26</v>
      </c>
      <c r="D978" t="s">
        <v>33</v>
      </c>
      <c r="E978" t="s">
        <v>28</v>
      </c>
      <c r="F978" t="s">
        <v>681</v>
      </c>
      <c r="G978" t="s">
        <v>44</v>
      </c>
      <c r="J978" s="9">
        <v>0</v>
      </c>
      <c r="K978" s="7">
        <v>0</v>
      </c>
      <c r="L978" s="7">
        <v>0</v>
      </c>
      <c r="M978" s="9">
        <v>1</v>
      </c>
      <c r="N978" s="7">
        <v>6.3</v>
      </c>
      <c r="O978" s="7">
        <v>14.4</v>
      </c>
      <c r="P978" s="7">
        <v>3.9</v>
      </c>
      <c r="Q978" t="s">
        <v>31</v>
      </c>
      <c r="R978" s="7" t="str">
        <f>TEXT(Table1[[#This Row],[Date]],"mmm yyyy")</f>
        <v>Mar 2026</v>
      </c>
      <c r="S978" s="9">
        <f>YEAR(Table1[[#This Row],[Date]])</f>
        <v>2026</v>
      </c>
      <c r="T978" s="9"/>
      <c r="U978" s="9"/>
    </row>
    <row r="979" spans="1:21" x14ac:dyDescent="0.3">
      <c r="A979" t="s">
        <v>1552</v>
      </c>
      <c r="B979" s="6">
        <v>46171</v>
      </c>
      <c r="C979" t="s">
        <v>18</v>
      </c>
      <c r="D979" t="s">
        <v>95</v>
      </c>
      <c r="E979" t="s">
        <v>20</v>
      </c>
      <c r="F979" t="s">
        <v>581</v>
      </c>
      <c r="G979" t="s">
        <v>30</v>
      </c>
      <c r="H979" t="s">
        <v>78</v>
      </c>
      <c r="I979" t="s">
        <v>89</v>
      </c>
      <c r="J979" s="9">
        <v>1</v>
      </c>
      <c r="K979" s="7">
        <v>10600</v>
      </c>
      <c r="L979" s="7">
        <v>0</v>
      </c>
      <c r="M979" s="9"/>
      <c r="N979" s="7">
        <v>3.6</v>
      </c>
      <c r="O979" s="7"/>
      <c r="P979" s="7"/>
      <c r="Q979" t="s">
        <v>89</v>
      </c>
      <c r="R979" s="7" t="str">
        <f>TEXT(Table1[[#This Row],[Date]],"mmm yyyy")</f>
        <v>May 2026</v>
      </c>
      <c r="S979" s="9">
        <f>YEAR(Table1[[#This Row],[Date]])</f>
        <v>2026</v>
      </c>
      <c r="T979" s="9"/>
      <c r="U979" s="9"/>
    </row>
    <row r="980" spans="1:21" x14ac:dyDescent="0.3">
      <c r="A980" t="s">
        <v>1553</v>
      </c>
      <c r="B980" s="6">
        <v>45999</v>
      </c>
      <c r="C980" t="s">
        <v>18</v>
      </c>
      <c r="D980" t="s">
        <v>95</v>
      </c>
      <c r="E980" t="s">
        <v>48</v>
      </c>
      <c r="F980" t="s">
        <v>589</v>
      </c>
      <c r="G980" t="s">
        <v>30</v>
      </c>
      <c r="H980" t="s">
        <v>78</v>
      </c>
      <c r="I980" t="s">
        <v>55</v>
      </c>
      <c r="J980" s="9">
        <v>1</v>
      </c>
      <c r="K980" s="7">
        <v>5000</v>
      </c>
      <c r="L980" s="7">
        <v>0</v>
      </c>
      <c r="M980" s="9"/>
      <c r="N980" s="7">
        <v>16.3</v>
      </c>
      <c r="O980" s="7"/>
      <c r="P980" s="7"/>
      <c r="Q980" t="s">
        <v>55</v>
      </c>
      <c r="R980" s="7" t="str">
        <f>TEXT(Table1[[#This Row],[Date]],"mmm yyyy")</f>
        <v>Dec 2025</v>
      </c>
      <c r="S980" s="9">
        <f>YEAR(Table1[[#This Row],[Date]])</f>
        <v>2025</v>
      </c>
      <c r="T980" s="9"/>
      <c r="U980" s="9"/>
    </row>
    <row r="981" spans="1:21" hidden="1" x14ac:dyDescent="0.3">
      <c r="A981" t="s">
        <v>1554</v>
      </c>
      <c r="B981" s="6">
        <v>45979</v>
      </c>
      <c r="C981" t="s">
        <v>26</v>
      </c>
      <c r="D981" t="s">
        <v>33</v>
      </c>
      <c r="E981" t="s">
        <v>20</v>
      </c>
      <c r="F981" t="s">
        <v>1555</v>
      </c>
      <c r="G981" t="s">
        <v>30</v>
      </c>
      <c r="J981" s="9">
        <v>0</v>
      </c>
      <c r="K981" s="7">
        <v>0</v>
      </c>
      <c r="L981" s="7">
        <v>0</v>
      </c>
      <c r="M981" s="9">
        <v>1</v>
      </c>
      <c r="N981" s="7">
        <v>6.3</v>
      </c>
      <c r="O981" s="7">
        <v>3.5</v>
      </c>
      <c r="P981" s="7">
        <v>4.0999999999999996</v>
      </c>
      <c r="Q981" t="s">
        <v>39</v>
      </c>
      <c r="R981" s="7" t="str">
        <f>TEXT(Table1[[#This Row],[Date]],"mmm yyyy")</f>
        <v>Nov 2025</v>
      </c>
      <c r="S981" s="9">
        <f>YEAR(Table1[[#This Row],[Date]])</f>
        <v>2025</v>
      </c>
      <c r="T981" s="9"/>
      <c r="U981" s="9"/>
    </row>
    <row r="982" spans="1:21" x14ac:dyDescent="0.3">
      <c r="A982" t="s">
        <v>1556</v>
      </c>
      <c r="B982" s="6">
        <v>46107</v>
      </c>
      <c r="C982" t="s">
        <v>18</v>
      </c>
      <c r="D982" t="s">
        <v>52</v>
      </c>
      <c r="E982" t="s">
        <v>28</v>
      </c>
      <c r="F982" t="s">
        <v>665</v>
      </c>
      <c r="G982" t="s">
        <v>30</v>
      </c>
      <c r="H982" t="s">
        <v>54</v>
      </c>
      <c r="I982" t="s">
        <v>45</v>
      </c>
      <c r="J982" s="9">
        <v>1</v>
      </c>
      <c r="K982" s="7">
        <v>5000</v>
      </c>
      <c r="L982" s="7">
        <v>0</v>
      </c>
      <c r="M982" s="9"/>
      <c r="N982" s="7">
        <v>13.2</v>
      </c>
      <c r="O982" s="7"/>
      <c r="P982" s="7"/>
      <c r="Q982" t="s">
        <v>45</v>
      </c>
      <c r="R982" s="7" t="str">
        <f>TEXT(Table1[[#This Row],[Date]],"mmm yyyy")</f>
        <v>Mar 2026</v>
      </c>
      <c r="S982" s="9">
        <f>YEAR(Table1[[#This Row],[Date]])</f>
        <v>2026</v>
      </c>
      <c r="T982" s="9"/>
      <c r="U982" s="9"/>
    </row>
    <row r="983" spans="1:21" hidden="1" x14ac:dyDescent="0.3">
      <c r="A983" t="s">
        <v>1557</v>
      </c>
      <c r="B983" s="6">
        <v>46173</v>
      </c>
      <c r="C983" t="s">
        <v>26</v>
      </c>
      <c r="D983" t="s">
        <v>72</v>
      </c>
      <c r="E983" t="s">
        <v>20</v>
      </c>
      <c r="F983" t="s">
        <v>118</v>
      </c>
      <c r="G983" t="s">
        <v>30</v>
      </c>
      <c r="J983" s="9">
        <v>0</v>
      </c>
      <c r="K983" s="7">
        <v>0</v>
      </c>
      <c r="L983" s="7">
        <v>0</v>
      </c>
      <c r="M983" s="9">
        <v>1</v>
      </c>
      <c r="N983" s="7">
        <v>10.199999999999999</v>
      </c>
      <c r="O983" s="7">
        <v>7.1</v>
      </c>
      <c r="P983" s="7">
        <v>3.1</v>
      </c>
      <c r="Q983" t="s">
        <v>39</v>
      </c>
      <c r="R983" s="7" t="str">
        <f>TEXT(Table1[[#This Row],[Date]],"mmm yyyy")</f>
        <v>May 2026</v>
      </c>
      <c r="S983" s="9">
        <f>YEAR(Table1[[#This Row],[Date]])</f>
        <v>2026</v>
      </c>
      <c r="T983" s="9"/>
      <c r="U983" s="9"/>
    </row>
    <row r="984" spans="1:21" x14ac:dyDescent="0.3">
      <c r="A984" t="s">
        <v>1558</v>
      </c>
      <c r="B984" s="6">
        <v>46046</v>
      </c>
      <c r="C984" t="s">
        <v>18</v>
      </c>
      <c r="D984" t="s">
        <v>95</v>
      </c>
      <c r="E984" t="s">
        <v>20</v>
      </c>
      <c r="F984" t="s">
        <v>996</v>
      </c>
      <c r="G984" t="s">
        <v>22</v>
      </c>
      <c r="H984" t="s">
        <v>54</v>
      </c>
      <c r="I984" t="s">
        <v>45</v>
      </c>
      <c r="J984" s="9">
        <v>1</v>
      </c>
      <c r="K984" s="7">
        <v>23200</v>
      </c>
      <c r="L984" s="7">
        <v>0</v>
      </c>
      <c r="M984" s="9"/>
      <c r="N984" s="7">
        <v>18</v>
      </c>
      <c r="O984" s="7"/>
      <c r="P984" s="7"/>
      <c r="Q984" t="s">
        <v>45</v>
      </c>
      <c r="R984" s="7" t="str">
        <f>TEXT(Table1[[#This Row],[Date]],"mmm yyyy")</f>
        <v>Jan 2026</v>
      </c>
      <c r="S984" s="9">
        <f>YEAR(Table1[[#This Row],[Date]])</f>
        <v>2026</v>
      </c>
      <c r="T984" s="9"/>
      <c r="U984" s="9"/>
    </row>
    <row r="985" spans="1:21" x14ac:dyDescent="0.3">
      <c r="A985" t="s">
        <v>1559</v>
      </c>
      <c r="B985" s="6">
        <v>45985</v>
      </c>
      <c r="C985" t="s">
        <v>18</v>
      </c>
      <c r="D985" t="s">
        <v>64</v>
      </c>
      <c r="E985" t="s">
        <v>37</v>
      </c>
      <c r="F985" t="s">
        <v>1560</v>
      </c>
      <c r="G985" t="s">
        <v>30</v>
      </c>
      <c r="H985" t="s">
        <v>86</v>
      </c>
      <c r="I985" t="s">
        <v>89</v>
      </c>
      <c r="J985" s="9">
        <v>1</v>
      </c>
      <c r="K985" s="7">
        <v>18500</v>
      </c>
      <c r="L985" s="7">
        <v>0</v>
      </c>
      <c r="M985" s="9"/>
      <c r="N985" s="7">
        <v>23.1</v>
      </c>
      <c r="O985" s="7"/>
      <c r="P985" s="7"/>
      <c r="Q985" t="s">
        <v>89</v>
      </c>
      <c r="R985" s="7" t="str">
        <f>TEXT(Table1[[#This Row],[Date]],"mmm yyyy")</f>
        <v>Nov 2025</v>
      </c>
      <c r="S985" s="9">
        <f>YEAR(Table1[[#This Row],[Date]])</f>
        <v>2025</v>
      </c>
      <c r="T985" s="9"/>
      <c r="U985" s="9"/>
    </row>
    <row r="986" spans="1:21" hidden="1" x14ac:dyDescent="0.3">
      <c r="A986" t="s">
        <v>1561</v>
      </c>
      <c r="B986" s="6">
        <v>45972</v>
      </c>
      <c r="C986" t="s">
        <v>26</v>
      </c>
      <c r="D986" t="s">
        <v>72</v>
      </c>
      <c r="E986" t="s">
        <v>28</v>
      </c>
      <c r="F986" t="s">
        <v>1364</v>
      </c>
      <c r="G986" t="s">
        <v>22</v>
      </c>
      <c r="J986" s="9">
        <v>0</v>
      </c>
      <c r="K986" s="7">
        <v>0</v>
      </c>
      <c r="L986" s="7">
        <v>0</v>
      </c>
      <c r="M986" s="9">
        <v>1</v>
      </c>
      <c r="N986" s="7">
        <v>7.6</v>
      </c>
      <c r="O986" s="7">
        <v>8.3000000000000007</v>
      </c>
      <c r="P986" s="7">
        <v>4.9000000000000004</v>
      </c>
      <c r="Q986" t="s">
        <v>31</v>
      </c>
      <c r="R986" s="7" t="str">
        <f>TEXT(Table1[[#This Row],[Date]],"mmm yyyy")</f>
        <v>Nov 2025</v>
      </c>
      <c r="S986" s="9">
        <f>YEAR(Table1[[#This Row],[Date]])</f>
        <v>2025</v>
      </c>
      <c r="T986" s="9"/>
      <c r="U986" s="9"/>
    </row>
    <row r="987" spans="1:21" x14ac:dyDescent="0.3">
      <c r="A987" t="s">
        <v>1562</v>
      </c>
      <c r="B987" s="6">
        <v>46057</v>
      </c>
      <c r="C987" t="s">
        <v>18</v>
      </c>
      <c r="D987" t="s">
        <v>117</v>
      </c>
      <c r="E987" t="s">
        <v>48</v>
      </c>
      <c r="F987" t="s">
        <v>820</v>
      </c>
      <c r="G987" t="s">
        <v>44</v>
      </c>
      <c r="H987" t="s">
        <v>23</v>
      </c>
      <c r="I987" t="s">
        <v>24</v>
      </c>
      <c r="J987" s="9">
        <v>1</v>
      </c>
      <c r="K987" s="7">
        <v>10500</v>
      </c>
      <c r="L987" s="7">
        <v>10500</v>
      </c>
      <c r="M987" s="9"/>
      <c r="N987" s="7">
        <v>23.2</v>
      </c>
      <c r="O987" s="7"/>
      <c r="P987" s="7"/>
      <c r="Q987" t="s">
        <v>24</v>
      </c>
      <c r="R987" s="7" t="str">
        <f>TEXT(Table1[[#This Row],[Date]],"mmm yyyy")</f>
        <v>Feb 2026</v>
      </c>
      <c r="S987" s="9">
        <f>YEAR(Table1[[#This Row],[Date]])</f>
        <v>2026</v>
      </c>
      <c r="T987" s="9"/>
      <c r="U987" s="9"/>
    </row>
    <row r="988" spans="1:21" hidden="1" x14ac:dyDescent="0.3">
      <c r="A988" t="s">
        <v>1563</v>
      </c>
      <c r="B988" s="6">
        <v>46073</v>
      </c>
      <c r="C988" t="s">
        <v>26</v>
      </c>
      <c r="D988" t="s">
        <v>114</v>
      </c>
      <c r="E988" t="s">
        <v>28</v>
      </c>
      <c r="F988" t="s">
        <v>1461</v>
      </c>
      <c r="G988" t="s">
        <v>44</v>
      </c>
      <c r="J988" s="9">
        <v>0</v>
      </c>
      <c r="K988" s="7">
        <v>0</v>
      </c>
      <c r="L988" s="7">
        <v>0</v>
      </c>
      <c r="M988" s="9">
        <v>1</v>
      </c>
      <c r="N988" s="7">
        <v>7.3</v>
      </c>
      <c r="O988" s="7">
        <v>3.2</v>
      </c>
      <c r="P988" s="7">
        <v>2.7</v>
      </c>
      <c r="Q988" t="s">
        <v>39</v>
      </c>
      <c r="R988" s="7" t="str">
        <f>TEXT(Table1[[#This Row],[Date]],"mmm yyyy")</f>
        <v>Feb 2026</v>
      </c>
      <c r="S988" s="9">
        <f>YEAR(Table1[[#This Row],[Date]])</f>
        <v>2026</v>
      </c>
      <c r="T988" s="9"/>
      <c r="U988" s="9"/>
    </row>
    <row r="989" spans="1:21" x14ac:dyDescent="0.3">
      <c r="A989" t="s">
        <v>1564</v>
      </c>
      <c r="B989" s="6">
        <v>45972</v>
      </c>
      <c r="C989" t="s">
        <v>18</v>
      </c>
      <c r="D989" t="s">
        <v>64</v>
      </c>
      <c r="E989" t="s">
        <v>28</v>
      </c>
      <c r="F989" t="s">
        <v>899</v>
      </c>
      <c r="G989" t="s">
        <v>30</v>
      </c>
      <c r="H989" t="s">
        <v>86</v>
      </c>
      <c r="I989" t="s">
        <v>24</v>
      </c>
      <c r="J989" s="9">
        <v>1</v>
      </c>
      <c r="K989" s="7">
        <v>45700</v>
      </c>
      <c r="L989" s="7">
        <v>45700</v>
      </c>
      <c r="M989" s="9"/>
      <c r="N989" s="7">
        <v>7</v>
      </c>
      <c r="O989" s="7"/>
      <c r="P989" s="7"/>
      <c r="Q989" t="s">
        <v>24</v>
      </c>
      <c r="R989" s="7" t="str">
        <f>TEXT(Table1[[#This Row],[Date]],"mmm yyyy")</f>
        <v>Nov 2025</v>
      </c>
      <c r="S989" s="9">
        <f>YEAR(Table1[[#This Row],[Date]])</f>
        <v>2025</v>
      </c>
      <c r="T989" s="9"/>
      <c r="U989" s="9"/>
    </row>
    <row r="990" spans="1:21" x14ac:dyDescent="0.3">
      <c r="A990" t="s">
        <v>1565</v>
      </c>
      <c r="B990" s="6">
        <v>46006</v>
      </c>
      <c r="C990" t="s">
        <v>18</v>
      </c>
      <c r="D990" t="s">
        <v>95</v>
      </c>
      <c r="E990" t="s">
        <v>20</v>
      </c>
      <c r="F990" t="s">
        <v>1407</v>
      </c>
      <c r="G990" t="s">
        <v>30</v>
      </c>
      <c r="H990" t="s">
        <v>86</v>
      </c>
      <c r="I990" t="s">
        <v>55</v>
      </c>
      <c r="J990" s="9">
        <v>1</v>
      </c>
      <c r="K990" s="7">
        <v>15200</v>
      </c>
      <c r="L990" s="7">
        <v>0</v>
      </c>
      <c r="M990" s="9"/>
      <c r="N990" s="7">
        <v>18.100000000000001</v>
      </c>
      <c r="O990" s="7"/>
      <c r="P990" s="7"/>
      <c r="Q990" t="s">
        <v>55</v>
      </c>
      <c r="R990" s="7" t="str">
        <f>TEXT(Table1[[#This Row],[Date]],"mmm yyyy")</f>
        <v>Dec 2025</v>
      </c>
      <c r="S990" s="9">
        <f>YEAR(Table1[[#This Row],[Date]])</f>
        <v>2025</v>
      </c>
      <c r="T990" s="9"/>
      <c r="U990" s="9"/>
    </row>
    <row r="991" spans="1:21" hidden="1" x14ac:dyDescent="0.3">
      <c r="A991" t="s">
        <v>1566</v>
      </c>
      <c r="B991" s="6">
        <v>46055</v>
      </c>
      <c r="C991" t="s">
        <v>26</v>
      </c>
      <c r="D991" t="s">
        <v>36</v>
      </c>
      <c r="E991" t="s">
        <v>42</v>
      </c>
      <c r="F991" t="s">
        <v>769</v>
      </c>
      <c r="G991" t="s">
        <v>22</v>
      </c>
      <c r="J991" s="9">
        <v>0</v>
      </c>
      <c r="K991" s="7">
        <v>0</v>
      </c>
      <c r="L991" s="7">
        <v>0</v>
      </c>
      <c r="M991" s="9">
        <v>1</v>
      </c>
      <c r="N991" s="7">
        <v>0.6</v>
      </c>
      <c r="O991" s="7">
        <v>6.7</v>
      </c>
      <c r="P991" s="7">
        <v>4.5999999999999996</v>
      </c>
      <c r="Q991" t="s">
        <v>39</v>
      </c>
      <c r="R991" s="7" t="str">
        <f>TEXT(Table1[[#This Row],[Date]],"mmm yyyy")</f>
        <v>Feb 2026</v>
      </c>
      <c r="S991" s="9">
        <f>YEAR(Table1[[#This Row],[Date]])</f>
        <v>2026</v>
      </c>
      <c r="T991" s="9"/>
      <c r="U991" s="9"/>
    </row>
    <row r="992" spans="1:21" hidden="1" x14ac:dyDescent="0.3">
      <c r="A992" t="s">
        <v>1567</v>
      </c>
      <c r="B992" s="6">
        <v>46212</v>
      </c>
      <c r="C992" t="s">
        <v>26</v>
      </c>
      <c r="D992" t="s">
        <v>27</v>
      </c>
      <c r="E992" t="s">
        <v>28</v>
      </c>
      <c r="F992" t="s">
        <v>49</v>
      </c>
      <c r="G992" t="s">
        <v>22</v>
      </c>
      <c r="J992" s="9">
        <v>0</v>
      </c>
      <c r="K992" s="7">
        <v>0</v>
      </c>
      <c r="L992" s="7">
        <v>0</v>
      </c>
      <c r="M992" s="9">
        <v>1</v>
      </c>
      <c r="N992" s="7">
        <v>6.2</v>
      </c>
      <c r="O992" s="7">
        <v>8.4</v>
      </c>
      <c r="P992" s="7">
        <v>4.4000000000000004</v>
      </c>
      <c r="Q992" t="s">
        <v>39</v>
      </c>
      <c r="R992" s="7" t="str">
        <f>TEXT(Table1[[#This Row],[Date]],"mmm yyyy")</f>
        <v>Jul 2026</v>
      </c>
      <c r="S992" s="9">
        <f>YEAR(Table1[[#This Row],[Date]])</f>
        <v>2026</v>
      </c>
      <c r="T992" s="9"/>
      <c r="U992" s="9"/>
    </row>
    <row r="993" spans="1:21" hidden="1" x14ac:dyDescent="0.3">
      <c r="A993" t="s">
        <v>1568</v>
      </c>
      <c r="B993" s="6">
        <v>46136</v>
      </c>
      <c r="C993" t="s">
        <v>26</v>
      </c>
      <c r="D993" t="s">
        <v>232</v>
      </c>
      <c r="E993" t="s">
        <v>20</v>
      </c>
      <c r="F993" t="s">
        <v>1006</v>
      </c>
      <c r="G993" t="s">
        <v>22</v>
      </c>
      <c r="J993" s="9">
        <v>0</v>
      </c>
      <c r="K993" s="7">
        <v>0</v>
      </c>
      <c r="L993" s="7">
        <v>0</v>
      </c>
      <c r="M993" s="9">
        <v>1</v>
      </c>
      <c r="N993" s="7">
        <v>5.5</v>
      </c>
      <c r="O993" s="7">
        <v>2</v>
      </c>
      <c r="P993" s="7">
        <v>3.2</v>
      </c>
      <c r="Q993" t="s">
        <v>31</v>
      </c>
      <c r="R993" s="7" t="str">
        <f>TEXT(Table1[[#This Row],[Date]],"mmm yyyy")</f>
        <v>Apr 2026</v>
      </c>
      <c r="S993" s="9">
        <f>YEAR(Table1[[#This Row],[Date]])</f>
        <v>2026</v>
      </c>
      <c r="T993" s="9"/>
      <c r="U993" s="9"/>
    </row>
    <row r="994" spans="1:21" x14ac:dyDescent="0.3">
      <c r="A994" t="s">
        <v>1569</v>
      </c>
      <c r="B994" s="6">
        <v>46033</v>
      </c>
      <c r="C994" t="s">
        <v>18</v>
      </c>
      <c r="D994" t="s">
        <v>52</v>
      </c>
      <c r="E994" t="s">
        <v>48</v>
      </c>
      <c r="F994" t="s">
        <v>435</v>
      </c>
      <c r="G994" t="s">
        <v>22</v>
      </c>
      <c r="H994" t="s">
        <v>54</v>
      </c>
      <c r="I994" t="s">
        <v>67</v>
      </c>
      <c r="J994" s="9">
        <v>1</v>
      </c>
      <c r="K994" s="7">
        <v>29200</v>
      </c>
      <c r="L994" s="7">
        <v>0</v>
      </c>
      <c r="M994" s="9"/>
      <c r="N994" s="7">
        <v>23.9</v>
      </c>
      <c r="O994" s="7"/>
      <c r="P994" s="7"/>
      <c r="Q994" t="s">
        <v>67</v>
      </c>
      <c r="R994" s="7" t="str">
        <f>TEXT(Table1[[#This Row],[Date]],"mmm yyyy")</f>
        <v>Jan 2026</v>
      </c>
      <c r="S994" s="9">
        <f>YEAR(Table1[[#This Row],[Date]])</f>
        <v>2026</v>
      </c>
      <c r="T994" s="9"/>
      <c r="U994" s="9"/>
    </row>
    <row r="995" spans="1:21" hidden="1" x14ac:dyDescent="0.3">
      <c r="A995" t="s">
        <v>1570</v>
      </c>
      <c r="B995" s="6">
        <v>46083</v>
      </c>
      <c r="C995" t="s">
        <v>26</v>
      </c>
      <c r="D995" t="s">
        <v>36</v>
      </c>
      <c r="E995" t="s">
        <v>42</v>
      </c>
      <c r="F995" t="s">
        <v>1450</v>
      </c>
      <c r="G995" t="s">
        <v>50</v>
      </c>
      <c r="J995" s="9">
        <v>0</v>
      </c>
      <c r="K995" s="7">
        <v>0</v>
      </c>
      <c r="L995" s="7">
        <v>0</v>
      </c>
      <c r="M995" s="9">
        <v>1</v>
      </c>
      <c r="N995" s="7">
        <v>8.6</v>
      </c>
      <c r="O995" s="7">
        <v>5.5</v>
      </c>
      <c r="P995" s="7">
        <v>5</v>
      </c>
      <c r="Q995" t="s">
        <v>225</v>
      </c>
      <c r="R995" s="7" t="str">
        <f>TEXT(Table1[[#This Row],[Date]],"mmm yyyy")</f>
        <v>Mar 2026</v>
      </c>
      <c r="S995" s="9">
        <f>YEAR(Table1[[#This Row],[Date]])</f>
        <v>2026</v>
      </c>
      <c r="T995" s="9"/>
      <c r="U995" s="9"/>
    </row>
    <row r="996" spans="1:21" x14ac:dyDescent="0.3">
      <c r="A996" t="s">
        <v>1571</v>
      </c>
      <c r="B996" s="6">
        <v>46167</v>
      </c>
      <c r="C996" t="s">
        <v>18</v>
      </c>
      <c r="D996" t="s">
        <v>117</v>
      </c>
      <c r="E996" t="s">
        <v>20</v>
      </c>
      <c r="F996" t="s">
        <v>1180</v>
      </c>
      <c r="G996" t="s">
        <v>50</v>
      </c>
      <c r="H996" t="s">
        <v>66</v>
      </c>
      <c r="I996" t="s">
        <v>45</v>
      </c>
      <c r="J996" s="9">
        <v>1</v>
      </c>
      <c r="K996" s="7">
        <v>25100</v>
      </c>
      <c r="L996" s="7">
        <v>0</v>
      </c>
      <c r="M996" s="9"/>
      <c r="N996" s="7">
        <v>1.6</v>
      </c>
      <c r="O996" s="7"/>
      <c r="P996" s="7"/>
      <c r="Q996" t="s">
        <v>45</v>
      </c>
      <c r="R996" s="7" t="str">
        <f>TEXT(Table1[[#This Row],[Date]],"mmm yyyy")</f>
        <v>May 2026</v>
      </c>
      <c r="S996" s="9">
        <f>YEAR(Table1[[#This Row],[Date]])</f>
        <v>2026</v>
      </c>
      <c r="T996" s="9"/>
      <c r="U996" s="9"/>
    </row>
    <row r="997" spans="1:21" x14ac:dyDescent="0.3">
      <c r="A997" t="s">
        <v>1572</v>
      </c>
      <c r="B997" s="6">
        <v>46163</v>
      </c>
      <c r="C997" t="s">
        <v>18</v>
      </c>
      <c r="D997" t="s">
        <v>47</v>
      </c>
      <c r="E997" t="s">
        <v>37</v>
      </c>
      <c r="F997" t="s">
        <v>1573</v>
      </c>
      <c r="G997" t="s">
        <v>30</v>
      </c>
      <c r="H997" t="s">
        <v>23</v>
      </c>
      <c r="I997" t="s">
        <v>55</v>
      </c>
      <c r="J997" s="9">
        <v>1</v>
      </c>
      <c r="K997" s="7">
        <v>10100</v>
      </c>
      <c r="L997" s="7">
        <v>0</v>
      </c>
      <c r="M997" s="9"/>
      <c r="N997" s="7">
        <v>7.5</v>
      </c>
      <c r="O997" s="7"/>
      <c r="P997" s="7"/>
      <c r="Q997" t="s">
        <v>55</v>
      </c>
      <c r="R997" s="7" t="str">
        <f>TEXT(Table1[[#This Row],[Date]],"mmm yyyy")</f>
        <v>May 2026</v>
      </c>
      <c r="S997" s="9">
        <f>YEAR(Table1[[#This Row],[Date]])</f>
        <v>2026</v>
      </c>
      <c r="T997" s="9"/>
      <c r="U997" s="9"/>
    </row>
    <row r="998" spans="1:21" hidden="1" x14ac:dyDescent="0.3">
      <c r="A998" t="s">
        <v>1574</v>
      </c>
      <c r="B998" s="6">
        <v>46113</v>
      </c>
      <c r="C998" t="s">
        <v>26</v>
      </c>
      <c r="D998" t="s">
        <v>33</v>
      </c>
      <c r="E998" t="s">
        <v>20</v>
      </c>
      <c r="F998" t="s">
        <v>1575</v>
      </c>
      <c r="G998" t="s">
        <v>30</v>
      </c>
      <c r="J998" s="9">
        <v>0</v>
      </c>
      <c r="K998" s="7">
        <v>0</v>
      </c>
      <c r="L998" s="7">
        <v>0</v>
      </c>
      <c r="M998" s="9">
        <v>1</v>
      </c>
      <c r="N998" s="7">
        <v>5.8</v>
      </c>
      <c r="O998" s="7">
        <v>11.9</v>
      </c>
      <c r="P998" s="7">
        <v>5</v>
      </c>
      <c r="Q998" t="s">
        <v>39</v>
      </c>
      <c r="R998" s="7" t="str">
        <f>TEXT(Table1[[#This Row],[Date]],"mmm yyyy")</f>
        <v>Apr 2026</v>
      </c>
      <c r="S998" s="9">
        <f>YEAR(Table1[[#This Row],[Date]])</f>
        <v>2026</v>
      </c>
      <c r="T998" s="9"/>
      <c r="U998" s="9"/>
    </row>
    <row r="999" spans="1:21" x14ac:dyDescent="0.3">
      <c r="A999" t="s">
        <v>1576</v>
      </c>
      <c r="B999" s="6">
        <v>45954</v>
      </c>
      <c r="C999" t="s">
        <v>18</v>
      </c>
      <c r="D999" t="s">
        <v>19</v>
      </c>
      <c r="E999" t="s">
        <v>28</v>
      </c>
      <c r="F999" t="s">
        <v>256</v>
      </c>
      <c r="G999" t="s">
        <v>44</v>
      </c>
      <c r="H999" t="s">
        <v>78</v>
      </c>
      <c r="I999" t="s">
        <v>79</v>
      </c>
      <c r="J999" s="9">
        <v>1</v>
      </c>
      <c r="K999" s="7">
        <v>10600</v>
      </c>
      <c r="L999" s="7">
        <v>0</v>
      </c>
      <c r="M999" s="9"/>
      <c r="N999" s="7">
        <v>1.9</v>
      </c>
      <c r="O999" s="7"/>
      <c r="P999" s="7"/>
      <c r="Q999" t="s">
        <v>79</v>
      </c>
      <c r="R999" s="7" t="str">
        <f>TEXT(Table1[[#This Row],[Date]],"mmm yyyy")</f>
        <v>Oct 2025</v>
      </c>
      <c r="S999" s="9">
        <f>YEAR(Table1[[#This Row],[Date]])</f>
        <v>2025</v>
      </c>
      <c r="T999" s="9"/>
      <c r="U999" s="9"/>
    </row>
    <row r="1000" spans="1:21" hidden="1" x14ac:dyDescent="0.3">
      <c r="A1000" t="s">
        <v>1577</v>
      </c>
      <c r="B1000" s="6">
        <v>46093</v>
      </c>
      <c r="C1000" t="s">
        <v>26</v>
      </c>
      <c r="D1000" t="s">
        <v>27</v>
      </c>
      <c r="E1000" t="s">
        <v>20</v>
      </c>
      <c r="F1000" t="s">
        <v>1578</v>
      </c>
      <c r="G1000" t="s">
        <v>50</v>
      </c>
      <c r="J1000" s="9">
        <v>0</v>
      </c>
      <c r="K1000" s="7">
        <v>0</v>
      </c>
      <c r="L1000" s="7">
        <v>0</v>
      </c>
      <c r="M1000" s="9">
        <v>1</v>
      </c>
      <c r="N1000" s="7">
        <v>8.6</v>
      </c>
      <c r="O1000" s="7">
        <v>8.1999999999999993</v>
      </c>
      <c r="P1000" s="7">
        <v>3.5</v>
      </c>
      <c r="Q1000" t="s">
        <v>225</v>
      </c>
      <c r="R1000" s="7" t="str">
        <f>TEXT(Table1[[#This Row],[Date]],"mmm yyyy")</f>
        <v>Mar 2026</v>
      </c>
      <c r="S1000" s="9">
        <f>YEAR(Table1[[#This Row],[Date]])</f>
        <v>2026</v>
      </c>
      <c r="T1000" s="9"/>
      <c r="U1000" s="9"/>
    </row>
    <row r="1001" spans="1:21" x14ac:dyDescent="0.3">
      <c r="A1001" t="s">
        <v>1579</v>
      </c>
      <c r="B1001" s="6">
        <v>46011</v>
      </c>
      <c r="C1001" t="s">
        <v>18</v>
      </c>
      <c r="D1001" t="s">
        <v>19</v>
      </c>
      <c r="E1001" t="s">
        <v>20</v>
      </c>
      <c r="F1001" t="s">
        <v>290</v>
      </c>
      <c r="G1001" t="s">
        <v>30</v>
      </c>
      <c r="H1001" t="s">
        <v>78</v>
      </c>
      <c r="I1001" t="s">
        <v>24</v>
      </c>
      <c r="J1001" s="9">
        <v>1</v>
      </c>
      <c r="K1001" s="7">
        <v>25200</v>
      </c>
      <c r="L1001" s="7">
        <v>25200</v>
      </c>
      <c r="M1001" s="9"/>
      <c r="N1001" s="7">
        <v>3.8</v>
      </c>
      <c r="O1001" s="7"/>
      <c r="P1001" s="7"/>
      <c r="Q1001" t="s">
        <v>24</v>
      </c>
      <c r="R1001" s="7" t="str">
        <f>TEXT(Table1[[#This Row],[Date]],"mmm yyyy")</f>
        <v>Dec 2025</v>
      </c>
      <c r="S1001" s="9">
        <f>YEAR(Table1[[#This Row],[Date]])</f>
        <v>2025</v>
      </c>
      <c r="T1001" s="9"/>
      <c r="U1001" s="9"/>
    </row>
    <row r="1002" spans="1:21" x14ac:dyDescent="0.3">
      <c r="A1002" t="s">
        <v>1580</v>
      </c>
      <c r="B1002" s="6">
        <v>46064</v>
      </c>
      <c r="C1002" t="s">
        <v>18</v>
      </c>
      <c r="D1002" t="s">
        <v>47</v>
      </c>
      <c r="E1002" t="s">
        <v>42</v>
      </c>
      <c r="F1002" t="s">
        <v>1166</v>
      </c>
      <c r="G1002" t="s">
        <v>50</v>
      </c>
      <c r="H1002" t="s">
        <v>78</v>
      </c>
      <c r="I1002" t="s">
        <v>67</v>
      </c>
      <c r="J1002" s="9">
        <v>1</v>
      </c>
      <c r="K1002" s="7">
        <v>10100</v>
      </c>
      <c r="L1002" s="7">
        <v>0</v>
      </c>
      <c r="M1002" s="9"/>
      <c r="N1002" s="7">
        <v>12</v>
      </c>
      <c r="O1002" s="7"/>
      <c r="P1002" s="7"/>
      <c r="Q1002" t="s">
        <v>67</v>
      </c>
      <c r="R1002" s="7" t="str">
        <f>TEXT(Table1[[#This Row],[Date]],"mmm yyyy")</f>
        <v>Feb 2026</v>
      </c>
      <c r="S1002" s="9">
        <f>YEAR(Table1[[#This Row],[Date]])</f>
        <v>2026</v>
      </c>
      <c r="T1002" s="9"/>
      <c r="U1002" s="9"/>
    </row>
    <row r="1003" spans="1:21" x14ac:dyDescent="0.3">
      <c r="A1003" t="s">
        <v>1581</v>
      </c>
      <c r="B1003" s="6">
        <v>45968</v>
      </c>
      <c r="C1003" t="s">
        <v>18</v>
      </c>
      <c r="D1003" t="s">
        <v>19</v>
      </c>
      <c r="E1003" t="s">
        <v>20</v>
      </c>
      <c r="F1003" t="s">
        <v>1582</v>
      </c>
      <c r="G1003" t="s">
        <v>30</v>
      </c>
      <c r="H1003" t="s">
        <v>86</v>
      </c>
      <c r="I1003" t="s">
        <v>55</v>
      </c>
      <c r="J1003" s="9">
        <v>1</v>
      </c>
      <c r="K1003" s="7">
        <v>14700</v>
      </c>
      <c r="L1003" s="7">
        <v>0</v>
      </c>
      <c r="M1003" s="9"/>
      <c r="N1003" s="7">
        <v>2.9</v>
      </c>
      <c r="O1003" s="7"/>
      <c r="P1003" s="7"/>
      <c r="Q1003" t="s">
        <v>55</v>
      </c>
      <c r="R1003" s="7" t="str">
        <f>TEXT(Table1[[#This Row],[Date]],"mmm yyyy")</f>
        <v>Nov 2025</v>
      </c>
      <c r="S1003" s="9">
        <f>YEAR(Table1[[#This Row],[Date]])</f>
        <v>2025</v>
      </c>
      <c r="T1003" s="9"/>
      <c r="U1003" s="9"/>
    </row>
    <row r="1004" spans="1:21" hidden="1" x14ac:dyDescent="0.3">
      <c r="A1004" t="s">
        <v>1583</v>
      </c>
      <c r="B1004" s="6">
        <v>46163</v>
      </c>
      <c r="C1004" t="s">
        <v>26</v>
      </c>
      <c r="D1004" t="s">
        <v>69</v>
      </c>
      <c r="E1004" t="s">
        <v>28</v>
      </c>
      <c r="F1004" t="s">
        <v>1531</v>
      </c>
      <c r="G1004" t="s">
        <v>50</v>
      </c>
      <c r="J1004" s="9">
        <v>0</v>
      </c>
      <c r="K1004" s="7">
        <v>0</v>
      </c>
      <c r="L1004" s="7">
        <v>0</v>
      </c>
      <c r="M1004" s="9">
        <v>1</v>
      </c>
      <c r="N1004" s="7">
        <v>10.4</v>
      </c>
      <c r="O1004" s="7">
        <v>5.4</v>
      </c>
      <c r="P1004" s="7">
        <v>5</v>
      </c>
      <c r="Q1004" t="s">
        <v>62</v>
      </c>
      <c r="R1004" s="7" t="str">
        <f>TEXT(Table1[[#This Row],[Date]],"mmm yyyy")</f>
        <v>May 2026</v>
      </c>
      <c r="S1004" s="9">
        <f>YEAR(Table1[[#This Row],[Date]])</f>
        <v>2026</v>
      </c>
      <c r="T1004" s="9"/>
      <c r="U1004" s="9"/>
    </row>
    <row r="1005" spans="1:21" hidden="1" x14ac:dyDescent="0.3">
      <c r="A1005" t="s">
        <v>1584</v>
      </c>
      <c r="B1005" s="6">
        <v>46024</v>
      </c>
      <c r="C1005" t="s">
        <v>26</v>
      </c>
      <c r="D1005" t="s">
        <v>126</v>
      </c>
      <c r="E1005" t="s">
        <v>20</v>
      </c>
      <c r="F1005" t="s">
        <v>744</v>
      </c>
      <c r="G1005" t="s">
        <v>30</v>
      </c>
      <c r="J1005" s="9">
        <v>0</v>
      </c>
      <c r="K1005" s="7">
        <v>0</v>
      </c>
      <c r="L1005" s="7">
        <v>0</v>
      </c>
      <c r="M1005" s="9">
        <v>1</v>
      </c>
      <c r="N1005" s="7">
        <v>5.6</v>
      </c>
      <c r="O1005" s="7">
        <v>7.4</v>
      </c>
      <c r="P1005" s="7">
        <v>4.9000000000000004</v>
      </c>
      <c r="Q1005" t="s">
        <v>39</v>
      </c>
      <c r="R1005" s="7" t="str">
        <f>TEXT(Table1[[#This Row],[Date]],"mmm yyyy")</f>
        <v>Jan 2026</v>
      </c>
      <c r="S1005" s="9">
        <f>YEAR(Table1[[#This Row],[Date]])</f>
        <v>2026</v>
      </c>
      <c r="T1005" s="9"/>
      <c r="U1005" s="9"/>
    </row>
    <row r="1006" spans="1:21" hidden="1" x14ac:dyDescent="0.3">
      <c r="A1006" t="s">
        <v>1585</v>
      </c>
      <c r="B1006" s="6">
        <v>46057</v>
      </c>
      <c r="C1006" t="s">
        <v>26</v>
      </c>
      <c r="D1006" t="s">
        <v>27</v>
      </c>
      <c r="E1006" t="s">
        <v>20</v>
      </c>
      <c r="F1006" t="s">
        <v>1217</v>
      </c>
      <c r="G1006" t="s">
        <v>22</v>
      </c>
      <c r="J1006" s="9">
        <v>0</v>
      </c>
      <c r="K1006" s="7">
        <v>0</v>
      </c>
      <c r="L1006" s="7">
        <v>0</v>
      </c>
      <c r="M1006" s="9">
        <v>1</v>
      </c>
      <c r="N1006" s="7">
        <v>10.3</v>
      </c>
      <c r="O1006" s="7">
        <v>4.4000000000000004</v>
      </c>
      <c r="P1006" s="7">
        <v>4.2</v>
      </c>
      <c r="Q1006" t="s">
        <v>39</v>
      </c>
      <c r="R1006" s="7" t="str">
        <f>TEXT(Table1[[#This Row],[Date]],"mmm yyyy")</f>
        <v>Feb 2026</v>
      </c>
      <c r="S1006" s="9">
        <f>YEAR(Table1[[#This Row],[Date]])</f>
        <v>2026</v>
      </c>
      <c r="T1006" s="9"/>
      <c r="U1006" s="9"/>
    </row>
    <row r="1007" spans="1:21" hidden="1" x14ac:dyDescent="0.3">
      <c r="A1007" t="s">
        <v>1586</v>
      </c>
      <c r="B1007" s="6">
        <v>45915</v>
      </c>
      <c r="C1007" t="s">
        <v>26</v>
      </c>
      <c r="D1007" t="s">
        <v>36</v>
      </c>
      <c r="E1007" t="s">
        <v>20</v>
      </c>
      <c r="F1007" t="s">
        <v>1587</v>
      </c>
      <c r="G1007" t="s">
        <v>50</v>
      </c>
      <c r="J1007" s="9">
        <v>0</v>
      </c>
      <c r="K1007" s="7">
        <v>0</v>
      </c>
      <c r="L1007" s="7">
        <v>0</v>
      </c>
      <c r="M1007" s="9">
        <v>1</v>
      </c>
      <c r="N1007" s="7">
        <v>10.4</v>
      </c>
      <c r="O1007" s="7">
        <v>28.9</v>
      </c>
      <c r="P1007" s="7">
        <v>5</v>
      </c>
      <c r="Q1007" t="s">
        <v>62</v>
      </c>
      <c r="R1007" s="7" t="str">
        <f>TEXT(Table1[[#This Row],[Date]],"mmm yyyy")</f>
        <v>Sep 2025</v>
      </c>
      <c r="S1007" s="9">
        <f>YEAR(Table1[[#This Row],[Date]])</f>
        <v>2025</v>
      </c>
      <c r="T1007" s="9"/>
      <c r="U1007" s="9"/>
    </row>
    <row r="1008" spans="1:21" hidden="1" x14ac:dyDescent="0.3">
      <c r="A1008" t="s">
        <v>1588</v>
      </c>
      <c r="B1008" s="6">
        <v>46126</v>
      </c>
      <c r="C1008" t="s">
        <v>26</v>
      </c>
      <c r="D1008" t="s">
        <v>114</v>
      </c>
      <c r="E1008" t="s">
        <v>37</v>
      </c>
      <c r="F1008" t="s">
        <v>716</v>
      </c>
      <c r="G1008" t="s">
        <v>30</v>
      </c>
      <c r="J1008" s="9">
        <v>0</v>
      </c>
      <c r="K1008" s="7">
        <v>0</v>
      </c>
      <c r="L1008" s="7">
        <v>0</v>
      </c>
      <c r="M1008" s="9">
        <v>1</v>
      </c>
      <c r="N1008" s="7">
        <v>6.1</v>
      </c>
      <c r="O1008" s="7">
        <v>3.2</v>
      </c>
      <c r="P1008" s="7">
        <v>4.5</v>
      </c>
      <c r="Q1008" t="s">
        <v>39</v>
      </c>
      <c r="R1008" s="7" t="str">
        <f>TEXT(Table1[[#This Row],[Date]],"mmm yyyy")</f>
        <v>Apr 2026</v>
      </c>
      <c r="S1008" s="9">
        <f>YEAR(Table1[[#This Row],[Date]])</f>
        <v>2026</v>
      </c>
      <c r="T1008" s="9"/>
      <c r="U1008" s="9"/>
    </row>
    <row r="1009" spans="1:21" hidden="1" x14ac:dyDescent="0.3">
      <c r="A1009" t="s">
        <v>1589</v>
      </c>
      <c r="B1009" s="6">
        <v>46141</v>
      </c>
      <c r="C1009" t="s">
        <v>26</v>
      </c>
      <c r="D1009" t="s">
        <v>232</v>
      </c>
      <c r="E1009" t="s">
        <v>42</v>
      </c>
      <c r="F1009" t="s">
        <v>1590</v>
      </c>
      <c r="G1009" t="s">
        <v>22</v>
      </c>
      <c r="J1009" s="9">
        <v>0</v>
      </c>
      <c r="K1009" s="7">
        <v>0</v>
      </c>
      <c r="L1009" s="7">
        <v>0</v>
      </c>
      <c r="M1009" s="9">
        <v>1</v>
      </c>
      <c r="N1009" s="7">
        <v>7.1</v>
      </c>
      <c r="O1009" s="7">
        <v>3.7</v>
      </c>
      <c r="P1009" s="7">
        <v>4.0999999999999996</v>
      </c>
      <c r="Q1009" t="s">
        <v>31</v>
      </c>
      <c r="R1009" s="7" t="str">
        <f>TEXT(Table1[[#This Row],[Date]],"mmm yyyy")</f>
        <v>Apr 2026</v>
      </c>
      <c r="S1009" s="9">
        <f>YEAR(Table1[[#This Row],[Date]])</f>
        <v>2026</v>
      </c>
      <c r="T1009" s="9"/>
      <c r="U1009" s="9"/>
    </row>
    <row r="1010" spans="1:21" x14ac:dyDescent="0.3">
      <c r="A1010" t="s">
        <v>1591</v>
      </c>
      <c r="B1010" s="6">
        <v>45920</v>
      </c>
      <c r="C1010" t="s">
        <v>18</v>
      </c>
      <c r="D1010" t="s">
        <v>95</v>
      </c>
      <c r="E1010" t="s">
        <v>42</v>
      </c>
      <c r="F1010" t="s">
        <v>252</v>
      </c>
      <c r="G1010" t="s">
        <v>22</v>
      </c>
      <c r="H1010" t="s">
        <v>23</v>
      </c>
      <c r="I1010" t="s">
        <v>67</v>
      </c>
      <c r="J1010" s="9">
        <v>1</v>
      </c>
      <c r="K1010" s="7">
        <v>28500</v>
      </c>
      <c r="L1010" s="7">
        <v>0</v>
      </c>
      <c r="M1010" s="9"/>
      <c r="N1010" s="7">
        <v>9.5</v>
      </c>
      <c r="O1010" s="7"/>
      <c r="P1010" s="7"/>
      <c r="Q1010" t="s">
        <v>67</v>
      </c>
      <c r="R1010" s="7" t="str">
        <f>TEXT(Table1[[#This Row],[Date]],"mmm yyyy")</f>
        <v>Sep 2025</v>
      </c>
      <c r="S1010" s="9">
        <f>YEAR(Table1[[#This Row],[Date]])</f>
        <v>2025</v>
      </c>
      <c r="T1010" s="9"/>
      <c r="U1010" s="9"/>
    </row>
    <row r="1011" spans="1:21" x14ac:dyDescent="0.3">
      <c r="A1011" t="s">
        <v>1592</v>
      </c>
      <c r="B1011" s="6">
        <v>45923</v>
      </c>
      <c r="C1011" t="s">
        <v>18</v>
      </c>
      <c r="D1011" t="s">
        <v>19</v>
      </c>
      <c r="E1011" t="s">
        <v>20</v>
      </c>
      <c r="F1011" t="s">
        <v>250</v>
      </c>
      <c r="G1011" t="s">
        <v>30</v>
      </c>
      <c r="H1011" t="s">
        <v>23</v>
      </c>
      <c r="I1011" t="s">
        <v>67</v>
      </c>
      <c r="J1011" s="9">
        <v>1</v>
      </c>
      <c r="K1011" s="7">
        <v>50200</v>
      </c>
      <c r="L1011" s="7">
        <v>0</v>
      </c>
      <c r="M1011" s="9"/>
      <c r="N1011" s="7">
        <v>20.3</v>
      </c>
      <c r="O1011" s="7"/>
      <c r="P1011" s="7"/>
      <c r="Q1011" t="s">
        <v>67</v>
      </c>
      <c r="R1011" s="7" t="str">
        <f>TEXT(Table1[[#This Row],[Date]],"mmm yyyy")</f>
        <v>Sep 2025</v>
      </c>
      <c r="S1011" s="9">
        <f>YEAR(Table1[[#This Row],[Date]])</f>
        <v>2025</v>
      </c>
      <c r="T1011" s="9"/>
      <c r="U1011" s="9"/>
    </row>
    <row r="1012" spans="1:21" x14ac:dyDescent="0.3">
      <c r="A1012" t="s">
        <v>1593</v>
      </c>
      <c r="B1012" s="6">
        <v>46087</v>
      </c>
      <c r="C1012" t="s">
        <v>18</v>
      </c>
      <c r="D1012" t="s">
        <v>95</v>
      </c>
      <c r="E1012" t="s">
        <v>28</v>
      </c>
      <c r="F1012" t="s">
        <v>419</v>
      </c>
      <c r="G1012" t="s">
        <v>22</v>
      </c>
      <c r="H1012" t="s">
        <v>86</v>
      </c>
      <c r="I1012" t="s">
        <v>55</v>
      </c>
      <c r="J1012" s="9">
        <v>1</v>
      </c>
      <c r="K1012" s="7">
        <v>13300</v>
      </c>
      <c r="L1012" s="7">
        <v>0</v>
      </c>
      <c r="M1012" s="9"/>
      <c r="N1012" s="7">
        <v>15.6</v>
      </c>
      <c r="O1012" s="7"/>
      <c r="P1012" s="7"/>
      <c r="Q1012" t="s">
        <v>55</v>
      </c>
      <c r="R1012" s="7" t="str">
        <f>TEXT(Table1[[#This Row],[Date]],"mmm yyyy")</f>
        <v>Mar 2026</v>
      </c>
      <c r="S1012" s="9">
        <f>YEAR(Table1[[#This Row],[Date]])</f>
        <v>2026</v>
      </c>
      <c r="T1012" s="9"/>
      <c r="U1012" s="9"/>
    </row>
    <row r="1013" spans="1:21" hidden="1" x14ac:dyDescent="0.3">
      <c r="A1013" t="s">
        <v>1594</v>
      </c>
      <c r="B1013" s="6">
        <v>46167</v>
      </c>
      <c r="C1013" t="s">
        <v>26</v>
      </c>
      <c r="D1013" t="s">
        <v>126</v>
      </c>
      <c r="E1013" t="s">
        <v>42</v>
      </c>
      <c r="F1013" t="s">
        <v>122</v>
      </c>
      <c r="G1013" t="s">
        <v>44</v>
      </c>
      <c r="J1013" s="9">
        <v>0</v>
      </c>
      <c r="K1013" s="7">
        <v>0</v>
      </c>
      <c r="L1013" s="7">
        <v>0</v>
      </c>
      <c r="M1013" s="9">
        <v>1</v>
      </c>
      <c r="N1013" s="7">
        <v>4.7</v>
      </c>
      <c r="O1013" s="7">
        <v>6.4</v>
      </c>
      <c r="P1013" s="7">
        <v>3.3</v>
      </c>
      <c r="Q1013" t="s">
        <v>31</v>
      </c>
      <c r="R1013" s="7" t="str">
        <f>TEXT(Table1[[#This Row],[Date]],"mmm yyyy")</f>
        <v>May 2026</v>
      </c>
      <c r="S1013" s="9">
        <f>YEAR(Table1[[#This Row],[Date]])</f>
        <v>2026</v>
      </c>
      <c r="T1013" s="9"/>
      <c r="U1013" s="9"/>
    </row>
    <row r="1014" spans="1:21" hidden="1" x14ac:dyDescent="0.3">
      <c r="A1014" t="s">
        <v>1595</v>
      </c>
      <c r="B1014" s="6">
        <v>46022</v>
      </c>
      <c r="C1014" t="s">
        <v>26</v>
      </c>
      <c r="D1014" t="s">
        <v>126</v>
      </c>
      <c r="E1014" t="s">
        <v>28</v>
      </c>
      <c r="F1014" t="s">
        <v>479</v>
      </c>
      <c r="G1014" t="s">
        <v>50</v>
      </c>
      <c r="J1014" s="9">
        <v>0</v>
      </c>
      <c r="K1014" s="7">
        <v>0</v>
      </c>
      <c r="L1014" s="7">
        <v>0</v>
      </c>
      <c r="M1014" s="9">
        <v>1</v>
      </c>
      <c r="N1014" s="7">
        <v>3.3</v>
      </c>
      <c r="O1014" s="7">
        <v>20.100000000000001</v>
      </c>
      <c r="P1014" s="7">
        <v>3.5</v>
      </c>
      <c r="Q1014" t="s">
        <v>225</v>
      </c>
      <c r="R1014" s="7" t="str">
        <f>TEXT(Table1[[#This Row],[Date]],"mmm yyyy")</f>
        <v>Dec 2025</v>
      </c>
      <c r="S1014" s="9">
        <f>YEAR(Table1[[#This Row],[Date]])</f>
        <v>2025</v>
      </c>
      <c r="T1014" s="9"/>
      <c r="U1014" s="9"/>
    </row>
    <row r="1015" spans="1:21" x14ac:dyDescent="0.3">
      <c r="A1015" t="s">
        <v>1596</v>
      </c>
      <c r="B1015" s="6">
        <v>45925</v>
      </c>
      <c r="C1015" t="s">
        <v>18</v>
      </c>
      <c r="D1015" t="s">
        <v>105</v>
      </c>
      <c r="E1015" t="s">
        <v>20</v>
      </c>
      <c r="F1015" t="s">
        <v>857</v>
      </c>
      <c r="G1015" t="s">
        <v>50</v>
      </c>
      <c r="H1015" t="s">
        <v>23</v>
      </c>
      <c r="I1015" t="s">
        <v>45</v>
      </c>
      <c r="J1015" s="9">
        <v>1</v>
      </c>
      <c r="K1015" s="7">
        <v>10300</v>
      </c>
      <c r="L1015" s="7">
        <v>0</v>
      </c>
      <c r="M1015" s="9"/>
      <c r="N1015" s="7">
        <v>3.9</v>
      </c>
      <c r="O1015" s="7"/>
      <c r="P1015" s="7"/>
      <c r="Q1015" t="s">
        <v>45</v>
      </c>
      <c r="R1015" s="7" t="str">
        <f>TEXT(Table1[[#This Row],[Date]],"mmm yyyy")</f>
        <v>Sep 2025</v>
      </c>
      <c r="S1015" s="9">
        <f>YEAR(Table1[[#This Row],[Date]])</f>
        <v>2025</v>
      </c>
      <c r="T1015" s="9"/>
      <c r="U1015" s="9"/>
    </row>
    <row r="1016" spans="1:21" hidden="1" x14ac:dyDescent="0.3">
      <c r="A1016" t="s">
        <v>1597</v>
      </c>
      <c r="B1016" s="6">
        <v>46002</v>
      </c>
      <c r="C1016" t="s">
        <v>26</v>
      </c>
      <c r="D1016" t="s">
        <v>72</v>
      </c>
      <c r="E1016" t="s">
        <v>20</v>
      </c>
      <c r="F1016" t="s">
        <v>1121</v>
      </c>
      <c r="G1016" t="s">
        <v>30</v>
      </c>
      <c r="J1016" s="9">
        <v>0</v>
      </c>
      <c r="K1016" s="7">
        <v>0</v>
      </c>
      <c r="L1016" s="7">
        <v>0</v>
      </c>
      <c r="M1016" s="9">
        <v>1</v>
      </c>
      <c r="N1016" s="7">
        <v>6.4</v>
      </c>
      <c r="O1016" s="7">
        <v>5.7</v>
      </c>
      <c r="P1016" s="7">
        <v>3.4</v>
      </c>
      <c r="Q1016" t="s">
        <v>39</v>
      </c>
      <c r="R1016" s="7" t="str">
        <f>TEXT(Table1[[#This Row],[Date]],"mmm yyyy")</f>
        <v>Dec 2025</v>
      </c>
      <c r="S1016" s="9">
        <f>YEAR(Table1[[#This Row],[Date]])</f>
        <v>2025</v>
      </c>
      <c r="T1016" s="9"/>
      <c r="U1016" s="9"/>
    </row>
    <row r="1017" spans="1:21" hidden="1" x14ac:dyDescent="0.3">
      <c r="A1017" t="s">
        <v>1598</v>
      </c>
      <c r="B1017" s="6">
        <v>46061</v>
      </c>
      <c r="C1017" t="s">
        <v>26</v>
      </c>
      <c r="D1017" t="s">
        <v>232</v>
      </c>
      <c r="E1017" t="s">
        <v>20</v>
      </c>
      <c r="F1017" t="s">
        <v>1599</v>
      </c>
      <c r="G1017" t="s">
        <v>30</v>
      </c>
      <c r="J1017" s="9">
        <v>0</v>
      </c>
      <c r="K1017" s="7">
        <v>0</v>
      </c>
      <c r="L1017" s="7">
        <v>0</v>
      </c>
      <c r="M1017" s="9">
        <v>1</v>
      </c>
      <c r="N1017" s="7">
        <v>7.5</v>
      </c>
      <c r="O1017" s="7">
        <v>10.1</v>
      </c>
      <c r="P1017" s="7">
        <v>3.3</v>
      </c>
      <c r="Q1017" t="s">
        <v>39</v>
      </c>
      <c r="R1017" s="7" t="str">
        <f>TEXT(Table1[[#This Row],[Date]],"mmm yyyy")</f>
        <v>Feb 2026</v>
      </c>
      <c r="S1017" s="9">
        <f>YEAR(Table1[[#This Row],[Date]])</f>
        <v>2026</v>
      </c>
      <c r="T1017" s="9"/>
      <c r="U1017" s="9"/>
    </row>
    <row r="1018" spans="1:21" x14ac:dyDescent="0.3">
      <c r="A1018" t="s">
        <v>1600</v>
      </c>
      <c r="B1018" s="6">
        <v>46210</v>
      </c>
      <c r="C1018" t="s">
        <v>18</v>
      </c>
      <c r="D1018" t="s">
        <v>19</v>
      </c>
      <c r="E1018" t="s">
        <v>20</v>
      </c>
      <c r="F1018" t="s">
        <v>1543</v>
      </c>
      <c r="G1018" t="s">
        <v>30</v>
      </c>
      <c r="H1018" t="s">
        <v>23</v>
      </c>
      <c r="I1018" t="s">
        <v>45</v>
      </c>
      <c r="J1018" s="9">
        <v>1</v>
      </c>
      <c r="K1018" s="7">
        <v>43100</v>
      </c>
      <c r="L1018" s="7">
        <v>0</v>
      </c>
      <c r="M1018" s="9"/>
      <c r="N1018" s="7">
        <v>6.4</v>
      </c>
      <c r="O1018" s="7"/>
      <c r="P1018" s="7"/>
      <c r="Q1018" t="s">
        <v>45</v>
      </c>
      <c r="R1018" s="7" t="str">
        <f>TEXT(Table1[[#This Row],[Date]],"mmm yyyy")</f>
        <v>Jul 2026</v>
      </c>
      <c r="S1018" s="9">
        <f>YEAR(Table1[[#This Row],[Date]])</f>
        <v>2026</v>
      </c>
      <c r="T1018" s="9"/>
      <c r="U1018" s="9"/>
    </row>
    <row r="1019" spans="1:21" hidden="1" x14ac:dyDescent="0.3">
      <c r="A1019" t="s">
        <v>1601</v>
      </c>
      <c r="B1019" s="6">
        <v>45907</v>
      </c>
      <c r="C1019" t="s">
        <v>26</v>
      </c>
      <c r="D1019" t="s">
        <v>36</v>
      </c>
      <c r="E1019" t="s">
        <v>28</v>
      </c>
      <c r="F1019" t="s">
        <v>180</v>
      </c>
      <c r="G1019" t="s">
        <v>22</v>
      </c>
      <c r="J1019" s="9">
        <v>0</v>
      </c>
      <c r="K1019" s="7">
        <v>0</v>
      </c>
      <c r="L1019" s="7">
        <v>0</v>
      </c>
      <c r="M1019" s="9">
        <v>1</v>
      </c>
      <c r="N1019" s="7">
        <v>10.199999999999999</v>
      </c>
      <c r="O1019" s="7">
        <v>14.7</v>
      </c>
      <c r="P1019" s="7">
        <v>3</v>
      </c>
      <c r="Q1019" t="s">
        <v>39</v>
      </c>
      <c r="R1019" s="7" t="str">
        <f>TEXT(Table1[[#This Row],[Date]],"mmm yyyy")</f>
        <v>Sep 2025</v>
      </c>
      <c r="S1019" s="9">
        <f>YEAR(Table1[[#This Row],[Date]])</f>
        <v>2025</v>
      </c>
      <c r="T1019" s="9"/>
      <c r="U1019" s="9"/>
    </row>
    <row r="1020" spans="1:21" hidden="1" x14ac:dyDescent="0.3">
      <c r="A1020" t="s">
        <v>1602</v>
      </c>
      <c r="B1020" s="6">
        <v>46112</v>
      </c>
      <c r="C1020" t="s">
        <v>26</v>
      </c>
      <c r="D1020" t="s">
        <v>126</v>
      </c>
      <c r="E1020" t="s">
        <v>48</v>
      </c>
      <c r="F1020" t="s">
        <v>1359</v>
      </c>
      <c r="G1020" t="s">
        <v>22</v>
      </c>
      <c r="J1020" s="9">
        <v>0</v>
      </c>
      <c r="K1020" s="7">
        <v>0</v>
      </c>
      <c r="L1020" s="7">
        <v>0</v>
      </c>
      <c r="M1020" s="9">
        <v>1</v>
      </c>
      <c r="N1020" s="7">
        <v>6.2</v>
      </c>
      <c r="O1020" s="7">
        <v>21.5</v>
      </c>
      <c r="P1020" s="7">
        <v>3.9</v>
      </c>
      <c r="Q1020" t="s">
        <v>62</v>
      </c>
      <c r="R1020" s="7" t="str">
        <f>TEXT(Table1[[#This Row],[Date]],"mmm yyyy")</f>
        <v>Mar 2026</v>
      </c>
      <c r="S1020" s="9">
        <f>YEAR(Table1[[#This Row],[Date]])</f>
        <v>2026</v>
      </c>
      <c r="T1020" s="9"/>
      <c r="U1020" s="9"/>
    </row>
    <row r="1021" spans="1:21" x14ac:dyDescent="0.3">
      <c r="A1021" t="s">
        <v>1603</v>
      </c>
      <c r="B1021" s="6">
        <v>46013</v>
      </c>
      <c r="C1021" t="s">
        <v>18</v>
      </c>
      <c r="D1021" t="s">
        <v>41</v>
      </c>
      <c r="E1021" t="s">
        <v>20</v>
      </c>
      <c r="F1021" t="s">
        <v>1516</v>
      </c>
      <c r="G1021" t="s">
        <v>44</v>
      </c>
      <c r="H1021" t="s">
        <v>78</v>
      </c>
      <c r="I1021" t="s">
        <v>45</v>
      </c>
      <c r="J1021" s="9">
        <v>1</v>
      </c>
      <c r="K1021" s="7">
        <v>40300</v>
      </c>
      <c r="L1021" s="7">
        <v>0</v>
      </c>
      <c r="M1021" s="9"/>
      <c r="N1021" s="7">
        <v>17.3</v>
      </c>
      <c r="O1021" s="7"/>
      <c r="P1021" s="7"/>
      <c r="Q1021" t="s">
        <v>45</v>
      </c>
      <c r="R1021" s="7" t="str">
        <f>TEXT(Table1[[#This Row],[Date]],"mmm yyyy")</f>
        <v>Dec 2025</v>
      </c>
      <c r="S1021" s="9">
        <f>YEAR(Table1[[#This Row],[Date]])</f>
        <v>2025</v>
      </c>
      <c r="T1021" s="9"/>
      <c r="U1021" s="9"/>
    </row>
    <row r="1022" spans="1:21" hidden="1" x14ac:dyDescent="0.3">
      <c r="A1022" t="s">
        <v>1604</v>
      </c>
      <c r="B1022" s="6">
        <v>46084</v>
      </c>
      <c r="C1022" t="s">
        <v>26</v>
      </c>
      <c r="D1022" t="s">
        <v>114</v>
      </c>
      <c r="E1022" t="s">
        <v>20</v>
      </c>
      <c r="F1022" t="s">
        <v>1090</v>
      </c>
      <c r="G1022" t="s">
        <v>22</v>
      </c>
      <c r="J1022" s="9">
        <v>0</v>
      </c>
      <c r="K1022" s="7">
        <v>0</v>
      </c>
      <c r="L1022" s="7">
        <v>0</v>
      </c>
      <c r="M1022" s="9">
        <v>1</v>
      </c>
      <c r="N1022" s="7">
        <v>5.4</v>
      </c>
      <c r="O1022" s="7">
        <v>7</v>
      </c>
      <c r="P1022" s="7">
        <v>1.9</v>
      </c>
      <c r="Q1022" t="s">
        <v>62</v>
      </c>
      <c r="R1022" s="7" t="str">
        <f>TEXT(Table1[[#This Row],[Date]],"mmm yyyy")</f>
        <v>Mar 2026</v>
      </c>
      <c r="S1022" s="9">
        <f>YEAR(Table1[[#This Row],[Date]])</f>
        <v>2026</v>
      </c>
      <c r="T1022" s="9"/>
      <c r="U1022" s="9"/>
    </row>
    <row r="1023" spans="1:21" x14ac:dyDescent="0.3">
      <c r="A1023" t="s">
        <v>1605</v>
      </c>
      <c r="B1023" s="6">
        <v>46136</v>
      </c>
      <c r="C1023" t="s">
        <v>18</v>
      </c>
      <c r="D1023" t="s">
        <v>52</v>
      </c>
      <c r="E1023" t="s">
        <v>28</v>
      </c>
      <c r="F1023" t="s">
        <v>1146</v>
      </c>
      <c r="G1023" t="s">
        <v>30</v>
      </c>
      <c r="H1023" t="s">
        <v>66</v>
      </c>
      <c r="I1023" t="s">
        <v>79</v>
      </c>
      <c r="J1023" s="9">
        <v>1</v>
      </c>
      <c r="K1023" s="7">
        <v>115600</v>
      </c>
      <c r="L1023" s="7">
        <v>0</v>
      </c>
      <c r="M1023" s="9"/>
      <c r="N1023" s="7">
        <v>2.6</v>
      </c>
      <c r="O1023" s="7"/>
      <c r="P1023" s="7"/>
      <c r="Q1023" t="s">
        <v>79</v>
      </c>
      <c r="R1023" s="7" t="str">
        <f>TEXT(Table1[[#This Row],[Date]],"mmm yyyy")</f>
        <v>Apr 2026</v>
      </c>
      <c r="S1023" s="9">
        <f>YEAR(Table1[[#This Row],[Date]])</f>
        <v>2026</v>
      </c>
      <c r="T1023" s="9"/>
      <c r="U1023" s="9"/>
    </row>
    <row r="1024" spans="1:21" hidden="1" x14ac:dyDescent="0.3">
      <c r="A1024" t="s">
        <v>1606</v>
      </c>
      <c r="B1024" s="6">
        <v>45985</v>
      </c>
      <c r="C1024" t="s">
        <v>26</v>
      </c>
      <c r="D1024" t="s">
        <v>69</v>
      </c>
      <c r="E1024" t="s">
        <v>20</v>
      </c>
      <c r="F1024" t="s">
        <v>589</v>
      </c>
      <c r="G1024" t="s">
        <v>30</v>
      </c>
      <c r="J1024" s="9">
        <v>0</v>
      </c>
      <c r="K1024" s="7">
        <v>0</v>
      </c>
      <c r="L1024" s="7">
        <v>0</v>
      </c>
      <c r="M1024" s="9">
        <v>1</v>
      </c>
      <c r="N1024" s="7">
        <v>0.9</v>
      </c>
      <c r="O1024" s="7">
        <v>12.4</v>
      </c>
      <c r="P1024" s="7">
        <v>4.7</v>
      </c>
      <c r="Q1024" t="s">
        <v>31</v>
      </c>
      <c r="R1024" s="7" t="str">
        <f>TEXT(Table1[[#This Row],[Date]],"mmm yyyy")</f>
        <v>Nov 2025</v>
      </c>
      <c r="S1024" s="9">
        <f>YEAR(Table1[[#This Row],[Date]])</f>
        <v>2025</v>
      </c>
      <c r="T1024" s="9"/>
      <c r="U1024" s="9"/>
    </row>
    <row r="1025" spans="1:21" hidden="1" x14ac:dyDescent="0.3">
      <c r="A1025" t="s">
        <v>1607</v>
      </c>
      <c r="B1025" s="6">
        <v>46080</v>
      </c>
      <c r="C1025" t="s">
        <v>26</v>
      </c>
      <c r="D1025" t="s">
        <v>36</v>
      </c>
      <c r="E1025" t="s">
        <v>20</v>
      </c>
      <c r="F1025" t="s">
        <v>740</v>
      </c>
      <c r="G1025" t="s">
        <v>22</v>
      </c>
      <c r="J1025" s="9">
        <v>0</v>
      </c>
      <c r="K1025" s="7">
        <v>0</v>
      </c>
      <c r="L1025" s="7">
        <v>0</v>
      </c>
      <c r="M1025" s="9">
        <v>1</v>
      </c>
      <c r="N1025" s="7">
        <v>1.2</v>
      </c>
      <c r="O1025" s="7">
        <v>42.7</v>
      </c>
      <c r="P1025" s="7">
        <v>3.4</v>
      </c>
      <c r="Q1025" t="s">
        <v>39</v>
      </c>
      <c r="R1025" s="7" t="str">
        <f>TEXT(Table1[[#This Row],[Date]],"mmm yyyy")</f>
        <v>Feb 2026</v>
      </c>
      <c r="S1025" s="9">
        <f>YEAR(Table1[[#This Row],[Date]])</f>
        <v>2026</v>
      </c>
      <c r="T1025" s="9"/>
      <c r="U1025" s="9"/>
    </row>
    <row r="1026" spans="1:21" hidden="1" x14ac:dyDescent="0.3">
      <c r="A1026" t="s">
        <v>1608</v>
      </c>
      <c r="B1026" s="6">
        <v>46103</v>
      </c>
      <c r="C1026" t="s">
        <v>26</v>
      </c>
      <c r="D1026" t="s">
        <v>27</v>
      </c>
      <c r="E1026" t="s">
        <v>20</v>
      </c>
      <c r="F1026" t="s">
        <v>1609</v>
      </c>
      <c r="G1026" t="s">
        <v>22</v>
      </c>
      <c r="J1026" s="9">
        <v>0</v>
      </c>
      <c r="K1026" s="7">
        <v>0</v>
      </c>
      <c r="L1026" s="7">
        <v>0</v>
      </c>
      <c r="M1026" s="9">
        <v>1</v>
      </c>
      <c r="N1026" s="7">
        <v>3.9</v>
      </c>
      <c r="O1026" s="7">
        <v>19.7</v>
      </c>
      <c r="P1026" s="7">
        <v>5</v>
      </c>
      <c r="Q1026" t="s">
        <v>39</v>
      </c>
      <c r="R1026" s="7" t="str">
        <f>TEXT(Table1[[#This Row],[Date]],"mmm yyyy")</f>
        <v>Mar 2026</v>
      </c>
      <c r="S1026" s="9">
        <f>YEAR(Table1[[#This Row],[Date]])</f>
        <v>2026</v>
      </c>
      <c r="T1026" s="9"/>
      <c r="U1026" s="9"/>
    </row>
    <row r="1027" spans="1:21" x14ac:dyDescent="0.3">
      <c r="A1027" t="s">
        <v>1610</v>
      </c>
      <c r="B1027" s="6">
        <v>46239</v>
      </c>
      <c r="C1027" t="s">
        <v>18</v>
      </c>
      <c r="D1027" t="s">
        <v>19</v>
      </c>
      <c r="E1027" t="s">
        <v>20</v>
      </c>
      <c r="F1027" t="s">
        <v>176</v>
      </c>
      <c r="G1027" t="s">
        <v>30</v>
      </c>
      <c r="H1027" t="s">
        <v>78</v>
      </c>
      <c r="I1027" t="s">
        <v>67</v>
      </c>
      <c r="J1027" s="9">
        <v>1</v>
      </c>
      <c r="K1027" s="7">
        <v>23100</v>
      </c>
      <c r="L1027" s="7">
        <v>0</v>
      </c>
      <c r="M1027" s="9"/>
      <c r="N1027" s="7">
        <v>3</v>
      </c>
      <c r="O1027" s="7"/>
      <c r="P1027" s="7"/>
      <c r="Q1027" t="s">
        <v>67</v>
      </c>
      <c r="R1027" s="7" t="str">
        <f>TEXT(Table1[[#This Row],[Date]],"mmm yyyy")</f>
        <v>Aug 2026</v>
      </c>
      <c r="S1027" s="9">
        <f>YEAR(Table1[[#This Row],[Date]])</f>
        <v>2026</v>
      </c>
      <c r="T1027" s="9"/>
      <c r="U1027" s="9"/>
    </row>
    <row r="1028" spans="1:21" hidden="1" x14ac:dyDescent="0.3">
      <c r="A1028" t="s">
        <v>1611</v>
      </c>
      <c r="B1028" s="6">
        <v>46190</v>
      </c>
      <c r="C1028" t="s">
        <v>26</v>
      </c>
      <c r="D1028" t="s">
        <v>33</v>
      </c>
      <c r="E1028" t="s">
        <v>20</v>
      </c>
      <c r="F1028" t="s">
        <v>235</v>
      </c>
      <c r="G1028" t="s">
        <v>22</v>
      </c>
      <c r="J1028" s="9">
        <v>0</v>
      </c>
      <c r="K1028" s="7">
        <v>0</v>
      </c>
      <c r="L1028" s="7">
        <v>0</v>
      </c>
      <c r="M1028" s="9">
        <v>1</v>
      </c>
      <c r="N1028" s="7">
        <v>0.2</v>
      </c>
      <c r="O1028" s="7">
        <v>8.1</v>
      </c>
      <c r="P1028" s="7">
        <v>5</v>
      </c>
      <c r="Q1028" t="s">
        <v>62</v>
      </c>
      <c r="R1028" s="7" t="str">
        <f>TEXT(Table1[[#This Row],[Date]],"mmm yyyy")</f>
        <v>Jun 2026</v>
      </c>
      <c r="S1028" s="9">
        <f>YEAR(Table1[[#This Row],[Date]])</f>
        <v>2026</v>
      </c>
      <c r="T1028" s="9"/>
      <c r="U1028" s="9"/>
    </row>
    <row r="1029" spans="1:21" hidden="1" x14ac:dyDescent="0.3">
      <c r="A1029" t="s">
        <v>1612</v>
      </c>
      <c r="B1029" s="6">
        <v>46091</v>
      </c>
      <c r="C1029" t="s">
        <v>26</v>
      </c>
      <c r="D1029" t="s">
        <v>232</v>
      </c>
      <c r="E1029" t="s">
        <v>20</v>
      </c>
      <c r="F1029" t="s">
        <v>1028</v>
      </c>
      <c r="G1029" t="s">
        <v>22</v>
      </c>
      <c r="J1029" s="9">
        <v>0</v>
      </c>
      <c r="K1029" s="7">
        <v>0</v>
      </c>
      <c r="L1029" s="7">
        <v>0</v>
      </c>
      <c r="M1029" s="9">
        <v>1</v>
      </c>
      <c r="N1029" s="7">
        <v>5.6</v>
      </c>
      <c r="O1029" s="7">
        <v>5.0999999999999996</v>
      </c>
      <c r="P1029" s="7">
        <v>4.0999999999999996</v>
      </c>
      <c r="Q1029" t="s">
        <v>39</v>
      </c>
      <c r="R1029" s="7" t="str">
        <f>TEXT(Table1[[#This Row],[Date]],"mmm yyyy")</f>
        <v>Mar 2026</v>
      </c>
      <c r="S1029" s="9">
        <f>YEAR(Table1[[#This Row],[Date]])</f>
        <v>2026</v>
      </c>
      <c r="T1029" s="9"/>
      <c r="U1029" s="9"/>
    </row>
    <row r="1030" spans="1:21" x14ac:dyDescent="0.3">
      <c r="A1030" t="s">
        <v>1613</v>
      </c>
      <c r="B1030" s="6">
        <v>45943</v>
      </c>
      <c r="C1030" t="s">
        <v>18</v>
      </c>
      <c r="D1030" t="s">
        <v>95</v>
      </c>
      <c r="E1030" t="s">
        <v>42</v>
      </c>
      <c r="F1030" t="s">
        <v>544</v>
      </c>
      <c r="G1030" t="s">
        <v>44</v>
      </c>
      <c r="H1030" t="s">
        <v>23</v>
      </c>
      <c r="I1030" t="s">
        <v>45</v>
      </c>
      <c r="J1030" s="9">
        <v>1</v>
      </c>
      <c r="K1030" s="7">
        <v>13500</v>
      </c>
      <c r="L1030" s="7">
        <v>0</v>
      </c>
      <c r="M1030" s="9"/>
      <c r="N1030" s="7">
        <v>23.8</v>
      </c>
      <c r="O1030" s="7"/>
      <c r="P1030" s="7"/>
      <c r="Q1030" t="s">
        <v>45</v>
      </c>
      <c r="R1030" s="7" t="str">
        <f>TEXT(Table1[[#This Row],[Date]],"mmm yyyy")</f>
        <v>Oct 2025</v>
      </c>
      <c r="S1030" s="9">
        <f>YEAR(Table1[[#This Row],[Date]])</f>
        <v>2025</v>
      </c>
      <c r="T1030" s="9"/>
      <c r="U1030" s="9"/>
    </row>
    <row r="1031" spans="1:21" hidden="1" x14ac:dyDescent="0.3">
      <c r="A1031" t="s">
        <v>1614</v>
      </c>
      <c r="B1031" s="6">
        <v>45952</v>
      </c>
      <c r="C1031" t="s">
        <v>26</v>
      </c>
      <c r="D1031" t="s">
        <v>36</v>
      </c>
      <c r="E1031" t="s">
        <v>48</v>
      </c>
      <c r="F1031" t="s">
        <v>1615</v>
      </c>
      <c r="G1031" t="s">
        <v>50</v>
      </c>
      <c r="J1031" s="9">
        <v>0</v>
      </c>
      <c r="K1031" s="7">
        <v>0</v>
      </c>
      <c r="L1031" s="7">
        <v>0</v>
      </c>
      <c r="M1031" s="9">
        <v>1</v>
      </c>
      <c r="N1031" s="7">
        <v>9.6999999999999993</v>
      </c>
      <c r="O1031" s="7">
        <v>5.4</v>
      </c>
      <c r="P1031" s="7">
        <v>4.4000000000000004</v>
      </c>
      <c r="Q1031" t="s">
        <v>62</v>
      </c>
      <c r="R1031" s="7" t="str">
        <f>TEXT(Table1[[#This Row],[Date]],"mmm yyyy")</f>
        <v>Oct 2025</v>
      </c>
      <c r="S1031" s="9">
        <f>YEAR(Table1[[#This Row],[Date]])</f>
        <v>2025</v>
      </c>
      <c r="T1031" s="9"/>
      <c r="U1031" s="9"/>
    </row>
    <row r="1032" spans="1:21" x14ac:dyDescent="0.3">
      <c r="A1032" t="s">
        <v>1616</v>
      </c>
      <c r="B1032" s="6">
        <v>46086</v>
      </c>
      <c r="C1032" t="s">
        <v>18</v>
      </c>
      <c r="D1032" t="s">
        <v>64</v>
      </c>
      <c r="E1032" t="s">
        <v>20</v>
      </c>
      <c r="F1032" t="s">
        <v>1617</v>
      </c>
      <c r="G1032" t="s">
        <v>22</v>
      </c>
      <c r="H1032" t="s">
        <v>78</v>
      </c>
      <c r="I1032" t="s">
        <v>24</v>
      </c>
      <c r="J1032" s="9">
        <v>1</v>
      </c>
      <c r="K1032" s="7">
        <v>23600</v>
      </c>
      <c r="L1032" s="7">
        <v>23600</v>
      </c>
      <c r="M1032" s="9"/>
      <c r="N1032" s="7">
        <v>5.4</v>
      </c>
      <c r="O1032" s="7"/>
      <c r="P1032" s="7"/>
      <c r="Q1032" t="s">
        <v>24</v>
      </c>
      <c r="R1032" s="7" t="str">
        <f>TEXT(Table1[[#This Row],[Date]],"mmm yyyy")</f>
        <v>Mar 2026</v>
      </c>
      <c r="S1032" s="9">
        <f>YEAR(Table1[[#This Row],[Date]])</f>
        <v>2026</v>
      </c>
      <c r="T1032" s="9"/>
      <c r="U1032" s="9"/>
    </row>
    <row r="1033" spans="1:21" hidden="1" x14ac:dyDescent="0.3">
      <c r="A1033" t="s">
        <v>1618</v>
      </c>
      <c r="B1033" s="6">
        <v>46093</v>
      </c>
      <c r="C1033" t="s">
        <v>26</v>
      </c>
      <c r="D1033" t="s">
        <v>232</v>
      </c>
      <c r="E1033" t="s">
        <v>42</v>
      </c>
      <c r="F1033" t="s">
        <v>1619</v>
      </c>
      <c r="G1033" t="s">
        <v>30</v>
      </c>
      <c r="J1033" s="9">
        <v>0</v>
      </c>
      <c r="K1033" s="7">
        <v>0</v>
      </c>
      <c r="L1033" s="7">
        <v>0</v>
      </c>
      <c r="M1033" s="9">
        <v>1</v>
      </c>
      <c r="N1033" s="7">
        <v>11.6</v>
      </c>
      <c r="O1033" s="7">
        <v>12</v>
      </c>
      <c r="P1033" s="7">
        <v>3.6</v>
      </c>
      <c r="Q1033" t="s">
        <v>39</v>
      </c>
      <c r="R1033" s="7" t="str">
        <f>TEXT(Table1[[#This Row],[Date]],"mmm yyyy")</f>
        <v>Mar 2026</v>
      </c>
      <c r="S1033" s="9">
        <f>YEAR(Table1[[#This Row],[Date]])</f>
        <v>2026</v>
      </c>
      <c r="T1033" s="9"/>
      <c r="U1033" s="9"/>
    </row>
    <row r="1034" spans="1:21" x14ac:dyDescent="0.3">
      <c r="A1034" t="s">
        <v>1620</v>
      </c>
      <c r="B1034" s="6">
        <v>46001</v>
      </c>
      <c r="C1034" t="s">
        <v>18</v>
      </c>
      <c r="D1034" t="s">
        <v>95</v>
      </c>
      <c r="E1034" t="s">
        <v>48</v>
      </c>
      <c r="F1034" t="s">
        <v>789</v>
      </c>
      <c r="G1034" t="s">
        <v>22</v>
      </c>
      <c r="H1034" t="s">
        <v>78</v>
      </c>
      <c r="I1034" t="s">
        <v>79</v>
      </c>
      <c r="J1034" s="9">
        <v>1</v>
      </c>
      <c r="K1034" s="7">
        <v>27900</v>
      </c>
      <c r="L1034" s="7">
        <v>0</v>
      </c>
      <c r="M1034" s="9"/>
      <c r="N1034" s="7">
        <v>22.4</v>
      </c>
      <c r="O1034" s="7"/>
      <c r="P1034" s="7"/>
      <c r="Q1034" t="s">
        <v>79</v>
      </c>
      <c r="R1034" s="7" t="str">
        <f>TEXT(Table1[[#This Row],[Date]],"mmm yyyy")</f>
        <v>Dec 2025</v>
      </c>
      <c r="S1034" s="9">
        <f>YEAR(Table1[[#This Row],[Date]])</f>
        <v>2025</v>
      </c>
      <c r="T1034" s="9"/>
      <c r="U1034" s="9"/>
    </row>
    <row r="1035" spans="1:21" x14ac:dyDescent="0.3">
      <c r="A1035" t="s">
        <v>1621</v>
      </c>
      <c r="B1035" s="6">
        <v>46096</v>
      </c>
      <c r="C1035" t="s">
        <v>18</v>
      </c>
      <c r="D1035" t="s">
        <v>47</v>
      </c>
      <c r="E1035" t="s">
        <v>20</v>
      </c>
      <c r="F1035" t="s">
        <v>937</v>
      </c>
      <c r="G1035" t="s">
        <v>22</v>
      </c>
      <c r="H1035" t="s">
        <v>54</v>
      </c>
      <c r="I1035" t="s">
        <v>45</v>
      </c>
      <c r="J1035" s="9">
        <v>1</v>
      </c>
      <c r="K1035" s="7">
        <v>49700</v>
      </c>
      <c r="L1035" s="7">
        <v>0</v>
      </c>
      <c r="M1035" s="9"/>
      <c r="N1035" s="7">
        <v>1.8</v>
      </c>
      <c r="O1035" s="7"/>
      <c r="P1035" s="7"/>
      <c r="Q1035" t="s">
        <v>45</v>
      </c>
      <c r="R1035" s="7" t="str">
        <f>TEXT(Table1[[#This Row],[Date]],"mmm yyyy")</f>
        <v>Mar 2026</v>
      </c>
      <c r="S1035" s="9">
        <f>YEAR(Table1[[#This Row],[Date]])</f>
        <v>2026</v>
      </c>
      <c r="T1035" s="9"/>
      <c r="U1035" s="9"/>
    </row>
    <row r="1036" spans="1:21" x14ac:dyDescent="0.3">
      <c r="A1036" t="s">
        <v>1622</v>
      </c>
      <c r="B1036" s="6">
        <v>45912</v>
      </c>
      <c r="C1036" t="s">
        <v>18</v>
      </c>
      <c r="D1036" t="s">
        <v>105</v>
      </c>
      <c r="E1036" t="s">
        <v>48</v>
      </c>
      <c r="F1036" t="s">
        <v>859</v>
      </c>
      <c r="G1036" t="s">
        <v>22</v>
      </c>
      <c r="H1036" t="s">
        <v>86</v>
      </c>
      <c r="I1036" t="s">
        <v>45</v>
      </c>
      <c r="J1036" s="9">
        <v>1</v>
      </c>
      <c r="K1036" s="7">
        <v>10400</v>
      </c>
      <c r="L1036" s="7">
        <v>0</v>
      </c>
      <c r="M1036" s="9"/>
      <c r="N1036" s="7">
        <v>9.1</v>
      </c>
      <c r="O1036" s="7"/>
      <c r="P1036" s="7"/>
      <c r="Q1036" t="s">
        <v>45</v>
      </c>
      <c r="R1036" s="7" t="str">
        <f>TEXT(Table1[[#This Row],[Date]],"mmm yyyy")</f>
        <v>Sep 2025</v>
      </c>
      <c r="S1036" s="9">
        <f>YEAR(Table1[[#This Row],[Date]])</f>
        <v>2025</v>
      </c>
      <c r="T1036" s="9"/>
      <c r="U1036" s="9"/>
    </row>
    <row r="1037" spans="1:21" hidden="1" x14ac:dyDescent="0.3">
      <c r="A1037" t="s">
        <v>1623</v>
      </c>
      <c r="B1037" s="6">
        <v>46248</v>
      </c>
      <c r="C1037" t="s">
        <v>26</v>
      </c>
      <c r="D1037" t="s">
        <v>69</v>
      </c>
      <c r="E1037" t="s">
        <v>37</v>
      </c>
      <c r="F1037" t="s">
        <v>1624</v>
      </c>
      <c r="G1037" t="s">
        <v>44</v>
      </c>
      <c r="J1037" s="9">
        <v>0</v>
      </c>
      <c r="K1037" s="7">
        <v>0</v>
      </c>
      <c r="L1037" s="7">
        <v>0</v>
      </c>
      <c r="M1037" s="9">
        <v>1</v>
      </c>
      <c r="N1037" s="7">
        <v>9.1999999999999993</v>
      </c>
      <c r="O1037" s="7">
        <v>3.4</v>
      </c>
      <c r="P1037" s="7">
        <v>3.9</v>
      </c>
      <c r="Q1037" t="s">
        <v>39</v>
      </c>
      <c r="R1037" s="7" t="str">
        <f>TEXT(Table1[[#This Row],[Date]],"mmm yyyy")</f>
        <v>Aug 2026</v>
      </c>
      <c r="S1037" s="9">
        <f>YEAR(Table1[[#This Row],[Date]])</f>
        <v>2026</v>
      </c>
      <c r="T1037" s="9"/>
      <c r="U1037" s="9"/>
    </row>
    <row r="1038" spans="1:21" x14ac:dyDescent="0.3">
      <c r="A1038" t="s">
        <v>1625</v>
      </c>
      <c r="B1038" s="6">
        <v>46044</v>
      </c>
      <c r="C1038" t="s">
        <v>18</v>
      </c>
      <c r="D1038" t="s">
        <v>95</v>
      </c>
      <c r="E1038" t="s">
        <v>48</v>
      </c>
      <c r="F1038" t="s">
        <v>208</v>
      </c>
      <c r="G1038" t="s">
        <v>50</v>
      </c>
      <c r="H1038" t="s">
        <v>86</v>
      </c>
      <c r="I1038" t="s">
        <v>24</v>
      </c>
      <c r="J1038" s="9">
        <v>1</v>
      </c>
      <c r="K1038" s="7">
        <v>26200</v>
      </c>
      <c r="L1038" s="7">
        <v>26200</v>
      </c>
      <c r="M1038" s="9"/>
      <c r="N1038" s="7">
        <v>9.5</v>
      </c>
      <c r="O1038" s="7"/>
      <c r="P1038" s="7"/>
      <c r="Q1038" t="s">
        <v>24</v>
      </c>
      <c r="R1038" s="7" t="str">
        <f>TEXT(Table1[[#This Row],[Date]],"mmm yyyy")</f>
        <v>Jan 2026</v>
      </c>
      <c r="S1038" s="9">
        <f>YEAR(Table1[[#This Row],[Date]])</f>
        <v>2026</v>
      </c>
      <c r="T1038" s="9"/>
      <c r="U1038" s="9"/>
    </row>
    <row r="1039" spans="1:21" hidden="1" x14ac:dyDescent="0.3">
      <c r="A1039" t="s">
        <v>1626</v>
      </c>
      <c r="B1039" s="6">
        <v>46080</v>
      </c>
      <c r="C1039" t="s">
        <v>26</v>
      </c>
      <c r="D1039" t="s">
        <v>33</v>
      </c>
      <c r="E1039" t="s">
        <v>20</v>
      </c>
      <c r="F1039" t="s">
        <v>1199</v>
      </c>
      <c r="G1039" t="s">
        <v>30</v>
      </c>
      <c r="J1039" s="9">
        <v>0</v>
      </c>
      <c r="K1039" s="7">
        <v>0</v>
      </c>
      <c r="L1039" s="7">
        <v>0</v>
      </c>
      <c r="M1039" s="9">
        <v>1</v>
      </c>
      <c r="N1039" s="7">
        <v>6.8</v>
      </c>
      <c r="O1039" s="7">
        <v>4.9000000000000004</v>
      </c>
      <c r="P1039" s="7">
        <v>5</v>
      </c>
      <c r="Q1039" t="s">
        <v>31</v>
      </c>
      <c r="R1039" s="7" t="str">
        <f>TEXT(Table1[[#This Row],[Date]],"mmm yyyy")</f>
        <v>Feb 2026</v>
      </c>
      <c r="S1039" s="9">
        <f>YEAR(Table1[[#This Row],[Date]])</f>
        <v>2026</v>
      </c>
      <c r="T1039" s="9"/>
      <c r="U1039" s="9"/>
    </row>
    <row r="1040" spans="1:21" x14ac:dyDescent="0.3">
      <c r="A1040" t="s">
        <v>1627</v>
      </c>
      <c r="B1040" s="6">
        <v>46158</v>
      </c>
      <c r="C1040" t="s">
        <v>18</v>
      </c>
      <c r="D1040" t="s">
        <v>41</v>
      </c>
      <c r="E1040" t="s">
        <v>37</v>
      </c>
      <c r="F1040" t="s">
        <v>1628</v>
      </c>
      <c r="G1040" t="s">
        <v>22</v>
      </c>
      <c r="H1040" t="s">
        <v>54</v>
      </c>
      <c r="I1040" t="s">
        <v>55</v>
      </c>
      <c r="J1040" s="9">
        <v>1</v>
      </c>
      <c r="K1040" s="7">
        <v>21400</v>
      </c>
      <c r="L1040" s="7">
        <v>0</v>
      </c>
      <c r="M1040" s="9"/>
      <c r="N1040" s="7">
        <v>10.199999999999999</v>
      </c>
      <c r="O1040" s="7"/>
      <c r="P1040" s="7"/>
      <c r="Q1040" t="s">
        <v>55</v>
      </c>
      <c r="R1040" s="7" t="str">
        <f>TEXT(Table1[[#This Row],[Date]],"mmm yyyy")</f>
        <v>May 2026</v>
      </c>
      <c r="S1040" s="9">
        <f>YEAR(Table1[[#This Row],[Date]])</f>
        <v>2026</v>
      </c>
      <c r="T1040" s="9"/>
      <c r="U1040" s="9"/>
    </row>
    <row r="1041" spans="1:21" x14ac:dyDescent="0.3">
      <c r="A1041" t="s">
        <v>1629</v>
      </c>
      <c r="B1041" s="6">
        <v>46140</v>
      </c>
      <c r="C1041" t="s">
        <v>18</v>
      </c>
      <c r="D1041" t="s">
        <v>95</v>
      </c>
      <c r="E1041" t="s">
        <v>20</v>
      </c>
      <c r="F1041" t="s">
        <v>1543</v>
      </c>
      <c r="G1041" t="s">
        <v>44</v>
      </c>
      <c r="H1041" t="s">
        <v>23</v>
      </c>
      <c r="I1041" t="s">
        <v>45</v>
      </c>
      <c r="J1041" s="9">
        <v>1</v>
      </c>
      <c r="K1041" s="7">
        <v>33800</v>
      </c>
      <c r="L1041" s="7">
        <v>0</v>
      </c>
      <c r="M1041" s="9"/>
      <c r="N1041" s="7">
        <v>22.8</v>
      </c>
      <c r="O1041" s="7"/>
      <c r="P1041" s="7"/>
      <c r="Q1041" t="s">
        <v>45</v>
      </c>
      <c r="R1041" s="7" t="str">
        <f>TEXT(Table1[[#This Row],[Date]],"mmm yyyy")</f>
        <v>Apr 2026</v>
      </c>
      <c r="S1041" s="9">
        <f>YEAR(Table1[[#This Row],[Date]])</f>
        <v>2026</v>
      </c>
      <c r="T1041" s="9"/>
      <c r="U1041" s="9"/>
    </row>
    <row r="1042" spans="1:21" x14ac:dyDescent="0.3">
      <c r="A1042" t="s">
        <v>1630</v>
      </c>
      <c r="B1042" s="6">
        <v>46181</v>
      </c>
      <c r="C1042" t="s">
        <v>18</v>
      </c>
      <c r="D1042" t="s">
        <v>41</v>
      </c>
      <c r="E1042" t="s">
        <v>20</v>
      </c>
      <c r="F1042" t="s">
        <v>1631</v>
      </c>
      <c r="G1042" t="s">
        <v>22</v>
      </c>
      <c r="H1042" t="s">
        <v>78</v>
      </c>
      <c r="I1042" t="s">
        <v>45</v>
      </c>
      <c r="J1042" s="9">
        <v>1</v>
      </c>
      <c r="K1042" s="7">
        <v>81200</v>
      </c>
      <c r="L1042" s="7">
        <v>0</v>
      </c>
      <c r="M1042" s="9"/>
      <c r="N1042" s="7">
        <v>2.2000000000000002</v>
      </c>
      <c r="O1042" s="7"/>
      <c r="P1042" s="7"/>
      <c r="Q1042" t="s">
        <v>45</v>
      </c>
      <c r="R1042" s="7" t="str">
        <f>TEXT(Table1[[#This Row],[Date]],"mmm yyyy")</f>
        <v>Jun 2026</v>
      </c>
      <c r="S1042" s="9">
        <f>YEAR(Table1[[#This Row],[Date]])</f>
        <v>2026</v>
      </c>
      <c r="T1042" s="9"/>
      <c r="U1042" s="9"/>
    </row>
    <row r="1043" spans="1:21" hidden="1" x14ac:dyDescent="0.3">
      <c r="A1043" t="s">
        <v>1632</v>
      </c>
      <c r="B1043" s="6">
        <v>46046</v>
      </c>
      <c r="C1043" t="s">
        <v>26</v>
      </c>
      <c r="D1043" t="s">
        <v>126</v>
      </c>
      <c r="E1043" t="s">
        <v>20</v>
      </c>
      <c r="F1043" t="s">
        <v>1633</v>
      </c>
      <c r="G1043" t="s">
        <v>44</v>
      </c>
      <c r="J1043" s="9">
        <v>0</v>
      </c>
      <c r="K1043" s="7">
        <v>0</v>
      </c>
      <c r="L1043" s="7">
        <v>0</v>
      </c>
      <c r="M1043" s="9">
        <v>1</v>
      </c>
      <c r="N1043" s="7">
        <v>10.6</v>
      </c>
      <c r="O1043" s="7">
        <v>9.5</v>
      </c>
      <c r="P1043" s="7">
        <v>3.7</v>
      </c>
      <c r="Q1043" t="s">
        <v>39</v>
      </c>
      <c r="R1043" s="7" t="str">
        <f>TEXT(Table1[[#This Row],[Date]],"mmm yyyy")</f>
        <v>Jan 2026</v>
      </c>
      <c r="S1043" s="9">
        <f>YEAR(Table1[[#This Row],[Date]])</f>
        <v>2026</v>
      </c>
      <c r="T1043" s="9"/>
      <c r="U1043" s="9"/>
    </row>
    <row r="1044" spans="1:21" x14ac:dyDescent="0.3">
      <c r="A1044" t="s">
        <v>1634</v>
      </c>
      <c r="B1044" s="6">
        <v>45936</v>
      </c>
      <c r="C1044" t="s">
        <v>18</v>
      </c>
      <c r="D1044" t="s">
        <v>105</v>
      </c>
      <c r="E1044" t="s">
        <v>20</v>
      </c>
      <c r="F1044" t="s">
        <v>495</v>
      </c>
      <c r="G1044" t="s">
        <v>30</v>
      </c>
      <c r="H1044" t="s">
        <v>23</v>
      </c>
      <c r="I1044" t="s">
        <v>24</v>
      </c>
      <c r="J1044" s="9">
        <v>1</v>
      </c>
      <c r="K1044" s="7">
        <v>53700</v>
      </c>
      <c r="L1044" s="7">
        <v>53700</v>
      </c>
      <c r="M1044" s="9"/>
      <c r="N1044" s="7">
        <v>2.7</v>
      </c>
      <c r="O1044" s="7"/>
      <c r="P1044" s="7"/>
      <c r="Q1044" t="s">
        <v>24</v>
      </c>
      <c r="R1044" s="7" t="str">
        <f>TEXT(Table1[[#This Row],[Date]],"mmm yyyy")</f>
        <v>Oct 2025</v>
      </c>
      <c r="S1044" s="9">
        <f>YEAR(Table1[[#This Row],[Date]])</f>
        <v>2025</v>
      </c>
      <c r="T1044" s="9"/>
      <c r="U1044" s="9"/>
    </row>
    <row r="1045" spans="1:21" hidden="1" x14ac:dyDescent="0.3">
      <c r="A1045" t="s">
        <v>1635</v>
      </c>
      <c r="B1045" s="6">
        <v>46247</v>
      </c>
      <c r="C1045" t="s">
        <v>26</v>
      </c>
      <c r="D1045" t="s">
        <v>232</v>
      </c>
      <c r="E1045" t="s">
        <v>37</v>
      </c>
      <c r="F1045" t="s">
        <v>1636</v>
      </c>
      <c r="G1045" t="s">
        <v>50</v>
      </c>
      <c r="J1045" s="9">
        <v>0</v>
      </c>
      <c r="K1045" s="7">
        <v>0</v>
      </c>
      <c r="L1045" s="7">
        <v>0</v>
      </c>
      <c r="M1045" s="9">
        <v>1</v>
      </c>
      <c r="N1045" s="7">
        <v>3</v>
      </c>
      <c r="O1045" s="7">
        <v>9.9</v>
      </c>
      <c r="P1045" s="7">
        <v>3.4</v>
      </c>
      <c r="Q1045" t="s">
        <v>62</v>
      </c>
      <c r="R1045" s="7" t="str">
        <f>TEXT(Table1[[#This Row],[Date]],"mmm yyyy")</f>
        <v>Aug 2026</v>
      </c>
      <c r="S1045" s="9">
        <f>YEAR(Table1[[#This Row],[Date]])</f>
        <v>2026</v>
      </c>
      <c r="T1045" s="9"/>
      <c r="U1045" s="9"/>
    </row>
    <row r="1046" spans="1:21" hidden="1" x14ac:dyDescent="0.3">
      <c r="A1046" t="s">
        <v>1637</v>
      </c>
      <c r="B1046" s="6">
        <v>46188</v>
      </c>
      <c r="C1046" t="s">
        <v>26</v>
      </c>
      <c r="D1046" t="s">
        <v>232</v>
      </c>
      <c r="E1046" t="s">
        <v>42</v>
      </c>
      <c r="F1046" t="s">
        <v>252</v>
      </c>
      <c r="G1046" t="s">
        <v>30</v>
      </c>
      <c r="J1046" s="9">
        <v>0</v>
      </c>
      <c r="K1046" s="7">
        <v>0</v>
      </c>
      <c r="L1046" s="7">
        <v>0</v>
      </c>
      <c r="M1046" s="9">
        <v>1</v>
      </c>
      <c r="N1046" s="7">
        <v>10.7</v>
      </c>
      <c r="O1046" s="7">
        <v>4.2</v>
      </c>
      <c r="P1046" s="7">
        <v>4</v>
      </c>
      <c r="Q1046" t="s">
        <v>39</v>
      </c>
      <c r="R1046" s="7" t="str">
        <f>TEXT(Table1[[#This Row],[Date]],"mmm yyyy")</f>
        <v>Jun 2026</v>
      </c>
      <c r="S1046" s="9">
        <f>YEAR(Table1[[#This Row],[Date]])</f>
        <v>2026</v>
      </c>
      <c r="T1046" s="9"/>
      <c r="U1046" s="9"/>
    </row>
    <row r="1047" spans="1:21" hidden="1" x14ac:dyDescent="0.3">
      <c r="A1047" t="s">
        <v>1638</v>
      </c>
      <c r="B1047" s="6">
        <v>45940</v>
      </c>
      <c r="C1047" t="s">
        <v>26</v>
      </c>
      <c r="D1047" t="s">
        <v>27</v>
      </c>
      <c r="E1047" t="s">
        <v>48</v>
      </c>
      <c r="F1047" t="s">
        <v>1639</v>
      </c>
      <c r="G1047" t="s">
        <v>30</v>
      </c>
      <c r="J1047" s="9">
        <v>0</v>
      </c>
      <c r="K1047" s="7">
        <v>0</v>
      </c>
      <c r="L1047" s="7">
        <v>0</v>
      </c>
      <c r="M1047" s="9">
        <v>1</v>
      </c>
      <c r="N1047" s="7">
        <v>0.4</v>
      </c>
      <c r="O1047" s="7">
        <v>3.7</v>
      </c>
      <c r="P1047" s="7">
        <v>5</v>
      </c>
      <c r="Q1047" t="s">
        <v>31</v>
      </c>
      <c r="R1047" s="7" t="str">
        <f>TEXT(Table1[[#This Row],[Date]],"mmm yyyy")</f>
        <v>Oct 2025</v>
      </c>
      <c r="S1047" s="9">
        <f>YEAR(Table1[[#This Row],[Date]])</f>
        <v>2025</v>
      </c>
      <c r="T1047" s="9"/>
      <c r="U1047" s="9"/>
    </row>
    <row r="1048" spans="1:21" x14ac:dyDescent="0.3">
      <c r="A1048" t="s">
        <v>1640</v>
      </c>
      <c r="B1048" s="6">
        <v>46169</v>
      </c>
      <c r="C1048" t="s">
        <v>18</v>
      </c>
      <c r="D1048" t="s">
        <v>95</v>
      </c>
      <c r="E1048" t="s">
        <v>28</v>
      </c>
      <c r="F1048" t="s">
        <v>1573</v>
      </c>
      <c r="G1048" t="s">
        <v>22</v>
      </c>
      <c r="H1048" t="s">
        <v>23</v>
      </c>
      <c r="I1048" t="s">
        <v>89</v>
      </c>
      <c r="J1048" s="9">
        <v>1</v>
      </c>
      <c r="K1048" s="7">
        <v>27800</v>
      </c>
      <c r="L1048" s="7">
        <v>0</v>
      </c>
      <c r="M1048" s="9"/>
      <c r="N1048" s="7">
        <v>18.8</v>
      </c>
      <c r="O1048" s="7"/>
      <c r="P1048" s="7"/>
      <c r="Q1048" t="s">
        <v>89</v>
      </c>
      <c r="R1048" s="7" t="str">
        <f>TEXT(Table1[[#This Row],[Date]],"mmm yyyy")</f>
        <v>May 2026</v>
      </c>
      <c r="S1048" s="9">
        <f>YEAR(Table1[[#This Row],[Date]])</f>
        <v>2026</v>
      </c>
      <c r="T1048" s="9"/>
      <c r="U1048" s="9"/>
    </row>
    <row r="1049" spans="1:21" x14ac:dyDescent="0.3">
      <c r="A1049" t="s">
        <v>1641</v>
      </c>
      <c r="B1049" s="6">
        <v>46262</v>
      </c>
      <c r="C1049" t="s">
        <v>18</v>
      </c>
      <c r="D1049" t="s">
        <v>117</v>
      </c>
      <c r="E1049" t="s">
        <v>28</v>
      </c>
      <c r="F1049" t="s">
        <v>1642</v>
      </c>
      <c r="G1049" t="s">
        <v>22</v>
      </c>
      <c r="H1049" t="s">
        <v>54</v>
      </c>
      <c r="I1049" t="s">
        <v>24</v>
      </c>
      <c r="J1049" s="9">
        <v>1</v>
      </c>
      <c r="K1049" s="7">
        <v>23100</v>
      </c>
      <c r="L1049" s="7">
        <v>23100</v>
      </c>
      <c r="M1049" s="9"/>
      <c r="N1049" s="7">
        <v>6.6</v>
      </c>
      <c r="O1049" s="7"/>
      <c r="P1049" s="7"/>
      <c r="Q1049" t="s">
        <v>24</v>
      </c>
      <c r="R1049" s="7" t="str">
        <f>TEXT(Table1[[#This Row],[Date]],"mmm yyyy")</f>
        <v>Aug 2026</v>
      </c>
      <c r="S1049" s="9">
        <f>YEAR(Table1[[#This Row],[Date]])</f>
        <v>2026</v>
      </c>
      <c r="T1049" s="9"/>
      <c r="U1049" s="9"/>
    </row>
    <row r="1050" spans="1:21" hidden="1" x14ac:dyDescent="0.3">
      <c r="A1050" t="s">
        <v>1643</v>
      </c>
      <c r="B1050" s="6">
        <v>45942</v>
      </c>
      <c r="C1050" t="s">
        <v>26</v>
      </c>
      <c r="D1050" t="s">
        <v>36</v>
      </c>
      <c r="E1050" t="s">
        <v>48</v>
      </c>
      <c r="F1050" t="s">
        <v>1097</v>
      </c>
      <c r="G1050" t="s">
        <v>22</v>
      </c>
      <c r="J1050" s="9">
        <v>0</v>
      </c>
      <c r="K1050" s="7">
        <v>0</v>
      </c>
      <c r="L1050" s="7">
        <v>0</v>
      </c>
      <c r="M1050" s="9">
        <v>1</v>
      </c>
      <c r="N1050" s="7">
        <v>9.1</v>
      </c>
      <c r="O1050" s="7">
        <v>5</v>
      </c>
      <c r="P1050" s="7">
        <v>3.1</v>
      </c>
      <c r="Q1050" t="s">
        <v>39</v>
      </c>
      <c r="R1050" s="7" t="str">
        <f>TEXT(Table1[[#This Row],[Date]],"mmm yyyy")</f>
        <v>Oct 2025</v>
      </c>
      <c r="S1050" s="9">
        <f>YEAR(Table1[[#This Row],[Date]])</f>
        <v>2025</v>
      </c>
      <c r="T1050" s="9"/>
      <c r="U1050" s="9"/>
    </row>
    <row r="1051" spans="1:21" x14ac:dyDescent="0.3">
      <c r="A1051" t="s">
        <v>1644</v>
      </c>
      <c r="B1051" s="6">
        <v>46113</v>
      </c>
      <c r="C1051" t="s">
        <v>18</v>
      </c>
      <c r="D1051" t="s">
        <v>47</v>
      </c>
      <c r="E1051" t="s">
        <v>20</v>
      </c>
      <c r="F1051" t="s">
        <v>166</v>
      </c>
      <c r="G1051" t="s">
        <v>44</v>
      </c>
      <c r="H1051" t="s">
        <v>23</v>
      </c>
      <c r="I1051" t="s">
        <v>24</v>
      </c>
      <c r="J1051" s="9">
        <v>1</v>
      </c>
      <c r="K1051" s="7">
        <v>22000</v>
      </c>
      <c r="L1051" s="7">
        <v>22000</v>
      </c>
      <c r="M1051" s="9"/>
      <c r="N1051" s="7">
        <v>14.3</v>
      </c>
      <c r="O1051" s="7"/>
      <c r="P1051" s="7"/>
      <c r="Q1051" t="s">
        <v>24</v>
      </c>
      <c r="R1051" s="7" t="str">
        <f>TEXT(Table1[[#This Row],[Date]],"mmm yyyy")</f>
        <v>Apr 2026</v>
      </c>
      <c r="S1051" s="9">
        <f>YEAR(Table1[[#This Row],[Date]])</f>
        <v>2026</v>
      </c>
      <c r="T1051" s="9"/>
      <c r="U1051" s="9"/>
    </row>
    <row r="1052" spans="1:21" hidden="1" x14ac:dyDescent="0.3">
      <c r="A1052" t="s">
        <v>1645</v>
      </c>
      <c r="B1052" s="6">
        <v>46226</v>
      </c>
      <c r="C1052" t="s">
        <v>26</v>
      </c>
      <c r="D1052" t="s">
        <v>33</v>
      </c>
      <c r="E1052" t="s">
        <v>48</v>
      </c>
      <c r="F1052" t="s">
        <v>131</v>
      </c>
      <c r="G1052" t="s">
        <v>30</v>
      </c>
      <c r="J1052" s="9">
        <v>0</v>
      </c>
      <c r="K1052" s="7">
        <v>0</v>
      </c>
      <c r="L1052" s="7">
        <v>0</v>
      </c>
      <c r="M1052" s="9">
        <v>1</v>
      </c>
      <c r="N1052" s="7">
        <v>8.4</v>
      </c>
      <c r="O1052" s="7">
        <v>6.1</v>
      </c>
      <c r="P1052" s="7">
        <v>3.1</v>
      </c>
      <c r="Q1052" t="s">
        <v>39</v>
      </c>
      <c r="R1052" s="7" t="str">
        <f>TEXT(Table1[[#This Row],[Date]],"mmm yyyy")</f>
        <v>Jul 2026</v>
      </c>
      <c r="S1052" s="9">
        <f>YEAR(Table1[[#This Row],[Date]])</f>
        <v>2026</v>
      </c>
      <c r="T1052" s="9"/>
      <c r="U1052" s="9"/>
    </row>
    <row r="1053" spans="1:21" x14ac:dyDescent="0.3">
      <c r="A1053" t="s">
        <v>1646</v>
      </c>
      <c r="B1053" s="6">
        <v>46162</v>
      </c>
      <c r="C1053" t="s">
        <v>18</v>
      </c>
      <c r="D1053" t="s">
        <v>47</v>
      </c>
      <c r="E1053" t="s">
        <v>37</v>
      </c>
      <c r="F1053" t="s">
        <v>260</v>
      </c>
      <c r="G1053" t="s">
        <v>30</v>
      </c>
      <c r="H1053" t="s">
        <v>23</v>
      </c>
      <c r="I1053" t="s">
        <v>67</v>
      </c>
      <c r="J1053" s="9">
        <v>1</v>
      </c>
      <c r="K1053" s="7">
        <v>19100</v>
      </c>
      <c r="L1053" s="7">
        <v>0</v>
      </c>
      <c r="M1053" s="9"/>
      <c r="N1053" s="7">
        <v>8</v>
      </c>
      <c r="O1053" s="7"/>
      <c r="P1053" s="7"/>
      <c r="Q1053" t="s">
        <v>67</v>
      </c>
      <c r="R1053" s="7" t="str">
        <f>TEXT(Table1[[#This Row],[Date]],"mmm yyyy")</f>
        <v>May 2026</v>
      </c>
      <c r="S1053" s="9">
        <f>YEAR(Table1[[#This Row],[Date]])</f>
        <v>2026</v>
      </c>
      <c r="T1053" s="9"/>
      <c r="U1053" s="9"/>
    </row>
    <row r="1054" spans="1:21" hidden="1" x14ac:dyDescent="0.3">
      <c r="A1054" t="s">
        <v>1647</v>
      </c>
      <c r="B1054" s="6">
        <v>46103</v>
      </c>
      <c r="C1054" t="s">
        <v>26</v>
      </c>
      <c r="D1054" t="s">
        <v>126</v>
      </c>
      <c r="E1054" t="s">
        <v>37</v>
      </c>
      <c r="F1054" t="s">
        <v>551</v>
      </c>
      <c r="G1054" t="s">
        <v>22</v>
      </c>
      <c r="J1054" s="9">
        <v>0</v>
      </c>
      <c r="K1054" s="7">
        <v>0</v>
      </c>
      <c r="L1054" s="7">
        <v>0</v>
      </c>
      <c r="M1054" s="9">
        <v>1</v>
      </c>
      <c r="N1054" s="7">
        <v>10.8</v>
      </c>
      <c r="O1054" s="7">
        <v>7.5</v>
      </c>
      <c r="P1054" s="7">
        <v>2.6</v>
      </c>
      <c r="Q1054" t="s">
        <v>39</v>
      </c>
      <c r="R1054" s="7" t="str">
        <f>TEXT(Table1[[#This Row],[Date]],"mmm yyyy")</f>
        <v>Mar 2026</v>
      </c>
      <c r="S1054" s="9">
        <f>YEAR(Table1[[#This Row],[Date]])</f>
        <v>2026</v>
      </c>
      <c r="T1054" s="9"/>
      <c r="U1054" s="9"/>
    </row>
    <row r="1055" spans="1:21" hidden="1" x14ac:dyDescent="0.3">
      <c r="A1055" t="s">
        <v>1648</v>
      </c>
      <c r="B1055" s="6">
        <v>45964</v>
      </c>
      <c r="C1055" t="s">
        <v>26</v>
      </c>
      <c r="D1055" t="s">
        <v>114</v>
      </c>
      <c r="E1055" t="s">
        <v>28</v>
      </c>
      <c r="F1055" t="s">
        <v>987</v>
      </c>
      <c r="G1055" t="s">
        <v>22</v>
      </c>
      <c r="J1055" s="9">
        <v>0</v>
      </c>
      <c r="K1055" s="7">
        <v>0</v>
      </c>
      <c r="L1055" s="7">
        <v>0</v>
      </c>
      <c r="M1055" s="9">
        <v>1</v>
      </c>
      <c r="N1055" s="7">
        <v>4.2</v>
      </c>
      <c r="O1055" s="7">
        <v>2.4</v>
      </c>
      <c r="P1055" s="7">
        <v>4.9000000000000004</v>
      </c>
      <c r="Q1055" t="s">
        <v>31</v>
      </c>
      <c r="R1055" s="7" t="str">
        <f>TEXT(Table1[[#This Row],[Date]],"mmm yyyy")</f>
        <v>Nov 2025</v>
      </c>
      <c r="S1055" s="9">
        <f>YEAR(Table1[[#This Row],[Date]])</f>
        <v>2025</v>
      </c>
      <c r="T1055" s="9"/>
      <c r="U1055" s="9"/>
    </row>
    <row r="1056" spans="1:21" hidden="1" x14ac:dyDescent="0.3">
      <c r="A1056" t="s">
        <v>1649</v>
      </c>
      <c r="B1056" s="6">
        <v>46013</v>
      </c>
      <c r="C1056" t="s">
        <v>26</v>
      </c>
      <c r="D1056" t="s">
        <v>33</v>
      </c>
      <c r="E1056" t="s">
        <v>37</v>
      </c>
      <c r="F1056" t="s">
        <v>449</v>
      </c>
      <c r="G1056" t="s">
        <v>22</v>
      </c>
      <c r="J1056" s="9">
        <v>0</v>
      </c>
      <c r="K1056" s="7">
        <v>0</v>
      </c>
      <c r="L1056" s="7">
        <v>0</v>
      </c>
      <c r="M1056" s="9">
        <v>1</v>
      </c>
      <c r="N1056" s="7">
        <v>11.3</v>
      </c>
      <c r="O1056" s="7">
        <v>4.2</v>
      </c>
      <c r="P1056" s="7">
        <v>3.3</v>
      </c>
      <c r="Q1056" t="s">
        <v>31</v>
      </c>
      <c r="R1056" s="7" t="str">
        <f>TEXT(Table1[[#This Row],[Date]],"mmm yyyy")</f>
        <v>Dec 2025</v>
      </c>
      <c r="S1056" s="9">
        <f>YEAR(Table1[[#This Row],[Date]])</f>
        <v>2025</v>
      </c>
      <c r="T1056" s="9"/>
      <c r="U1056" s="9"/>
    </row>
    <row r="1057" spans="1:21" x14ac:dyDescent="0.3">
      <c r="A1057" t="s">
        <v>1650</v>
      </c>
      <c r="B1057" s="6">
        <v>46094</v>
      </c>
      <c r="C1057" t="s">
        <v>18</v>
      </c>
      <c r="D1057" t="s">
        <v>41</v>
      </c>
      <c r="E1057" t="s">
        <v>28</v>
      </c>
      <c r="F1057" t="s">
        <v>551</v>
      </c>
      <c r="G1057" t="s">
        <v>44</v>
      </c>
      <c r="H1057" t="s">
        <v>23</v>
      </c>
      <c r="I1057" t="s">
        <v>24</v>
      </c>
      <c r="J1057" s="9">
        <v>1</v>
      </c>
      <c r="K1057" s="7">
        <v>7500</v>
      </c>
      <c r="L1057" s="7">
        <v>7500</v>
      </c>
      <c r="M1057" s="9"/>
      <c r="N1057" s="7">
        <v>14.1</v>
      </c>
      <c r="O1057" s="7"/>
      <c r="P1057" s="7"/>
      <c r="Q1057" t="s">
        <v>24</v>
      </c>
      <c r="R1057" s="7" t="str">
        <f>TEXT(Table1[[#This Row],[Date]],"mmm yyyy")</f>
        <v>Mar 2026</v>
      </c>
      <c r="S1057" s="9">
        <f>YEAR(Table1[[#This Row],[Date]])</f>
        <v>2026</v>
      </c>
      <c r="T1057" s="9"/>
      <c r="U1057" s="9"/>
    </row>
    <row r="1058" spans="1:21" hidden="1" x14ac:dyDescent="0.3">
      <c r="A1058" t="s">
        <v>1651</v>
      </c>
      <c r="B1058" s="6">
        <v>46123</v>
      </c>
      <c r="C1058" t="s">
        <v>26</v>
      </c>
      <c r="D1058" t="s">
        <v>27</v>
      </c>
      <c r="E1058" t="s">
        <v>37</v>
      </c>
      <c r="F1058" t="s">
        <v>687</v>
      </c>
      <c r="G1058" t="s">
        <v>44</v>
      </c>
      <c r="J1058" s="9">
        <v>0</v>
      </c>
      <c r="K1058" s="7">
        <v>0</v>
      </c>
      <c r="L1058" s="7">
        <v>0</v>
      </c>
      <c r="M1058" s="9">
        <v>1</v>
      </c>
      <c r="N1058" s="7">
        <v>1.7</v>
      </c>
      <c r="O1058" s="7">
        <v>6.4</v>
      </c>
      <c r="P1058" s="7">
        <v>3.4</v>
      </c>
      <c r="Q1058" t="s">
        <v>31</v>
      </c>
      <c r="R1058" s="7" t="str">
        <f>TEXT(Table1[[#This Row],[Date]],"mmm yyyy")</f>
        <v>Apr 2026</v>
      </c>
      <c r="S1058" s="9">
        <f>YEAR(Table1[[#This Row],[Date]])</f>
        <v>2026</v>
      </c>
      <c r="T1058" s="9"/>
      <c r="U1058" s="9"/>
    </row>
    <row r="1059" spans="1:21" x14ac:dyDescent="0.3">
      <c r="A1059" t="s">
        <v>1652</v>
      </c>
      <c r="B1059" s="6">
        <v>46054</v>
      </c>
      <c r="C1059" t="s">
        <v>18</v>
      </c>
      <c r="D1059" t="s">
        <v>41</v>
      </c>
      <c r="E1059" t="s">
        <v>48</v>
      </c>
      <c r="F1059" t="s">
        <v>522</v>
      </c>
      <c r="G1059" t="s">
        <v>50</v>
      </c>
      <c r="H1059" t="s">
        <v>66</v>
      </c>
      <c r="I1059" t="s">
        <v>67</v>
      </c>
      <c r="J1059" s="9">
        <v>1</v>
      </c>
      <c r="K1059" s="7">
        <v>15900</v>
      </c>
      <c r="L1059" s="7">
        <v>0</v>
      </c>
      <c r="M1059" s="9"/>
      <c r="N1059" s="7">
        <v>9</v>
      </c>
      <c r="O1059" s="7"/>
      <c r="P1059" s="7"/>
      <c r="Q1059" t="s">
        <v>67</v>
      </c>
      <c r="R1059" s="7" t="str">
        <f>TEXT(Table1[[#This Row],[Date]],"mmm yyyy")</f>
        <v>Feb 2026</v>
      </c>
      <c r="S1059" s="9">
        <f>YEAR(Table1[[#This Row],[Date]])</f>
        <v>2026</v>
      </c>
      <c r="T1059" s="9"/>
      <c r="U1059" s="9"/>
    </row>
    <row r="1060" spans="1:21" x14ac:dyDescent="0.3">
      <c r="A1060" t="s">
        <v>1653</v>
      </c>
      <c r="B1060" s="6">
        <v>45916</v>
      </c>
      <c r="C1060" t="s">
        <v>18</v>
      </c>
      <c r="D1060" t="s">
        <v>19</v>
      </c>
      <c r="E1060" t="s">
        <v>42</v>
      </c>
      <c r="F1060" t="s">
        <v>1373</v>
      </c>
      <c r="G1060" t="s">
        <v>44</v>
      </c>
      <c r="H1060" t="s">
        <v>78</v>
      </c>
      <c r="I1060" t="s">
        <v>55</v>
      </c>
      <c r="J1060" s="9">
        <v>1</v>
      </c>
      <c r="K1060" s="7">
        <v>17400</v>
      </c>
      <c r="L1060" s="7">
        <v>0</v>
      </c>
      <c r="M1060" s="9"/>
      <c r="N1060" s="7">
        <v>9.9</v>
      </c>
      <c r="O1060" s="7"/>
      <c r="P1060" s="7"/>
      <c r="Q1060" t="s">
        <v>55</v>
      </c>
      <c r="R1060" s="7" t="str">
        <f>TEXT(Table1[[#This Row],[Date]],"mmm yyyy")</f>
        <v>Sep 2025</v>
      </c>
      <c r="S1060" s="9">
        <f>YEAR(Table1[[#This Row],[Date]])</f>
        <v>2025</v>
      </c>
      <c r="T1060" s="9"/>
      <c r="U1060" s="9"/>
    </row>
    <row r="1061" spans="1:21" hidden="1" x14ac:dyDescent="0.3">
      <c r="A1061" t="s">
        <v>1654</v>
      </c>
      <c r="B1061" s="6">
        <v>46252</v>
      </c>
      <c r="C1061" t="s">
        <v>26</v>
      </c>
      <c r="D1061" t="s">
        <v>36</v>
      </c>
      <c r="E1061" t="s">
        <v>28</v>
      </c>
      <c r="F1061" t="s">
        <v>1655</v>
      </c>
      <c r="G1061" t="s">
        <v>22</v>
      </c>
      <c r="J1061" s="9">
        <v>0</v>
      </c>
      <c r="K1061" s="7">
        <v>0</v>
      </c>
      <c r="L1061" s="7">
        <v>0</v>
      </c>
      <c r="M1061" s="9">
        <v>1</v>
      </c>
      <c r="N1061" s="7">
        <v>10.3</v>
      </c>
      <c r="O1061" s="7">
        <v>8.5</v>
      </c>
      <c r="P1061" s="7">
        <v>4.8</v>
      </c>
      <c r="Q1061" t="s">
        <v>31</v>
      </c>
      <c r="R1061" s="7" t="str">
        <f>TEXT(Table1[[#This Row],[Date]],"mmm yyyy")</f>
        <v>Aug 2026</v>
      </c>
      <c r="S1061" s="9">
        <f>YEAR(Table1[[#This Row],[Date]])</f>
        <v>2026</v>
      </c>
      <c r="T1061" s="9"/>
      <c r="U1061" s="9"/>
    </row>
    <row r="1062" spans="1:21" hidden="1" x14ac:dyDescent="0.3">
      <c r="A1062" t="s">
        <v>1656</v>
      </c>
      <c r="B1062" s="6">
        <v>46170</v>
      </c>
      <c r="C1062" t="s">
        <v>26</v>
      </c>
      <c r="D1062" t="s">
        <v>114</v>
      </c>
      <c r="E1062" t="s">
        <v>37</v>
      </c>
      <c r="F1062" t="s">
        <v>260</v>
      </c>
      <c r="G1062" t="s">
        <v>50</v>
      </c>
      <c r="J1062" s="9">
        <v>0</v>
      </c>
      <c r="K1062" s="7">
        <v>0</v>
      </c>
      <c r="L1062" s="7">
        <v>0</v>
      </c>
      <c r="M1062" s="9">
        <v>1</v>
      </c>
      <c r="N1062" s="7">
        <v>1.3</v>
      </c>
      <c r="O1062" s="7">
        <v>5.6</v>
      </c>
      <c r="P1062" s="7">
        <v>2.8</v>
      </c>
      <c r="Q1062" t="s">
        <v>39</v>
      </c>
      <c r="R1062" s="7" t="str">
        <f>TEXT(Table1[[#This Row],[Date]],"mmm yyyy")</f>
        <v>May 2026</v>
      </c>
      <c r="S1062" s="9">
        <f>YEAR(Table1[[#This Row],[Date]])</f>
        <v>2026</v>
      </c>
      <c r="T1062" s="9"/>
      <c r="U1062" s="9"/>
    </row>
    <row r="1063" spans="1:21" hidden="1" x14ac:dyDescent="0.3">
      <c r="A1063" t="s">
        <v>1657</v>
      </c>
      <c r="B1063" s="6">
        <v>46252</v>
      </c>
      <c r="C1063" t="s">
        <v>26</v>
      </c>
      <c r="D1063" t="s">
        <v>33</v>
      </c>
      <c r="E1063" t="s">
        <v>48</v>
      </c>
      <c r="F1063" t="s">
        <v>540</v>
      </c>
      <c r="G1063" t="s">
        <v>30</v>
      </c>
      <c r="J1063" s="9">
        <v>0</v>
      </c>
      <c r="K1063" s="7">
        <v>0</v>
      </c>
      <c r="L1063" s="7">
        <v>0</v>
      </c>
      <c r="M1063" s="9">
        <v>1</v>
      </c>
      <c r="N1063" s="7">
        <v>5.6</v>
      </c>
      <c r="O1063" s="7">
        <v>4.5</v>
      </c>
      <c r="P1063" s="7">
        <v>4.4000000000000004</v>
      </c>
      <c r="Q1063" t="s">
        <v>39</v>
      </c>
      <c r="R1063" s="7" t="str">
        <f>TEXT(Table1[[#This Row],[Date]],"mmm yyyy")</f>
        <v>Aug 2026</v>
      </c>
      <c r="S1063" s="9">
        <f>YEAR(Table1[[#This Row],[Date]])</f>
        <v>2026</v>
      </c>
      <c r="T1063" s="9"/>
      <c r="U1063" s="9"/>
    </row>
    <row r="1064" spans="1:21" hidden="1" x14ac:dyDescent="0.3">
      <c r="A1064" t="s">
        <v>1658</v>
      </c>
      <c r="B1064" s="6">
        <v>46110</v>
      </c>
      <c r="C1064" t="s">
        <v>26</v>
      </c>
      <c r="D1064" t="s">
        <v>33</v>
      </c>
      <c r="E1064" t="s">
        <v>20</v>
      </c>
      <c r="F1064" t="s">
        <v>355</v>
      </c>
      <c r="G1064" t="s">
        <v>30</v>
      </c>
      <c r="J1064" s="9">
        <v>0</v>
      </c>
      <c r="K1064" s="7">
        <v>0</v>
      </c>
      <c r="L1064" s="7">
        <v>0</v>
      </c>
      <c r="M1064" s="9">
        <v>1</v>
      </c>
      <c r="N1064" s="7">
        <v>4.5</v>
      </c>
      <c r="O1064" s="7">
        <v>4.9000000000000004</v>
      </c>
      <c r="P1064" s="7">
        <v>4.2</v>
      </c>
      <c r="Q1064" t="s">
        <v>62</v>
      </c>
      <c r="R1064" s="7" t="str">
        <f>TEXT(Table1[[#This Row],[Date]],"mmm yyyy")</f>
        <v>Mar 2026</v>
      </c>
      <c r="S1064" s="9">
        <f>YEAR(Table1[[#This Row],[Date]])</f>
        <v>2026</v>
      </c>
      <c r="T1064" s="9"/>
      <c r="U1064" s="9"/>
    </row>
    <row r="1065" spans="1:21" x14ac:dyDescent="0.3">
      <c r="A1065" t="s">
        <v>1659</v>
      </c>
      <c r="B1065" s="6">
        <v>46232</v>
      </c>
      <c r="C1065" t="s">
        <v>18</v>
      </c>
      <c r="D1065" t="s">
        <v>117</v>
      </c>
      <c r="E1065" t="s">
        <v>37</v>
      </c>
      <c r="F1065" t="s">
        <v>1402</v>
      </c>
      <c r="G1065" t="s">
        <v>44</v>
      </c>
      <c r="H1065" t="s">
        <v>23</v>
      </c>
      <c r="I1065" t="s">
        <v>45</v>
      </c>
      <c r="J1065" s="9">
        <v>1</v>
      </c>
      <c r="K1065" s="7">
        <v>81700</v>
      </c>
      <c r="L1065" s="7">
        <v>0</v>
      </c>
      <c r="M1065" s="9"/>
      <c r="N1065" s="7">
        <v>10</v>
      </c>
      <c r="O1065" s="7"/>
      <c r="P1065" s="7"/>
      <c r="Q1065" t="s">
        <v>45</v>
      </c>
      <c r="R1065" s="7" t="str">
        <f>TEXT(Table1[[#This Row],[Date]],"mmm yyyy")</f>
        <v>Jul 2026</v>
      </c>
      <c r="S1065" s="9">
        <f>YEAR(Table1[[#This Row],[Date]])</f>
        <v>2026</v>
      </c>
      <c r="T1065" s="9"/>
      <c r="U1065" s="9"/>
    </row>
    <row r="1066" spans="1:21" x14ac:dyDescent="0.3">
      <c r="A1066" t="s">
        <v>1660</v>
      </c>
      <c r="B1066" s="6">
        <v>46048</v>
      </c>
      <c r="C1066" t="s">
        <v>18</v>
      </c>
      <c r="D1066" t="s">
        <v>64</v>
      </c>
      <c r="E1066" t="s">
        <v>48</v>
      </c>
      <c r="F1066" t="s">
        <v>563</v>
      </c>
      <c r="G1066" t="s">
        <v>22</v>
      </c>
      <c r="H1066" t="s">
        <v>23</v>
      </c>
      <c r="I1066" t="s">
        <v>24</v>
      </c>
      <c r="J1066" s="9">
        <v>1</v>
      </c>
      <c r="K1066" s="7">
        <v>5000</v>
      </c>
      <c r="L1066" s="7">
        <v>5000</v>
      </c>
      <c r="M1066" s="9"/>
      <c r="N1066" s="7">
        <v>2.4</v>
      </c>
      <c r="O1066" s="7"/>
      <c r="P1066" s="7"/>
      <c r="Q1066" t="s">
        <v>24</v>
      </c>
      <c r="R1066" s="7" t="str">
        <f>TEXT(Table1[[#This Row],[Date]],"mmm yyyy")</f>
        <v>Jan 2026</v>
      </c>
      <c r="S1066" s="9">
        <f>YEAR(Table1[[#This Row],[Date]])</f>
        <v>2026</v>
      </c>
      <c r="T1066" s="9"/>
      <c r="U1066" s="9"/>
    </row>
    <row r="1067" spans="1:21" hidden="1" x14ac:dyDescent="0.3">
      <c r="A1067" t="s">
        <v>1661</v>
      </c>
      <c r="B1067" s="6">
        <v>46089</v>
      </c>
      <c r="C1067" t="s">
        <v>26</v>
      </c>
      <c r="D1067" t="s">
        <v>126</v>
      </c>
      <c r="E1067" t="s">
        <v>20</v>
      </c>
      <c r="F1067" t="s">
        <v>1166</v>
      </c>
      <c r="G1067" t="s">
        <v>44</v>
      </c>
      <c r="J1067" s="9">
        <v>0</v>
      </c>
      <c r="K1067" s="7">
        <v>0</v>
      </c>
      <c r="L1067" s="7">
        <v>0</v>
      </c>
      <c r="M1067" s="9">
        <v>1</v>
      </c>
      <c r="N1067" s="7">
        <v>5.8</v>
      </c>
      <c r="O1067" s="7">
        <v>9</v>
      </c>
      <c r="P1067" s="7">
        <v>2.7</v>
      </c>
      <c r="Q1067" t="s">
        <v>39</v>
      </c>
      <c r="R1067" s="7" t="str">
        <f>TEXT(Table1[[#This Row],[Date]],"mmm yyyy")</f>
        <v>Mar 2026</v>
      </c>
      <c r="S1067" s="9">
        <f>YEAR(Table1[[#This Row],[Date]])</f>
        <v>2026</v>
      </c>
      <c r="T1067" s="9"/>
      <c r="U1067" s="9"/>
    </row>
    <row r="1068" spans="1:21" x14ac:dyDescent="0.3">
      <c r="A1068" t="s">
        <v>1662</v>
      </c>
      <c r="B1068" s="6">
        <v>46238</v>
      </c>
      <c r="C1068" t="s">
        <v>18</v>
      </c>
      <c r="D1068" t="s">
        <v>64</v>
      </c>
      <c r="E1068" t="s">
        <v>20</v>
      </c>
      <c r="F1068" t="s">
        <v>276</v>
      </c>
      <c r="G1068" t="s">
        <v>30</v>
      </c>
      <c r="H1068" t="s">
        <v>78</v>
      </c>
      <c r="I1068" t="s">
        <v>24</v>
      </c>
      <c r="J1068" s="9">
        <v>1</v>
      </c>
      <c r="K1068" s="7">
        <v>51100</v>
      </c>
      <c r="L1068" s="7">
        <v>51100</v>
      </c>
      <c r="M1068" s="9"/>
      <c r="N1068" s="7">
        <v>10.199999999999999</v>
      </c>
      <c r="O1068" s="7"/>
      <c r="P1068" s="7"/>
      <c r="Q1068" t="s">
        <v>24</v>
      </c>
      <c r="R1068" s="7" t="str">
        <f>TEXT(Table1[[#This Row],[Date]],"mmm yyyy")</f>
        <v>Aug 2026</v>
      </c>
      <c r="S1068" s="9">
        <f>YEAR(Table1[[#This Row],[Date]])</f>
        <v>2026</v>
      </c>
      <c r="T1068" s="9"/>
      <c r="U1068" s="9"/>
    </row>
    <row r="1069" spans="1:21" x14ac:dyDescent="0.3">
      <c r="A1069" t="s">
        <v>1663</v>
      </c>
      <c r="B1069" s="6">
        <v>46008</v>
      </c>
      <c r="C1069" t="s">
        <v>18</v>
      </c>
      <c r="D1069" t="s">
        <v>117</v>
      </c>
      <c r="E1069" t="s">
        <v>37</v>
      </c>
      <c r="F1069" t="s">
        <v>814</v>
      </c>
      <c r="G1069" t="s">
        <v>22</v>
      </c>
      <c r="H1069" t="s">
        <v>23</v>
      </c>
      <c r="I1069" t="s">
        <v>45</v>
      </c>
      <c r="J1069" s="9">
        <v>1</v>
      </c>
      <c r="K1069" s="7">
        <v>73800</v>
      </c>
      <c r="L1069" s="7">
        <v>0</v>
      </c>
      <c r="M1069" s="9"/>
      <c r="N1069" s="7">
        <v>19.5</v>
      </c>
      <c r="O1069" s="7"/>
      <c r="P1069" s="7"/>
      <c r="Q1069" t="s">
        <v>45</v>
      </c>
      <c r="R1069" s="7" t="str">
        <f>TEXT(Table1[[#This Row],[Date]],"mmm yyyy")</f>
        <v>Dec 2025</v>
      </c>
      <c r="S1069" s="9">
        <f>YEAR(Table1[[#This Row],[Date]])</f>
        <v>2025</v>
      </c>
      <c r="T1069" s="9"/>
      <c r="U1069" s="9"/>
    </row>
    <row r="1070" spans="1:21" x14ac:dyDescent="0.3">
      <c r="A1070" t="s">
        <v>1664</v>
      </c>
      <c r="B1070" s="6">
        <v>46181</v>
      </c>
      <c r="C1070" t="s">
        <v>18</v>
      </c>
      <c r="D1070" t="s">
        <v>64</v>
      </c>
      <c r="E1070" t="s">
        <v>28</v>
      </c>
      <c r="F1070" t="s">
        <v>589</v>
      </c>
      <c r="G1070" t="s">
        <v>22</v>
      </c>
      <c r="H1070" t="s">
        <v>23</v>
      </c>
      <c r="I1070" t="s">
        <v>67</v>
      </c>
      <c r="J1070" s="9">
        <v>1</v>
      </c>
      <c r="K1070" s="7">
        <v>7200</v>
      </c>
      <c r="L1070" s="7">
        <v>0</v>
      </c>
      <c r="M1070" s="9"/>
      <c r="N1070" s="7">
        <v>17.3</v>
      </c>
      <c r="O1070" s="7"/>
      <c r="P1070" s="7"/>
      <c r="Q1070" t="s">
        <v>67</v>
      </c>
      <c r="R1070" s="7" t="str">
        <f>TEXT(Table1[[#This Row],[Date]],"mmm yyyy")</f>
        <v>Jun 2026</v>
      </c>
      <c r="S1070" s="9">
        <f>YEAR(Table1[[#This Row],[Date]])</f>
        <v>2026</v>
      </c>
      <c r="T1070" s="9"/>
      <c r="U1070" s="9"/>
    </row>
    <row r="1071" spans="1:21" x14ac:dyDescent="0.3">
      <c r="A1071" t="s">
        <v>1665</v>
      </c>
      <c r="B1071" s="6">
        <v>46058</v>
      </c>
      <c r="C1071" t="s">
        <v>18</v>
      </c>
      <c r="D1071" t="s">
        <v>95</v>
      </c>
      <c r="E1071" t="s">
        <v>37</v>
      </c>
      <c r="F1071" t="s">
        <v>838</v>
      </c>
      <c r="G1071" t="s">
        <v>30</v>
      </c>
      <c r="H1071" t="s">
        <v>78</v>
      </c>
      <c r="I1071" t="s">
        <v>55</v>
      </c>
      <c r="J1071" s="9">
        <v>1</v>
      </c>
      <c r="K1071" s="7">
        <v>38000</v>
      </c>
      <c r="L1071" s="7">
        <v>0</v>
      </c>
      <c r="M1071" s="9"/>
      <c r="N1071" s="7">
        <v>22.2</v>
      </c>
      <c r="O1071" s="7"/>
      <c r="P1071" s="7"/>
      <c r="Q1071" t="s">
        <v>55</v>
      </c>
      <c r="R1071" s="7" t="str">
        <f>TEXT(Table1[[#This Row],[Date]],"mmm yyyy")</f>
        <v>Feb 2026</v>
      </c>
      <c r="S1071" s="9">
        <f>YEAR(Table1[[#This Row],[Date]])</f>
        <v>2026</v>
      </c>
      <c r="T1071" s="9"/>
      <c r="U1071" s="9"/>
    </row>
    <row r="1072" spans="1:21" x14ac:dyDescent="0.3">
      <c r="A1072" t="s">
        <v>1666</v>
      </c>
      <c r="B1072" s="6">
        <v>45997</v>
      </c>
      <c r="C1072" t="s">
        <v>18</v>
      </c>
      <c r="D1072" t="s">
        <v>95</v>
      </c>
      <c r="E1072" t="s">
        <v>48</v>
      </c>
      <c r="F1072" t="s">
        <v>1008</v>
      </c>
      <c r="G1072" t="s">
        <v>30</v>
      </c>
      <c r="H1072" t="s">
        <v>86</v>
      </c>
      <c r="I1072" t="s">
        <v>89</v>
      </c>
      <c r="J1072" s="9">
        <v>1</v>
      </c>
      <c r="K1072" s="7">
        <v>16900</v>
      </c>
      <c r="L1072" s="7">
        <v>0</v>
      </c>
      <c r="M1072" s="9"/>
      <c r="N1072" s="7">
        <v>5</v>
      </c>
      <c r="O1072" s="7"/>
      <c r="P1072" s="7"/>
      <c r="Q1072" t="s">
        <v>89</v>
      </c>
      <c r="R1072" s="7" t="str">
        <f>TEXT(Table1[[#This Row],[Date]],"mmm yyyy")</f>
        <v>Dec 2025</v>
      </c>
      <c r="S1072" s="9">
        <f>YEAR(Table1[[#This Row],[Date]])</f>
        <v>2025</v>
      </c>
      <c r="T1072" s="9"/>
      <c r="U1072" s="9"/>
    </row>
    <row r="1073" spans="1:21" x14ac:dyDescent="0.3">
      <c r="A1073" t="s">
        <v>1667</v>
      </c>
      <c r="B1073" s="6">
        <v>46241</v>
      </c>
      <c r="C1073" t="s">
        <v>18</v>
      </c>
      <c r="D1073" t="s">
        <v>95</v>
      </c>
      <c r="E1073" t="s">
        <v>48</v>
      </c>
      <c r="F1073" t="s">
        <v>611</v>
      </c>
      <c r="G1073" t="s">
        <v>30</v>
      </c>
      <c r="H1073" t="s">
        <v>23</v>
      </c>
      <c r="I1073" t="s">
        <v>24</v>
      </c>
      <c r="J1073" s="9">
        <v>1</v>
      </c>
      <c r="K1073" s="7">
        <v>66100</v>
      </c>
      <c r="L1073" s="7">
        <v>66100</v>
      </c>
      <c r="M1073" s="9"/>
      <c r="N1073" s="7">
        <v>7.8</v>
      </c>
      <c r="O1073" s="7"/>
      <c r="P1073" s="7"/>
      <c r="Q1073" t="s">
        <v>24</v>
      </c>
      <c r="R1073" s="7" t="str">
        <f>TEXT(Table1[[#This Row],[Date]],"mmm yyyy")</f>
        <v>Aug 2026</v>
      </c>
      <c r="S1073" s="9">
        <f>YEAR(Table1[[#This Row],[Date]])</f>
        <v>2026</v>
      </c>
      <c r="T1073" s="9"/>
      <c r="U1073" s="9"/>
    </row>
    <row r="1074" spans="1:21" x14ac:dyDescent="0.3">
      <c r="A1074" t="s">
        <v>1668</v>
      </c>
      <c r="B1074" s="6">
        <v>46231</v>
      </c>
      <c r="C1074" t="s">
        <v>18</v>
      </c>
      <c r="D1074" t="s">
        <v>52</v>
      </c>
      <c r="E1074" t="s">
        <v>20</v>
      </c>
      <c r="F1074" t="s">
        <v>932</v>
      </c>
      <c r="G1074" t="s">
        <v>50</v>
      </c>
      <c r="H1074" t="s">
        <v>78</v>
      </c>
      <c r="I1074" t="s">
        <v>79</v>
      </c>
      <c r="J1074" s="9">
        <v>1</v>
      </c>
      <c r="K1074" s="7">
        <v>8400</v>
      </c>
      <c r="L1074" s="7">
        <v>0</v>
      </c>
      <c r="M1074" s="9"/>
      <c r="N1074" s="7">
        <v>13.4</v>
      </c>
      <c r="O1074" s="7"/>
      <c r="P1074" s="7"/>
      <c r="Q1074" t="s">
        <v>79</v>
      </c>
      <c r="R1074" s="7" t="str">
        <f>TEXT(Table1[[#This Row],[Date]],"mmm yyyy")</f>
        <v>Jul 2026</v>
      </c>
      <c r="S1074" s="9">
        <f>YEAR(Table1[[#This Row],[Date]])</f>
        <v>2026</v>
      </c>
      <c r="T1074" s="9"/>
      <c r="U1074" s="9"/>
    </row>
    <row r="1075" spans="1:21" x14ac:dyDescent="0.3">
      <c r="A1075" t="s">
        <v>1669</v>
      </c>
      <c r="B1075" s="6">
        <v>46112</v>
      </c>
      <c r="C1075" t="s">
        <v>18</v>
      </c>
      <c r="D1075" t="s">
        <v>64</v>
      </c>
      <c r="E1075" t="s">
        <v>20</v>
      </c>
      <c r="F1075" t="s">
        <v>314</v>
      </c>
      <c r="G1075" t="s">
        <v>30</v>
      </c>
      <c r="H1075" t="s">
        <v>86</v>
      </c>
      <c r="I1075" t="s">
        <v>24</v>
      </c>
      <c r="J1075" s="9">
        <v>1</v>
      </c>
      <c r="K1075" s="7">
        <v>12100</v>
      </c>
      <c r="L1075" s="7">
        <v>12100</v>
      </c>
      <c r="M1075" s="9"/>
      <c r="N1075" s="7">
        <v>13.6</v>
      </c>
      <c r="O1075" s="7"/>
      <c r="P1075" s="7"/>
      <c r="Q1075" t="s">
        <v>24</v>
      </c>
      <c r="R1075" s="7" t="str">
        <f>TEXT(Table1[[#This Row],[Date]],"mmm yyyy")</f>
        <v>Mar 2026</v>
      </c>
      <c r="S1075" s="9">
        <f>YEAR(Table1[[#This Row],[Date]])</f>
        <v>2026</v>
      </c>
      <c r="T1075" s="9"/>
      <c r="U1075" s="9"/>
    </row>
    <row r="1076" spans="1:21" hidden="1" x14ac:dyDescent="0.3">
      <c r="A1076" t="s">
        <v>1670</v>
      </c>
      <c r="B1076" s="6">
        <v>46128</v>
      </c>
      <c r="C1076" t="s">
        <v>26</v>
      </c>
      <c r="D1076" t="s">
        <v>36</v>
      </c>
      <c r="E1076" t="s">
        <v>37</v>
      </c>
      <c r="F1076" t="s">
        <v>903</v>
      </c>
      <c r="G1076" t="s">
        <v>30</v>
      </c>
      <c r="J1076" s="9">
        <v>0</v>
      </c>
      <c r="K1076" s="7">
        <v>0</v>
      </c>
      <c r="L1076" s="7">
        <v>0</v>
      </c>
      <c r="M1076" s="9">
        <v>1</v>
      </c>
      <c r="N1076" s="7">
        <v>4.3</v>
      </c>
      <c r="O1076" s="7">
        <v>3.6</v>
      </c>
      <c r="P1076" s="7">
        <v>4.3</v>
      </c>
      <c r="Q1076" t="s">
        <v>225</v>
      </c>
      <c r="R1076" s="7" t="str">
        <f>TEXT(Table1[[#This Row],[Date]],"mmm yyyy")</f>
        <v>Apr 2026</v>
      </c>
      <c r="S1076" s="9">
        <f>YEAR(Table1[[#This Row],[Date]])</f>
        <v>2026</v>
      </c>
      <c r="T1076" s="9"/>
      <c r="U1076" s="9"/>
    </row>
    <row r="1077" spans="1:21" x14ac:dyDescent="0.3">
      <c r="A1077" t="s">
        <v>1671</v>
      </c>
      <c r="B1077" s="6">
        <v>46230</v>
      </c>
      <c r="C1077" t="s">
        <v>18</v>
      </c>
      <c r="D1077" t="s">
        <v>64</v>
      </c>
      <c r="E1077" t="s">
        <v>20</v>
      </c>
      <c r="F1077" t="s">
        <v>368</v>
      </c>
      <c r="G1077" t="s">
        <v>44</v>
      </c>
      <c r="H1077" t="s">
        <v>23</v>
      </c>
      <c r="I1077" t="s">
        <v>24</v>
      </c>
      <c r="J1077" s="9">
        <v>1</v>
      </c>
      <c r="K1077" s="7">
        <v>37400</v>
      </c>
      <c r="L1077" s="7">
        <v>37400</v>
      </c>
      <c r="M1077" s="9"/>
      <c r="N1077" s="7">
        <v>17.8</v>
      </c>
      <c r="O1077" s="7"/>
      <c r="P1077" s="7"/>
      <c r="Q1077" t="s">
        <v>24</v>
      </c>
      <c r="R1077" s="7" t="str">
        <f>TEXT(Table1[[#This Row],[Date]],"mmm yyyy")</f>
        <v>Jul 2026</v>
      </c>
      <c r="S1077" s="9">
        <f>YEAR(Table1[[#This Row],[Date]])</f>
        <v>2026</v>
      </c>
      <c r="T1077" s="9"/>
      <c r="U1077" s="9"/>
    </row>
    <row r="1078" spans="1:21" x14ac:dyDescent="0.3">
      <c r="A1078" t="s">
        <v>1672</v>
      </c>
      <c r="B1078" s="6">
        <v>46234</v>
      </c>
      <c r="C1078" t="s">
        <v>18</v>
      </c>
      <c r="D1078" t="s">
        <v>19</v>
      </c>
      <c r="E1078" t="s">
        <v>48</v>
      </c>
      <c r="F1078" t="s">
        <v>1673</v>
      </c>
      <c r="G1078" t="s">
        <v>50</v>
      </c>
      <c r="H1078" t="s">
        <v>54</v>
      </c>
      <c r="I1078" t="s">
        <v>45</v>
      </c>
      <c r="J1078" s="9">
        <v>1</v>
      </c>
      <c r="K1078" s="7">
        <v>20700</v>
      </c>
      <c r="L1078" s="7">
        <v>0</v>
      </c>
      <c r="M1078" s="9"/>
      <c r="N1078" s="7">
        <v>7.5</v>
      </c>
      <c r="O1078" s="7"/>
      <c r="P1078" s="7"/>
      <c r="Q1078" t="s">
        <v>45</v>
      </c>
      <c r="R1078" s="7" t="str">
        <f>TEXT(Table1[[#This Row],[Date]],"mmm yyyy")</f>
        <v>Jul 2026</v>
      </c>
      <c r="S1078" s="9">
        <f>YEAR(Table1[[#This Row],[Date]])</f>
        <v>2026</v>
      </c>
      <c r="T1078" s="9"/>
      <c r="U1078" s="9"/>
    </row>
    <row r="1079" spans="1:21" hidden="1" x14ac:dyDescent="0.3">
      <c r="A1079" t="s">
        <v>1674</v>
      </c>
      <c r="B1079" s="6">
        <v>46196</v>
      </c>
      <c r="C1079" t="s">
        <v>26</v>
      </c>
      <c r="D1079" t="s">
        <v>232</v>
      </c>
      <c r="E1079" t="s">
        <v>42</v>
      </c>
      <c r="F1079" t="s">
        <v>1675</v>
      </c>
      <c r="G1079" t="s">
        <v>50</v>
      </c>
      <c r="J1079" s="9">
        <v>0</v>
      </c>
      <c r="K1079" s="7">
        <v>0</v>
      </c>
      <c r="L1079" s="7">
        <v>0</v>
      </c>
      <c r="M1079" s="9">
        <v>1</v>
      </c>
      <c r="N1079" s="7">
        <v>8.1999999999999993</v>
      </c>
      <c r="O1079" s="7">
        <v>20.5</v>
      </c>
      <c r="P1079" s="7">
        <v>4.9000000000000004</v>
      </c>
      <c r="Q1079" t="s">
        <v>31</v>
      </c>
      <c r="R1079" s="7" t="str">
        <f>TEXT(Table1[[#This Row],[Date]],"mmm yyyy")</f>
        <v>Jun 2026</v>
      </c>
      <c r="S1079" s="9">
        <f>YEAR(Table1[[#This Row],[Date]])</f>
        <v>2026</v>
      </c>
      <c r="T1079" s="9"/>
      <c r="U1079" s="9"/>
    </row>
    <row r="1080" spans="1:21" x14ac:dyDescent="0.3">
      <c r="A1080" t="s">
        <v>1676</v>
      </c>
      <c r="B1080" s="6">
        <v>46149</v>
      </c>
      <c r="C1080" t="s">
        <v>18</v>
      </c>
      <c r="D1080" t="s">
        <v>105</v>
      </c>
      <c r="E1080" t="s">
        <v>28</v>
      </c>
      <c r="F1080" t="s">
        <v>1008</v>
      </c>
      <c r="G1080" t="s">
        <v>50</v>
      </c>
      <c r="H1080" t="s">
        <v>78</v>
      </c>
      <c r="I1080" t="s">
        <v>67</v>
      </c>
      <c r="J1080" s="9">
        <v>1</v>
      </c>
      <c r="K1080" s="7">
        <v>23600</v>
      </c>
      <c r="L1080" s="7">
        <v>0</v>
      </c>
      <c r="M1080" s="9"/>
      <c r="N1080" s="7">
        <v>12.4</v>
      </c>
      <c r="O1080" s="7"/>
      <c r="P1080" s="7"/>
      <c r="Q1080" t="s">
        <v>67</v>
      </c>
      <c r="R1080" s="7" t="str">
        <f>TEXT(Table1[[#This Row],[Date]],"mmm yyyy")</f>
        <v>May 2026</v>
      </c>
      <c r="S1080" s="9">
        <f>YEAR(Table1[[#This Row],[Date]])</f>
        <v>2026</v>
      </c>
      <c r="T1080" s="9"/>
      <c r="U1080" s="9"/>
    </row>
    <row r="1081" spans="1:21" hidden="1" x14ac:dyDescent="0.3">
      <c r="A1081" t="s">
        <v>1677</v>
      </c>
      <c r="B1081" s="6">
        <v>46091</v>
      </c>
      <c r="C1081" t="s">
        <v>26</v>
      </c>
      <c r="D1081" t="s">
        <v>232</v>
      </c>
      <c r="E1081" t="s">
        <v>20</v>
      </c>
      <c r="F1081" t="s">
        <v>1678</v>
      </c>
      <c r="G1081" t="s">
        <v>30</v>
      </c>
      <c r="J1081" s="9">
        <v>0</v>
      </c>
      <c r="K1081" s="7">
        <v>0</v>
      </c>
      <c r="L1081" s="7">
        <v>0</v>
      </c>
      <c r="M1081" s="9">
        <v>1</v>
      </c>
      <c r="N1081" s="7">
        <v>10.5</v>
      </c>
      <c r="O1081" s="7">
        <v>3.6</v>
      </c>
      <c r="P1081" s="7">
        <v>4.7</v>
      </c>
      <c r="Q1081" t="s">
        <v>62</v>
      </c>
      <c r="R1081" s="7" t="str">
        <f>TEXT(Table1[[#This Row],[Date]],"mmm yyyy")</f>
        <v>Mar 2026</v>
      </c>
      <c r="S1081" s="9">
        <f>YEAR(Table1[[#This Row],[Date]])</f>
        <v>2026</v>
      </c>
      <c r="T1081" s="9"/>
      <c r="U1081" s="9"/>
    </row>
    <row r="1082" spans="1:21" hidden="1" x14ac:dyDescent="0.3">
      <c r="A1082" t="s">
        <v>1679</v>
      </c>
      <c r="B1082" s="6">
        <v>46249</v>
      </c>
      <c r="C1082" t="s">
        <v>26</v>
      </c>
      <c r="D1082" t="s">
        <v>232</v>
      </c>
      <c r="E1082" t="s">
        <v>28</v>
      </c>
      <c r="F1082" t="s">
        <v>170</v>
      </c>
      <c r="G1082" t="s">
        <v>50</v>
      </c>
      <c r="J1082" s="9">
        <v>0</v>
      </c>
      <c r="K1082" s="7">
        <v>0</v>
      </c>
      <c r="L1082" s="7">
        <v>0</v>
      </c>
      <c r="M1082" s="9">
        <v>1</v>
      </c>
      <c r="N1082" s="7">
        <v>6.3</v>
      </c>
      <c r="O1082" s="7">
        <v>7.9</v>
      </c>
      <c r="P1082" s="7">
        <v>5</v>
      </c>
      <c r="Q1082" t="s">
        <v>39</v>
      </c>
      <c r="R1082" s="7" t="str">
        <f>TEXT(Table1[[#This Row],[Date]],"mmm yyyy")</f>
        <v>Aug 2026</v>
      </c>
      <c r="S1082" s="9">
        <f>YEAR(Table1[[#This Row],[Date]])</f>
        <v>2026</v>
      </c>
      <c r="T1082" s="9"/>
      <c r="U1082" s="9"/>
    </row>
    <row r="1083" spans="1:21" x14ac:dyDescent="0.3">
      <c r="A1083" t="s">
        <v>1680</v>
      </c>
      <c r="B1083" s="6">
        <v>46051</v>
      </c>
      <c r="C1083" t="s">
        <v>18</v>
      </c>
      <c r="D1083" t="s">
        <v>95</v>
      </c>
      <c r="E1083" t="s">
        <v>37</v>
      </c>
      <c r="F1083" t="s">
        <v>224</v>
      </c>
      <c r="G1083" t="s">
        <v>44</v>
      </c>
      <c r="H1083" t="s">
        <v>23</v>
      </c>
      <c r="I1083" t="s">
        <v>55</v>
      </c>
      <c r="J1083" s="9">
        <v>1</v>
      </c>
      <c r="K1083" s="7">
        <v>20700</v>
      </c>
      <c r="L1083" s="7">
        <v>0</v>
      </c>
      <c r="M1083" s="9"/>
      <c r="N1083" s="7">
        <v>20.3</v>
      </c>
      <c r="O1083" s="7"/>
      <c r="P1083" s="7"/>
      <c r="Q1083" t="s">
        <v>55</v>
      </c>
      <c r="R1083" s="7" t="str">
        <f>TEXT(Table1[[#This Row],[Date]],"mmm yyyy")</f>
        <v>Jan 2026</v>
      </c>
      <c r="S1083" s="9">
        <f>YEAR(Table1[[#This Row],[Date]])</f>
        <v>2026</v>
      </c>
      <c r="T1083" s="9"/>
      <c r="U1083" s="9"/>
    </row>
    <row r="1084" spans="1:21" x14ac:dyDescent="0.3">
      <c r="A1084" t="s">
        <v>1681</v>
      </c>
      <c r="B1084" s="6">
        <v>45979</v>
      </c>
      <c r="C1084" t="s">
        <v>18</v>
      </c>
      <c r="D1084" t="s">
        <v>105</v>
      </c>
      <c r="E1084" t="s">
        <v>20</v>
      </c>
      <c r="F1084" t="s">
        <v>889</v>
      </c>
      <c r="G1084" t="s">
        <v>22</v>
      </c>
      <c r="H1084" t="s">
        <v>23</v>
      </c>
      <c r="I1084" t="s">
        <v>55</v>
      </c>
      <c r="J1084" s="9">
        <v>1</v>
      </c>
      <c r="K1084" s="7">
        <v>72700</v>
      </c>
      <c r="L1084" s="7">
        <v>0</v>
      </c>
      <c r="M1084" s="9"/>
      <c r="N1084" s="7">
        <v>19.3</v>
      </c>
      <c r="O1084" s="7"/>
      <c r="P1084" s="7"/>
      <c r="Q1084" t="s">
        <v>55</v>
      </c>
      <c r="R1084" s="7" t="str">
        <f>TEXT(Table1[[#This Row],[Date]],"mmm yyyy")</f>
        <v>Nov 2025</v>
      </c>
      <c r="S1084" s="9">
        <f>YEAR(Table1[[#This Row],[Date]])</f>
        <v>2025</v>
      </c>
      <c r="T1084" s="9"/>
      <c r="U1084" s="9"/>
    </row>
    <row r="1085" spans="1:21" hidden="1" x14ac:dyDescent="0.3">
      <c r="A1085" t="s">
        <v>1682</v>
      </c>
      <c r="B1085" s="6">
        <v>46120</v>
      </c>
      <c r="C1085" t="s">
        <v>26</v>
      </c>
      <c r="D1085" t="s">
        <v>27</v>
      </c>
      <c r="E1085" t="s">
        <v>20</v>
      </c>
      <c r="F1085" t="s">
        <v>1683</v>
      </c>
      <c r="G1085" t="s">
        <v>50</v>
      </c>
      <c r="J1085" s="9">
        <v>0</v>
      </c>
      <c r="K1085" s="7">
        <v>0</v>
      </c>
      <c r="L1085" s="7">
        <v>0</v>
      </c>
      <c r="M1085" s="9">
        <v>1</v>
      </c>
      <c r="N1085" s="7">
        <v>9.3000000000000007</v>
      </c>
      <c r="O1085" s="7">
        <v>23</v>
      </c>
      <c r="P1085" s="7">
        <v>3.7</v>
      </c>
      <c r="Q1085" t="s">
        <v>31</v>
      </c>
      <c r="R1085" s="7" t="str">
        <f>TEXT(Table1[[#This Row],[Date]],"mmm yyyy")</f>
        <v>Apr 2026</v>
      </c>
      <c r="S1085" s="9">
        <f>YEAR(Table1[[#This Row],[Date]])</f>
        <v>2026</v>
      </c>
      <c r="T1085" s="9"/>
      <c r="U1085" s="9"/>
    </row>
    <row r="1086" spans="1:21" hidden="1" x14ac:dyDescent="0.3">
      <c r="A1086" t="s">
        <v>1684</v>
      </c>
      <c r="B1086" s="6">
        <v>46020</v>
      </c>
      <c r="C1086" t="s">
        <v>26</v>
      </c>
      <c r="D1086" t="s">
        <v>114</v>
      </c>
      <c r="E1086" t="s">
        <v>42</v>
      </c>
      <c r="F1086" t="s">
        <v>91</v>
      </c>
      <c r="G1086" t="s">
        <v>22</v>
      </c>
      <c r="J1086" s="9">
        <v>0</v>
      </c>
      <c r="K1086" s="7">
        <v>0</v>
      </c>
      <c r="L1086" s="7">
        <v>0</v>
      </c>
      <c r="M1086" s="9">
        <v>1</v>
      </c>
      <c r="N1086" s="7">
        <v>4.7</v>
      </c>
      <c r="O1086" s="7">
        <v>3.5</v>
      </c>
      <c r="P1086" s="7">
        <v>4.5999999999999996</v>
      </c>
      <c r="Q1086" t="s">
        <v>39</v>
      </c>
      <c r="R1086" s="7" t="str">
        <f>TEXT(Table1[[#This Row],[Date]],"mmm yyyy")</f>
        <v>Dec 2025</v>
      </c>
      <c r="S1086" s="9">
        <f>YEAR(Table1[[#This Row],[Date]])</f>
        <v>2025</v>
      </c>
      <c r="T1086" s="9"/>
      <c r="U1086" s="9"/>
    </row>
    <row r="1087" spans="1:21" x14ac:dyDescent="0.3">
      <c r="A1087" t="s">
        <v>1685</v>
      </c>
      <c r="B1087" s="6">
        <v>46252</v>
      </c>
      <c r="C1087" t="s">
        <v>18</v>
      </c>
      <c r="D1087" t="s">
        <v>47</v>
      </c>
      <c r="E1087" t="s">
        <v>37</v>
      </c>
      <c r="F1087" t="s">
        <v>438</v>
      </c>
      <c r="G1087" t="s">
        <v>22</v>
      </c>
      <c r="H1087" t="s">
        <v>66</v>
      </c>
      <c r="I1087" t="s">
        <v>67</v>
      </c>
      <c r="J1087" s="9">
        <v>1</v>
      </c>
      <c r="K1087" s="7">
        <v>17200</v>
      </c>
      <c r="L1087" s="7">
        <v>0</v>
      </c>
      <c r="M1087" s="9"/>
      <c r="N1087" s="7">
        <v>22.5</v>
      </c>
      <c r="O1087" s="7"/>
      <c r="P1087" s="7"/>
      <c r="Q1087" t="s">
        <v>67</v>
      </c>
      <c r="R1087" s="7" t="str">
        <f>TEXT(Table1[[#This Row],[Date]],"mmm yyyy")</f>
        <v>Aug 2026</v>
      </c>
      <c r="S1087" s="9">
        <f>YEAR(Table1[[#This Row],[Date]])</f>
        <v>2026</v>
      </c>
      <c r="T1087" s="9"/>
      <c r="U1087" s="9"/>
    </row>
    <row r="1088" spans="1:21" hidden="1" x14ac:dyDescent="0.3">
      <c r="A1088" t="s">
        <v>1686</v>
      </c>
      <c r="B1088" s="6">
        <v>45905</v>
      </c>
      <c r="C1088" t="s">
        <v>26</v>
      </c>
      <c r="D1088" t="s">
        <v>72</v>
      </c>
      <c r="E1088" t="s">
        <v>20</v>
      </c>
      <c r="F1088" t="s">
        <v>742</v>
      </c>
      <c r="G1088" t="s">
        <v>22</v>
      </c>
      <c r="J1088" s="9">
        <v>0</v>
      </c>
      <c r="K1088" s="7">
        <v>0</v>
      </c>
      <c r="L1088" s="7">
        <v>0</v>
      </c>
      <c r="M1088" s="9">
        <v>1</v>
      </c>
      <c r="N1088" s="7">
        <v>3.3</v>
      </c>
      <c r="O1088" s="7">
        <v>11.2</v>
      </c>
      <c r="P1088" s="7">
        <v>3.2</v>
      </c>
      <c r="Q1088" t="s">
        <v>39</v>
      </c>
      <c r="R1088" s="7" t="str">
        <f>TEXT(Table1[[#This Row],[Date]],"mmm yyyy")</f>
        <v>Sep 2025</v>
      </c>
      <c r="S1088" s="9">
        <f>YEAR(Table1[[#This Row],[Date]])</f>
        <v>2025</v>
      </c>
      <c r="T1088" s="9"/>
      <c r="U1088" s="9"/>
    </row>
    <row r="1089" spans="1:21" x14ac:dyDescent="0.3">
      <c r="A1089" t="s">
        <v>1687</v>
      </c>
      <c r="B1089" s="6">
        <v>46258</v>
      </c>
      <c r="C1089" t="s">
        <v>18</v>
      </c>
      <c r="D1089" t="s">
        <v>47</v>
      </c>
      <c r="E1089" t="s">
        <v>20</v>
      </c>
      <c r="F1089" t="s">
        <v>1609</v>
      </c>
      <c r="G1089" t="s">
        <v>50</v>
      </c>
      <c r="H1089" t="s">
        <v>78</v>
      </c>
      <c r="I1089" t="s">
        <v>79</v>
      </c>
      <c r="J1089" s="9">
        <v>1</v>
      </c>
      <c r="K1089" s="7">
        <v>63100</v>
      </c>
      <c r="L1089" s="7">
        <v>0</v>
      </c>
      <c r="M1089" s="9"/>
      <c r="N1089" s="7">
        <v>0.8</v>
      </c>
      <c r="O1089" s="7"/>
      <c r="P1089" s="7"/>
      <c r="Q1089" t="s">
        <v>79</v>
      </c>
      <c r="R1089" s="7" t="str">
        <f>TEXT(Table1[[#This Row],[Date]],"mmm yyyy")</f>
        <v>Aug 2026</v>
      </c>
      <c r="S1089" s="9">
        <f>YEAR(Table1[[#This Row],[Date]])</f>
        <v>2026</v>
      </c>
      <c r="T1089" s="9"/>
      <c r="U1089" s="9"/>
    </row>
    <row r="1090" spans="1:21" hidden="1" x14ac:dyDescent="0.3">
      <c r="A1090" t="s">
        <v>1688</v>
      </c>
      <c r="B1090" s="6">
        <v>46239</v>
      </c>
      <c r="C1090" t="s">
        <v>26</v>
      </c>
      <c r="D1090" t="s">
        <v>36</v>
      </c>
      <c r="E1090" t="s">
        <v>20</v>
      </c>
      <c r="F1090" t="s">
        <v>1689</v>
      </c>
      <c r="G1090" t="s">
        <v>44</v>
      </c>
      <c r="J1090" s="9">
        <v>0</v>
      </c>
      <c r="K1090" s="7">
        <v>0</v>
      </c>
      <c r="L1090" s="7">
        <v>0</v>
      </c>
      <c r="M1090" s="9">
        <v>1</v>
      </c>
      <c r="N1090" s="7">
        <v>12</v>
      </c>
      <c r="O1090" s="7">
        <v>3.7</v>
      </c>
      <c r="P1090" s="7">
        <v>3.9</v>
      </c>
      <c r="Q1090" t="s">
        <v>62</v>
      </c>
      <c r="R1090" s="7" t="str">
        <f>TEXT(Table1[[#This Row],[Date]],"mmm yyyy")</f>
        <v>Aug 2026</v>
      </c>
      <c r="S1090" s="9">
        <f>YEAR(Table1[[#This Row],[Date]])</f>
        <v>2026</v>
      </c>
      <c r="T1090" s="9"/>
      <c r="U1090" s="9"/>
    </row>
    <row r="1091" spans="1:21" x14ac:dyDescent="0.3">
      <c r="A1091" t="s">
        <v>1690</v>
      </c>
      <c r="B1091" s="6">
        <v>46146</v>
      </c>
      <c r="C1091" t="s">
        <v>18</v>
      </c>
      <c r="D1091" t="s">
        <v>64</v>
      </c>
      <c r="E1091" t="s">
        <v>20</v>
      </c>
      <c r="F1091" t="s">
        <v>1691</v>
      </c>
      <c r="G1091" t="s">
        <v>30</v>
      </c>
      <c r="H1091" t="s">
        <v>54</v>
      </c>
      <c r="I1091" t="s">
        <v>24</v>
      </c>
      <c r="J1091" s="9">
        <v>1</v>
      </c>
      <c r="K1091" s="7">
        <v>6900</v>
      </c>
      <c r="L1091" s="7">
        <v>6900</v>
      </c>
      <c r="M1091" s="9"/>
      <c r="N1091" s="7">
        <v>22.9</v>
      </c>
      <c r="O1091" s="7"/>
      <c r="P1091" s="7"/>
      <c r="Q1091" t="s">
        <v>24</v>
      </c>
      <c r="R1091" s="7" t="str">
        <f>TEXT(Table1[[#This Row],[Date]],"mmm yyyy")</f>
        <v>May 2026</v>
      </c>
      <c r="S1091" s="9">
        <f>YEAR(Table1[[#This Row],[Date]])</f>
        <v>2026</v>
      </c>
      <c r="T1091" s="9"/>
      <c r="U1091" s="9"/>
    </row>
    <row r="1092" spans="1:21" hidden="1" x14ac:dyDescent="0.3">
      <c r="A1092" t="s">
        <v>1692</v>
      </c>
      <c r="B1092" s="6">
        <v>46261</v>
      </c>
      <c r="C1092" t="s">
        <v>26</v>
      </c>
      <c r="D1092" t="s">
        <v>126</v>
      </c>
      <c r="E1092" t="s">
        <v>37</v>
      </c>
      <c r="F1092" t="s">
        <v>524</v>
      </c>
      <c r="G1092" t="s">
        <v>22</v>
      </c>
      <c r="J1092" s="9">
        <v>0</v>
      </c>
      <c r="K1092" s="7">
        <v>0</v>
      </c>
      <c r="L1092" s="7">
        <v>0</v>
      </c>
      <c r="M1092" s="9">
        <v>1</v>
      </c>
      <c r="N1092" s="7">
        <v>6.5</v>
      </c>
      <c r="O1092" s="7">
        <v>10.3</v>
      </c>
      <c r="P1092" s="7">
        <v>4.2</v>
      </c>
      <c r="Q1092" t="s">
        <v>39</v>
      </c>
      <c r="R1092" s="7" t="str">
        <f>TEXT(Table1[[#This Row],[Date]],"mmm yyyy")</f>
        <v>Aug 2026</v>
      </c>
      <c r="S1092" s="9">
        <f>YEAR(Table1[[#This Row],[Date]])</f>
        <v>2026</v>
      </c>
      <c r="T1092" s="9"/>
      <c r="U1092" s="9"/>
    </row>
    <row r="1093" spans="1:21" hidden="1" x14ac:dyDescent="0.3">
      <c r="A1093" t="s">
        <v>1693</v>
      </c>
      <c r="B1093" s="6">
        <v>46079</v>
      </c>
      <c r="C1093" t="s">
        <v>26</v>
      </c>
      <c r="D1093" t="s">
        <v>126</v>
      </c>
      <c r="E1093" t="s">
        <v>42</v>
      </c>
      <c r="F1093" t="s">
        <v>1694</v>
      </c>
      <c r="G1093" t="s">
        <v>30</v>
      </c>
      <c r="J1093" s="9">
        <v>0</v>
      </c>
      <c r="K1093" s="7">
        <v>0</v>
      </c>
      <c r="L1093" s="7">
        <v>0</v>
      </c>
      <c r="M1093" s="9">
        <v>1</v>
      </c>
      <c r="N1093" s="7">
        <v>11.6</v>
      </c>
      <c r="O1093" s="7">
        <v>2.4</v>
      </c>
      <c r="P1093" s="7">
        <v>3.5</v>
      </c>
      <c r="Q1093" t="s">
        <v>62</v>
      </c>
      <c r="R1093" s="7" t="str">
        <f>TEXT(Table1[[#This Row],[Date]],"mmm yyyy")</f>
        <v>Feb 2026</v>
      </c>
      <c r="S1093" s="9">
        <f>YEAR(Table1[[#This Row],[Date]])</f>
        <v>2026</v>
      </c>
      <c r="T1093" s="9"/>
      <c r="U1093" s="9"/>
    </row>
    <row r="1094" spans="1:21" hidden="1" x14ac:dyDescent="0.3">
      <c r="A1094" t="s">
        <v>1695</v>
      </c>
      <c r="B1094" s="6">
        <v>46230</v>
      </c>
      <c r="C1094" t="s">
        <v>26</v>
      </c>
      <c r="D1094" t="s">
        <v>69</v>
      </c>
      <c r="E1094" t="s">
        <v>28</v>
      </c>
      <c r="F1094" t="s">
        <v>514</v>
      </c>
      <c r="G1094" t="s">
        <v>22</v>
      </c>
      <c r="J1094" s="9">
        <v>0</v>
      </c>
      <c r="K1094" s="7">
        <v>0</v>
      </c>
      <c r="L1094" s="7">
        <v>0</v>
      </c>
      <c r="M1094" s="9">
        <v>1</v>
      </c>
      <c r="N1094" s="7">
        <v>0.5</v>
      </c>
      <c r="O1094" s="7">
        <v>2.2999999999999998</v>
      </c>
      <c r="P1094" s="7">
        <v>5</v>
      </c>
      <c r="Q1094" t="s">
        <v>31</v>
      </c>
      <c r="R1094" s="7" t="str">
        <f>TEXT(Table1[[#This Row],[Date]],"mmm yyyy")</f>
        <v>Jul 2026</v>
      </c>
      <c r="S1094" s="9">
        <f>YEAR(Table1[[#This Row],[Date]])</f>
        <v>2026</v>
      </c>
      <c r="T1094" s="9"/>
      <c r="U1094" s="9"/>
    </row>
    <row r="1095" spans="1:21" x14ac:dyDescent="0.3">
      <c r="A1095" t="s">
        <v>1696</v>
      </c>
      <c r="B1095" s="6">
        <v>46213</v>
      </c>
      <c r="C1095" t="s">
        <v>18</v>
      </c>
      <c r="D1095" t="s">
        <v>117</v>
      </c>
      <c r="E1095" t="s">
        <v>48</v>
      </c>
      <c r="F1095" t="s">
        <v>162</v>
      </c>
      <c r="G1095" t="s">
        <v>50</v>
      </c>
      <c r="H1095" t="s">
        <v>23</v>
      </c>
      <c r="I1095" t="s">
        <v>45</v>
      </c>
      <c r="J1095" s="9">
        <v>1</v>
      </c>
      <c r="K1095" s="7">
        <v>17600</v>
      </c>
      <c r="L1095" s="7">
        <v>0</v>
      </c>
      <c r="M1095" s="9"/>
      <c r="N1095" s="7">
        <v>21.4</v>
      </c>
      <c r="O1095" s="7"/>
      <c r="P1095" s="7"/>
      <c r="Q1095" t="s">
        <v>45</v>
      </c>
      <c r="R1095" s="7" t="str">
        <f>TEXT(Table1[[#This Row],[Date]],"mmm yyyy")</f>
        <v>Jul 2026</v>
      </c>
      <c r="S1095" s="9">
        <f>YEAR(Table1[[#This Row],[Date]])</f>
        <v>2026</v>
      </c>
      <c r="T1095" s="9"/>
      <c r="U1095" s="9"/>
    </row>
    <row r="1096" spans="1:21" x14ac:dyDescent="0.3">
      <c r="A1096" t="s">
        <v>1697</v>
      </c>
      <c r="B1096" s="6">
        <v>46145</v>
      </c>
      <c r="C1096" t="s">
        <v>18</v>
      </c>
      <c r="D1096" t="s">
        <v>95</v>
      </c>
      <c r="E1096" t="s">
        <v>28</v>
      </c>
      <c r="F1096" t="s">
        <v>304</v>
      </c>
      <c r="G1096" t="s">
        <v>50</v>
      </c>
      <c r="H1096" t="s">
        <v>78</v>
      </c>
      <c r="I1096" t="s">
        <v>24</v>
      </c>
      <c r="J1096" s="9">
        <v>1</v>
      </c>
      <c r="K1096" s="7">
        <v>23600</v>
      </c>
      <c r="L1096" s="7">
        <v>23600</v>
      </c>
      <c r="M1096" s="9"/>
      <c r="N1096" s="7">
        <v>7.3</v>
      </c>
      <c r="O1096" s="7"/>
      <c r="P1096" s="7"/>
      <c r="Q1096" t="s">
        <v>24</v>
      </c>
      <c r="R1096" s="7" t="str">
        <f>TEXT(Table1[[#This Row],[Date]],"mmm yyyy")</f>
        <v>May 2026</v>
      </c>
      <c r="S1096" s="9">
        <f>YEAR(Table1[[#This Row],[Date]])</f>
        <v>2026</v>
      </c>
      <c r="T1096" s="9"/>
      <c r="U1096" s="9"/>
    </row>
    <row r="1097" spans="1:21" x14ac:dyDescent="0.3">
      <c r="A1097" t="s">
        <v>1698</v>
      </c>
      <c r="B1097" s="6">
        <v>46159</v>
      </c>
      <c r="C1097" t="s">
        <v>18</v>
      </c>
      <c r="D1097" t="s">
        <v>19</v>
      </c>
      <c r="E1097" t="s">
        <v>42</v>
      </c>
      <c r="F1097" t="s">
        <v>1456</v>
      </c>
      <c r="G1097" t="s">
        <v>30</v>
      </c>
      <c r="H1097" t="s">
        <v>78</v>
      </c>
      <c r="I1097" t="s">
        <v>89</v>
      </c>
      <c r="J1097" s="9">
        <v>1</v>
      </c>
      <c r="K1097" s="7">
        <v>9000</v>
      </c>
      <c r="L1097" s="7">
        <v>0</v>
      </c>
      <c r="M1097" s="9"/>
      <c r="N1097" s="7">
        <v>19</v>
      </c>
      <c r="O1097" s="7"/>
      <c r="P1097" s="7"/>
      <c r="Q1097" t="s">
        <v>89</v>
      </c>
      <c r="R1097" s="7" t="str">
        <f>TEXT(Table1[[#This Row],[Date]],"mmm yyyy")</f>
        <v>May 2026</v>
      </c>
      <c r="S1097" s="9">
        <f>YEAR(Table1[[#This Row],[Date]])</f>
        <v>2026</v>
      </c>
      <c r="T1097" s="9"/>
      <c r="U1097" s="9"/>
    </row>
    <row r="1098" spans="1:21" x14ac:dyDescent="0.3">
      <c r="A1098" t="s">
        <v>1699</v>
      </c>
      <c r="B1098" s="6">
        <v>46226</v>
      </c>
      <c r="C1098" t="s">
        <v>18</v>
      </c>
      <c r="D1098" t="s">
        <v>19</v>
      </c>
      <c r="E1098" t="s">
        <v>42</v>
      </c>
      <c r="F1098" t="s">
        <v>1609</v>
      </c>
      <c r="G1098" t="s">
        <v>22</v>
      </c>
      <c r="H1098" t="s">
        <v>86</v>
      </c>
      <c r="I1098" t="s">
        <v>24</v>
      </c>
      <c r="J1098" s="9">
        <v>1</v>
      </c>
      <c r="K1098" s="7">
        <v>64100</v>
      </c>
      <c r="L1098" s="7">
        <v>64100</v>
      </c>
      <c r="M1098" s="9"/>
      <c r="N1098" s="7">
        <v>11.5</v>
      </c>
      <c r="O1098" s="7"/>
      <c r="P1098" s="7"/>
      <c r="Q1098" t="s">
        <v>24</v>
      </c>
      <c r="R1098" s="7" t="str">
        <f>TEXT(Table1[[#This Row],[Date]],"mmm yyyy")</f>
        <v>Jul 2026</v>
      </c>
      <c r="S1098" s="9">
        <f>YEAR(Table1[[#This Row],[Date]])</f>
        <v>2026</v>
      </c>
      <c r="T1098" s="9"/>
      <c r="U1098" s="9"/>
    </row>
    <row r="1099" spans="1:21" x14ac:dyDescent="0.3">
      <c r="A1099" t="s">
        <v>1700</v>
      </c>
      <c r="B1099" s="6">
        <v>46072</v>
      </c>
      <c r="C1099" t="s">
        <v>18</v>
      </c>
      <c r="D1099" t="s">
        <v>105</v>
      </c>
      <c r="E1099" t="s">
        <v>20</v>
      </c>
      <c r="F1099" t="s">
        <v>1701</v>
      </c>
      <c r="G1099" t="s">
        <v>22</v>
      </c>
      <c r="H1099" t="s">
        <v>86</v>
      </c>
      <c r="I1099" t="s">
        <v>24</v>
      </c>
      <c r="J1099" s="9">
        <v>1</v>
      </c>
      <c r="K1099" s="7">
        <v>7000</v>
      </c>
      <c r="L1099" s="7">
        <v>7000</v>
      </c>
      <c r="M1099" s="9"/>
      <c r="N1099" s="7">
        <v>15.1</v>
      </c>
      <c r="O1099" s="7"/>
      <c r="P1099" s="7"/>
      <c r="Q1099" t="s">
        <v>24</v>
      </c>
      <c r="R1099" s="7" t="str">
        <f>TEXT(Table1[[#This Row],[Date]],"mmm yyyy")</f>
        <v>Feb 2026</v>
      </c>
      <c r="S1099" s="9">
        <f>YEAR(Table1[[#This Row],[Date]])</f>
        <v>2026</v>
      </c>
      <c r="T1099" s="9"/>
      <c r="U1099" s="9"/>
    </row>
    <row r="1100" spans="1:21" hidden="1" x14ac:dyDescent="0.3">
      <c r="A1100" t="s">
        <v>1702</v>
      </c>
      <c r="B1100" s="6">
        <v>46142</v>
      </c>
      <c r="C1100" t="s">
        <v>26</v>
      </c>
      <c r="D1100" t="s">
        <v>33</v>
      </c>
      <c r="E1100" t="s">
        <v>37</v>
      </c>
      <c r="F1100" t="s">
        <v>966</v>
      </c>
      <c r="G1100" t="s">
        <v>30</v>
      </c>
      <c r="J1100" s="9">
        <v>0</v>
      </c>
      <c r="K1100" s="7">
        <v>0</v>
      </c>
      <c r="L1100" s="7">
        <v>0</v>
      </c>
      <c r="M1100" s="9">
        <v>1</v>
      </c>
      <c r="N1100" s="7">
        <v>10.8</v>
      </c>
      <c r="O1100" s="7">
        <v>7.4</v>
      </c>
      <c r="P1100" s="7">
        <v>3.8</v>
      </c>
      <c r="Q1100" t="s">
        <v>39</v>
      </c>
      <c r="R1100" s="7" t="str">
        <f>TEXT(Table1[[#This Row],[Date]],"mmm yyyy")</f>
        <v>Apr 2026</v>
      </c>
      <c r="S1100" s="9">
        <f>YEAR(Table1[[#This Row],[Date]])</f>
        <v>2026</v>
      </c>
      <c r="T1100" s="9"/>
      <c r="U1100" s="9"/>
    </row>
    <row r="1101" spans="1:21" x14ac:dyDescent="0.3">
      <c r="A1101" t="s">
        <v>1703</v>
      </c>
      <c r="B1101" s="6">
        <v>46042</v>
      </c>
      <c r="C1101" t="s">
        <v>18</v>
      </c>
      <c r="D1101" t="s">
        <v>47</v>
      </c>
      <c r="E1101" t="s">
        <v>20</v>
      </c>
      <c r="F1101" t="s">
        <v>990</v>
      </c>
      <c r="G1101" t="s">
        <v>30</v>
      </c>
      <c r="H1101" t="s">
        <v>54</v>
      </c>
      <c r="I1101" t="s">
        <v>24</v>
      </c>
      <c r="J1101" s="9">
        <v>1</v>
      </c>
      <c r="K1101" s="7">
        <v>17500</v>
      </c>
      <c r="L1101" s="7">
        <v>17500</v>
      </c>
      <c r="M1101" s="9"/>
      <c r="N1101" s="7">
        <v>5.4</v>
      </c>
      <c r="O1101" s="7"/>
      <c r="P1101" s="7"/>
      <c r="Q1101" t="s">
        <v>24</v>
      </c>
      <c r="R1101" s="7" t="str">
        <f>TEXT(Table1[[#This Row],[Date]],"mmm yyyy")</f>
        <v>Jan 2026</v>
      </c>
      <c r="S1101" s="9">
        <f>YEAR(Table1[[#This Row],[Date]])</f>
        <v>2026</v>
      </c>
      <c r="T1101" s="9"/>
      <c r="U1101" s="9"/>
    </row>
    <row r="1102" spans="1:21" x14ac:dyDescent="0.3">
      <c r="A1102" t="s">
        <v>1704</v>
      </c>
      <c r="B1102" s="6">
        <v>46232</v>
      </c>
      <c r="C1102" t="s">
        <v>18</v>
      </c>
      <c r="D1102" t="s">
        <v>52</v>
      </c>
      <c r="E1102" t="s">
        <v>37</v>
      </c>
      <c r="F1102" t="s">
        <v>1199</v>
      </c>
      <c r="G1102" t="s">
        <v>30</v>
      </c>
      <c r="H1102" t="s">
        <v>54</v>
      </c>
      <c r="I1102" t="s">
        <v>79</v>
      </c>
      <c r="J1102" s="9">
        <v>1</v>
      </c>
      <c r="K1102" s="7">
        <v>18000</v>
      </c>
      <c r="L1102" s="7">
        <v>0</v>
      </c>
      <c r="M1102" s="9"/>
      <c r="N1102" s="7">
        <v>17.5</v>
      </c>
      <c r="O1102" s="7"/>
      <c r="P1102" s="7"/>
      <c r="Q1102" t="s">
        <v>79</v>
      </c>
      <c r="R1102" s="7" t="str">
        <f>TEXT(Table1[[#This Row],[Date]],"mmm yyyy")</f>
        <v>Jul 2026</v>
      </c>
      <c r="S1102" s="9">
        <f>YEAR(Table1[[#This Row],[Date]])</f>
        <v>2026</v>
      </c>
      <c r="T1102" s="9"/>
      <c r="U1102" s="9"/>
    </row>
    <row r="1103" spans="1:21" hidden="1" x14ac:dyDescent="0.3">
      <c r="A1103" t="s">
        <v>1705</v>
      </c>
      <c r="B1103" s="6">
        <v>46146</v>
      </c>
      <c r="C1103" t="s">
        <v>26</v>
      </c>
      <c r="D1103" t="s">
        <v>33</v>
      </c>
      <c r="E1103" t="s">
        <v>20</v>
      </c>
      <c r="F1103" t="s">
        <v>1706</v>
      </c>
      <c r="G1103" t="s">
        <v>22</v>
      </c>
      <c r="J1103" s="9">
        <v>0</v>
      </c>
      <c r="K1103" s="7">
        <v>0</v>
      </c>
      <c r="L1103" s="7">
        <v>0</v>
      </c>
      <c r="M1103" s="9">
        <v>1</v>
      </c>
      <c r="N1103" s="7">
        <v>6.5</v>
      </c>
      <c r="O1103" s="7">
        <v>8.6</v>
      </c>
      <c r="P1103" s="7">
        <v>4.2</v>
      </c>
      <c r="Q1103" t="s">
        <v>225</v>
      </c>
      <c r="R1103" s="7" t="str">
        <f>TEXT(Table1[[#This Row],[Date]],"mmm yyyy")</f>
        <v>May 2026</v>
      </c>
      <c r="S1103" s="9">
        <f>YEAR(Table1[[#This Row],[Date]])</f>
        <v>2026</v>
      </c>
      <c r="T1103" s="9"/>
      <c r="U1103" s="9"/>
    </row>
    <row r="1104" spans="1:21" hidden="1" x14ac:dyDescent="0.3">
      <c r="A1104" t="s">
        <v>1707</v>
      </c>
      <c r="B1104" s="6">
        <v>46008</v>
      </c>
      <c r="C1104" t="s">
        <v>26</v>
      </c>
      <c r="D1104" t="s">
        <v>36</v>
      </c>
      <c r="E1104" t="s">
        <v>20</v>
      </c>
      <c r="F1104" t="s">
        <v>445</v>
      </c>
      <c r="G1104" t="s">
        <v>30</v>
      </c>
      <c r="J1104" s="9">
        <v>0</v>
      </c>
      <c r="K1104" s="7">
        <v>0</v>
      </c>
      <c r="L1104" s="7">
        <v>0</v>
      </c>
      <c r="M1104" s="9">
        <v>1</v>
      </c>
      <c r="N1104" s="7">
        <v>2.2999999999999998</v>
      </c>
      <c r="O1104" s="7">
        <v>21</v>
      </c>
      <c r="P1104" s="7">
        <v>4.5</v>
      </c>
      <c r="Q1104" t="s">
        <v>31</v>
      </c>
      <c r="R1104" s="7" t="str">
        <f>TEXT(Table1[[#This Row],[Date]],"mmm yyyy")</f>
        <v>Dec 2025</v>
      </c>
      <c r="S1104" s="9">
        <f>YEAR(Table1[[#This Row],[Date]])</f>
        <v>2025</v>
      </c>
      <c r="T1104" s="9"/>
      <c r="U1104" s="9"/>
    </row>
    <row r="1105" spans="1:21" hidden="1" x14ac:dyDescent="0.3">
      <c r="A1105" t="s">
        <v>1708</v>
      </c>
      <c r="B1105" s="6">
        <v>45924</v>
      </c>
      <c r="C1105" t="s">
        <v>26</v>
      </c>
      <c r="D1105" t="s">
        <v>27</v>
      </c>
      <c r="E1105" t="s">
        <v>42</v>
      </c>
      <c r="F1105" t="s">
        <v>1709</v>
      </c>
      <c r="G1105" t="s">
        <v>30</v>
      </c>
      <c r="J1105" s="9">
        <v>0</v>
      </c>
      <c r="K1105" s="7">
        <v>0</v>
      </c>
      <c r="L1105" s="7">
        <v>0</v>
      </c>
      <c r="M1105" s="9">
        <v>1</v>
      </c>
      <c r="N1105" s="7">
        <v>7.3</v>
      </c>
      <c r="O1105" s="7">
        <v>9.4</v>
      </c>
      <c r="P1105" s="7">
        <v>4.4000000000000004</v>
      </c>
      <c r="Q1105" t="s">
        <v>31</v>
      </c>
      <c r="R1105" s="7" t="str">
        <f>TEXT(Table1[[#This Row],[Date]],"mmm yyyy")</f>
        <v>Sep 2025</v>
      </c>
      <c r="S1105" s="9">
        <f>YEAR(Table1[[#This Row],[Date]])</f>
        <v>2025</v>
      </c>
      <c r="T1105" s="9"/>
      <c r="U1105" s="9"/>
    </row>
    <row r="1106" spans="1:21" hidden="1" x14ac:dyDescent="0.3">
      <c r="A1106" t="s">
        <v>1710</v>
      </c>
      <c r="B1106" s="6">
        <v>45991</v>
      </c>
      <c r="C1106" t="s">
        <v>26</v>
      </c>
      <c r="D1106" t="s">
        <v>72</v>
      </c>
      <c r="E1106" t="s">
        <v>20</v>
      </c>
      <c r="F1106" t="s">
        <v>572</v>
      </c>
      <c r="G1106" t="s">
        <v>50</v>
      </c>
      <c r="J1106" s="9">
        <v>0</v>
      </c>
      <c r="K1106" s="7">
        <v>0</v>
      </c>
      <c r="L1106" s="7">
        <v>0</v>
      </c>
      <c r="M1106" s="9">
        <v>1</v>
      </c>
      <c r="N1106" s="7">
        <v>12</v>
      </c>
      <c r="O1106" s="7">
        <v>12.2</v>
      </c>
      <c r="P1106" s="7">
        <v>4.3</v>
      </c>
      <c r="Q1106" t="s">
        <v>39</v>
      </c>
      <c r="R1106" s="7" t="str">
        <f>TEXT(Table1[[#This Row],[Date]],"mmm yyyy")</f>
        <v>Nov 2025</v>
      </c>
      <c r="S1106" s="9">
        <f>YEAR(Table1[[#This Row],[Date]])</f>
        <v>2025</v>
      </c>
      <c r="T1106" s="9"/>
      <c r="U1106" s="9"/>
    </row>
    <row r="1107" spans="1:21" x14ac:dyDescent="0.3">
      <c r="A1107" t="s">
        <v>1711</v>
      </c>
      <c r="B1107" s="6">
        <v>46013</v>
      </c>
      <c r="C1107" t="s">
        <v>18</v>
      </c>
      <c r="D1107" t="s">
        <v>52</v>
      </c>
      <c r="E1107" t="s">
        <v>20</v>
      </c>
      <c r="F1107" t="s">
        <v>433</v>
      </c>
      <c r="G1107" t="s">
        <v>30</v>
      </c>
      <c r="H1107" t="s">
        <v>78</v>
      </c>
      <c r="I1107" t="s">
        <v>55</v>
      </c>
      <c r="J1107" s="9">
        <v>1</v>
      </c>
      <c r="K1107" s="7">
        <v>14900</v>
      </c>
      <c r="L1107" s="7">
        <v>0</v>
      </c>
      <c r="M1107" s="9"/>
      <c r="N1107" s="7">
        <v>9.9</v>
      </c>
      <c r="O1107" s="7"/>
      <c r="P1107" s="7"/>
      <c r="Q1107" t="s">
        <v>55</v>
      </c>
      <c r="R1107" s="7" t="str">
        <f>TEXT(Table1[[#This Row],[Date]],"mmm yyyy")</f>
        <v>Dec 2025</v>
      </c>
      <c r="S1107" s="9">
        <f>YEAR(Table1[[#This Row],[Date]])</f>
        <v>2025</v>
      </c>
      <c r="T1107" s="9"/>
      <c r="U1107" s="9"/>
    </row>
    <row r="1108" spans="1:21" x14ac:dyDescent="0.3">
      <c r="A1108" t="s">
        <v>1712</v>
      </c>
      <c r="B1108" s="6">
        <v>45990</v>
      </c>
      <c r="C1108" t="s">
        <v>18</v>
      </c>
      <c r="D1108" t="s">
        <v>47</v>
      </c>
      <c r="E1108" t="s">
        <v>48</v>
      </c>
      <c r="F1108" t="s">
        <v>1713</v>
      </c>
      <c r="G1108" t="s">
        <v>22</v>
      </c>
      <c r="H1108" t="s">
        <v>23</v>
      </c>
      <c r="I1108" t="s">
        <v>24</v>
      </c>
      <c r="J1108" s="9">
        <v>1</v>
      </c>
      <c r="K1108" s="7">
        <v>6800</v>
      </c>
      <c r="L1108" s="7">
        <v>6800</v>
      </c>
      <c r="M1108" s="9"/>
      <c r="N1108" s="7">
        <v>16</v>
      </c>
      <c r="O1108" s="7"/>
      <c r="P1108" s="7"/>
      <c r="Q1108" t="s">
        <v>24</v>
      </c>
      <c r="R1108" s="7" t="str">
        <f>TEXT(Table1[[#This Row],[Date]],"mmm yyyy")</f>
        <v>Nov 2025</v>
      </c>
      <c r="S1108" s="9">
        <f>YEAR(Table1[[#This Row],[Date]])</f>
        <v>2025</v>
      </c>
      <c r="T1108" s="9"/>
      <c r="U1108" s="9"/>
    </row>
    <row r="1109" spans="1:21" hidden="1" x14ac:dyDescent="0.3">
      <c r="A1109" t="s">
        <v>1714</v>
      </c>
      <c r="B1109" s="6">
        <v>45929</v>
      </c>
      <c r="C1109" t="s">
        <v>26</v>
      </c>
      <c r="D1109" t="s">
        <v>72</v>
      </c>
      <c r="E1109" t="s">
        <v>48</v>
      </c>
      <c r="F1109" t="s">
        <v>70</v>
      </c>
      <c r="G1109" t="s">
        <v>30</v>
      </c>
      <c r="J1109" s="9">
        <v>0</v>
      </c>
      <c r="K1109" s="7">
        <v>0</v>
      </c>
      <c r="L1109" s="7">
        <v>0</v>
      </c>
      <c r="M1109" s="9">
        <v>1</v>
      </c>
      <c r="N1109" s="7">
        <v>5.6</v>
      </c>
      <c r="O1109" s="7">
        <v>26.7</v>
      </c>
      <c r="P1109" s="7">
        <v>3.5</v>
      </c>
      <c r="Q1109" t="s">
        <v>39</v>
      </c>
      <c r="R1109" s="7" t="str">
        <f>TEXT(Table1[[#This Row],[Date]],"mmm yyyy")</f>
        <v>Sep 2025</v>
      </c>
      <c r="S1109" s="9">
        <f>YEAR(Table1[[#This Row],[Date]])</f>
        <v>2025</v>
      </c>
      <c r="T1109" s="9"/>
      <c r="U1109" s="9"/>
    </row>
    <row r="1110" spans="1:21" hidden="1" x14ac:dyDescent="0.3">
      <c r="A1110" t="s">
        <v>1715</v>
      </c>
      <c r="B1110" s="6">
        <v>45962</v>
      </c>
      <c r="C1110" t="s">
        <v>26</v>
      </c>
      <c r="D1110" t="s">
        <v>33</v>
      </c>
      <c r="E1110" t="s">
        <v>28</v>
      </c>
      <c r="F1110" t="s">
        <v>336</v>
      </c>
      <c r="G1110" t="s">
        <v>30</v>
      </c>
      <c r="J1110" s="9">
        <v>0</v>
      </c>
      <c r="K1110" s="7">
        <v>0</v>
      </c>
      <c r="L1110" s="7">
        <v>0</v>
      </c>
      <c r="M1110" s="9">
        <v>1</v>
      </c>
      <c r="N1110" s="7">
        <v>2.2999999999999998</v>
      </c>
      <c r="O1110" s="7">
        <v>6.7</v>
      </c>
      <c r="P1110" s="7">
        <v>4.5</v>
      </c>
      <c r="Q1110" t="s">
        <v>39</v>
      </c>
      <c r="R1110" s="7" t="str">
        <f>TEXT(Table1[[#This Row],[Date]],"mmm yyyy")</f>
        <v>Nov 2025</v>
      </c>
      <c r="S1110" s="9">
        <f>YEAR(Table1[[#This Row],[Date]])</f>
        <v>2025</v>
      </c>
      <c r="T1110" s="9"/>
      <c r="U1110" s="9"/>
    </row>
    <row r="1111" spans="1:21" x14ac:dyDescent="0.3">
      <c r="A1111" t="s">
        <v>1716</v>
      </c>
      <c r="B1111" s="6">
        <v>46090</v>
      </c>
      <c r="C1111" t="s">
        <v>18</v>
      </c>
      <c r="D1111" t="s">
        <v>41</v>
      </c>
      <c r="E1111" t="s">
        <v>20</v>
      </c>
      <c r="F1111" t="s">
        <v>850</v>
      </c>
      <c r="G1111" t="s">
        <v>50</v>
      </c>
      <c r="H1111" t="s">
        <v>66</v>
      </c>
      <c r="I1111" t="s">
        <v>67</v>
      </c>
      <c r="J1111" s="9">
        <v>1</v>
      </c>
      <c r="K1111" s="7">
        <v>70000</v>
      </c>
      <c r="L1111" s="7">
        <v>0</v>
      </c>
      <c r="M1111" s="9"/>
      <c r="N1111" s="7">
        <v>0.5</v>
      </c>
      <c r="O1111" s="7"/>
      <c r="P1111" s="7"/>
      <c r="Q1111" t="s">
        <v>67</v>
      </c>
      <c r="R1111" s="7" t="str">
        <f>TEXT(Table1[[#This Row],[Date]],"mmm yyyy")</f>
        <v>Mar 2026</v>
      </c>
      <c r="S1111" s="9">
        <f>YEAR(Table1[[#This Row],[Date]])</f>
        <v>2026</v>
      </c>
      <c r="T1111" s="9"/>
      <c r="U1111" s="9"/>
    </row>
    <row r="1112" spans="1:21" hidden="1" x14ac:dyDescent="0.3">
      <c r="A1112" t="s">
        <v>1717</v>
      </c>
      <c r="B1112" s="6">
        <v>46058</v>
      </c>
      <c r="C1112" t="s">
        <v>26</v>
      </c>
      <c r="D1112" t="s">
        <v>33</v>
      </c>
      <c r="E1112" t="s">
        <v>48</v>
      </c>
      <c r="F1112" t="s">
        <v>1718</v>
      </c>
      <c r="G1112" t="s">
        <v>44</v>
      </c>
      <c r="J1112" s="9">
        <v>0</v>
      </c>
      <c r="K1112" s="7">
        <v>0</v>
      </c>
      <c r="L1112" s="7">
        <v>0</v>
      </c>
      <c r="M1112" s="9">
        <v>1</v>
      </c>
      <c r="N1112" s="7">
        <v>4.9000000000000004</v>
      </c>
      <c r="O1112" s="7">
        <v>10.7</v>
      </c>
      <c r="P1112" s="7">
        <v>2.6</v>
      </c>
      <c r="Q1112" t="s">
        <v>39</v>
      </c>
      <c r="R1112" s="7" t="str">
        <f>TEXT(Table1[[#This Row],[Date]],"mmm yyyy")</f>
        <v>Feb 2026</v>
      </c>
      <c r="S1112" s="9">
        <f>YEAR(Table1[[#This Row],[Date]])</f>
        <v>2026</v>
      </c>
      <c r="T1112" s="9"/>
      <c r="U1112" s="9"/>
    </row>
    <row r="1113" spans="1:21" x14ac:dyDescent="0.3">
      <c r="A1113" t="s">
        <v>1719</v>
      </c>
      <c r="B1113" s="6">
        <v>45936</v>
      </c>
      <c r="C1113" t="s">
        <v>18</v>
      </c>
      <c r="D1113" t="s">
        <v>117</v>
      </c>
      <c r="E1113" t="s">
        <v>28</v>
      </c>
      <c r="F1113" t="s">
        <v>384</v>
      </c>
      <c r="G1113" t="s">
        <v>50</v>
      </c>
      <c r="H1113" t="s">
        <v>23</v>
      </c>
      <c r="I1113" t="s">
        <v>89</v>
      </c>
      <c r="J1113" s="9">
        <v>1</v>
      </c>
      <c r="K1113" s="7">
        <v>10600</v>
      </c>
      <c r="L1113" s="7">
        <v>0</v>
      </c>
      <c r="M1113" s="9"/>
      <c r="N1113" s="7">
        <v>3.8</v>
      </c>
      <c r="O1113" s="7"/>
      <c r="P1113" s="7"/>
      <c r="Q1113" t="s">
        <v>89</v>
      </c>
      <c r="R1113" s="7" t="str">
        <f>TEXT(Table1[[#This Row],[Date]],"mmm yyyy")</f>
        <v>Oct 2025</v>
      </c>
      <c r="S1113" s="9">
        <f>YEAR(Table1[[#This Row],[Date]])</f>
        <v>2025</v>
      </c>
      <c r="T1113" s="9"/>
      <c r="U1113" s="9"/>
    </row>
    <row r="1114" spans="1:21" x14ac:dyDescent="0.3">
      <c r="A1114" t="s">
        <v>1720</v>
      </c>
      <c r="B1114" s="6">
        <v>45945</v>
      </c>
      <c r="C1114" t="s">
        <v>18</v>
      </c>
      <c r="D1114" t="s">
        <v>105</v>
      </c>
      <c r="E1114" t="s">
        <v>20</v>
      </c>
      <c r="F1114" t="s">
        <v>1721</v>
      </c>
      <c r="G1114" t="s">
        <v>44</v>
      </c>
      <c r="H1114" t="s">
        <v>23</v>
      </c>
      <c r="I1114" t="s">
        <v>55</v>
      </c>
      <c r="J1114" s="9">
        <v>1</v>
      </c>
      <c r="K1114" s="7">
        <v>24800</v>
      </c>
      <c r="L1114" s="7">
        <v>0</v>
      </c>
      <c r="M1114" s="9"/>
      <c r="N1114" s="7">
        <v>4</v>
      </c>
      <c r="O1114" s="7"/>
      <c r="P1114" s="7"/>
      <c r="Q1114" t="s">
        <v>55</v>
      </c>
      <c r="R1114" s="7" t="str">
        <f>TEXT(Table1[[#This Row],[Date]],"mmm yyyy")</f>
        <v>Oct 2025</v>
      </c>
      <c r="S1114" s="9">
        <f>YEAR(Table1[[#This Row],[Date]])</f>
        <v>2025</v>
      </c>
      <c r="T1114" s="9"/>
      <c r="U1114" s="9"/>
    </row>
    <row r="1115" spans="1:21" x14ac:dyDescent="0.3">
      <c r="A1115" t="s">
        <v>1722</v>
      </c>
      <c r="B1115" s="6">
        <v>46202</v>
      </c>
      <c r="C1115" t="s">
        <v>18</v>
      </c>
      <c r="D1115" t="s">
        <v>117</v>
      </c>
      <c r="E1115" t="s">
        <v>42</v>
      </c>
      <c r="F1115" t="s">
        <v>1723</v>
      </c>
      <c r="G1115" t="s">
        <v>22</v>
      </c>
      <c r="H1115" t="s">
        <v>86</v>
      </c>
      <c r="I1115" t="s">
        <v>79</v>
      </c>
      <c r="J1115" s="9">
        <v>1</v>
      </c>
      <c r="K1115" s="7">
        <v>12700</v>
      </c>
      <c r="L1115" s="7">
        <v>0</v>
      </c>
      <c r="M1115" s="9"/>
      <c r="N1115" s="7">
        <v>17.100000000000001</v>
      </c>
      <c r="O1115" s="7"/>
      <c r="P1115" s="7"/>
      <c r="Q1115" t="s">
        <v>79</v>
      </c>
      <c r="R1115" s="7" t="str">
        <f>TEXT(Table1[[#This Row],[Date]],"mmm yyyy")</f>
        <v>Jun 2026</v>
      </c>
      <c r="S1115" s="9">
        <f>YEAR(Table1[[#This Row],[Date]])</f>
        <v>2026</v>
      </c>
      <c r="T1115" s="9"/>
      <c r="U1115" s="9"/>
    </row>
    <row r="1116" spans="1:21" hidden="1" x14ac:dyDescent="0.3">
      <c r="A1116" t="s">
        <v>1724</v>
      </c>
      <c r="B1116" s="6">
        <v>46050</v>
      </c>
      <c r="C1116" t="s">
        <v>26</v>
      </c>
      <c r="D1116" t="s">
        <v>33</v>
      </c>
      <c r="E1116" t="s">
        <v>42</v>
      </c>
      <c r="F1116" t="s">
        <v>887</v>
      </c>
      <c r="G1116" t="s">
        <v>22</v>
      </c>
      <c r="J1116" s="9">
        <v>0</v>
      </c>
      <c r="K1116" s="7">
        <v>0</v>
      </c>
      <c r="L1116" s="7">
        <v>0</v>
      </c>
      <c r="M1116" s="9">
        <v>1</v>
      </c>
      <c r="N1116" s="7">
        <v>10.3</v>
      </c>
      <c r="O1116" s="7">
        <v>4.3</v>
      </c>
      <c r="P1116" s="7">
        <v>2.6</v>
      </c>
      <c r="Q1116" t="s">
        <v>31</v>
      </c>
      <c r="R1116" s="7" t="str">
        <f>TEXT(Table1[[#This Row],[Date]],"mmm yyyy")</f>
        <v>Jan 2026</v>
      </c>
      <c r="S1116" s="9">
        <f>YEAR(Table1[[#This Row],[Date]])</f>
        <v>2026</v>
      </c>
      <c r="T1116" s="9"/>
      <c r="U1116" s="9"/>
    </row>
    <row r="1117" spans="1:21" hidden="1" x14ac:dyDescent="0.3">
      <c r="A1117" t="s">
        <v>1725</v>
      </c>
      <c r="B1117" s="6">
        <v>46035</v>
      </c>
      <c r="C1117" t="s">
        <v>26</v>
      </c>
      <c r="D1117" t="s">
        <v>232</v>
      </c>
      <c r="E1117" t="s">
        <v>37</v>
      </c>
      <c r="F1117" t="s">
        <v>996</v>
      </c>
      <c r="G1117" t="s">
        <v>30</v>
      </c>
      <c r="J1117" s="9">
        <v>0</v>
      </c>
      <c r="K1117" s="7">
        <v>0</v>
      </c>
      <c r="L1117" s="7">
        <v>0</v>
      </c>
      <c r="M1117" s="9">
        <v>1</v>
      </c>
      <c r="N1117" s="7">
        <v>2.5</v>
      </c>
      <c r="O1117" s="7">
        <v>3.8</v>
      </c>
      <c r="P1117" s="7">
        <v>3.3</v>
      </c>
      <c r="Q1117" t="s">
        <v>39</v>
      </c>
      <c r="R1117" s="7" t="str">
        <f>TEXT(Table1[[#This Row],[Date]],"mmm yyyy")</f>
        <v>Jan 2026</v>
      </c>
      <c r="S1117" s="9">
        <f>YEAR(Table1[[#This Row],[Date]])</f>
        <v>2026</v>
      </c>
      <c r="T1117" s="9"/>
      <c r="U1117" s="9"/>
    </row>
    <row r="1118" spans="1:21" x14ac:dyDescent="0.3">
      <c r="A1118" t="s">
        <v>1726</v>
      </c>
      <c r="B1118" s="6">
        <v>46048</v>
      </c>
      <c r="C1118" t="s">
        <v>18</v>
      </c>
      <c r="D1118" t="s">
        <v>47</v>
      </c>
      <c r="E1118" t="s">
        <v>20</v>
      </c>
      <c r="F1118" t="s">
        <v>827</v>
      </c>
      <c r="G1118" t="s">
        <v>30</v>
      </c>
      <c r="H1118" t="s">
        <v>66</v>
      </c>
      <c r="I1118" t="s">
        <v>24</v>
      </c>
      <c r="J1118" s="9">
        <v>1</v>
      </c>
      <c r="K1118" s="7">
        <v>24200</v>
      </c>
      <c r="L1118" s="7">
        <v>24200</v>
      </c>
      <c r="M1118" s="9"/>
      <c r="N1118" s="7">
        <v>17.8</v>
      </c>
      <c r="O1118" s="7"/>
      <c r="P1118" s="7"/>
      <c r="Q1118" t="s">
        <v>24</v>
      </c>
      <c r="R1118" s="7" t="str">
        <f>TEXT(Table1[[#This Row],[Date]],"mmm yyyy")</f>
        <v>Jan 2026</v>
      </c>
      <c r="S1118" s="9">
        <f>YEAR(Table1[[#This Row],[Date]])</f>
        <v>2026</v>
      </c>
      <c r="T1118" s="9"/>
      <c r="U1118" s="9"/>
    </row>
    <row r="1119" spans="1:21" hidden="1" x14ac:dyDescent="0.3">
      <c r="A1119" t="s">
        <v>1727</v>
      </c>
      <c r="B1119" s="6">
        <v>46257</v>
      </c>
      <c r="C1119" t="s">
        <v>26</v>
      </c>
      <c r="D1119" t="s">
        <v>69</v>
      </c>
      <c r="E1119" t="s">
        <v>20</v>
      </c>
      <c r="F1119" t="s">
        <v>611</v>
      </c>
      <c r="G1119" t="s">
        <v>50</v>
      </c>
      <c r="J1119" s="9">
        <v>0</v>
      </c>
      <c r="K1119" s="7">
        <v>0</v>
      </c>
      <c r="L1119" s="7">
        <v>0</v>
      </c>
      <c r="M1119" s="9">
        <v>1</v>
      </c>
      <c r="N1119" s="7">
        <v>9.4</v>
      </c>
      <c r="O1119" s="7">
        <v>31.7</v>
      </c>
      <c r="P1119" s="7">
        <v>3.4</v>
      </c>
      <c r="Q1119" t="s">
        <v>39</v>
      </c>
      <c r="R1119" s="7" t="str">
        <f>TEXT(Table1[[#This Row],[Date]],"mmm yyyy")</f>
        <v>Aug 2026</v>
      </c>
      <c r="S1119" s="9">
        <f>YEAR(Table1[[#This Row],[Date]])</f>
        <v>2026</v>
      </c>
      <c r="T1119" s="9"/>
      <c r="U1119" s="9"/>
    </row>
    <row r="1120" spans="1:21" x14ac:dyDescent="0.3">
      <c r="A1120" t="s">
        <v>1728</v>
      </c>
      <c r="B1120" s="6">
        <v>45981</v>
      </c>
      <c r="C1120" t="s">
        <v>18</v>
      </c>
      <c r="D1120" t="s">
        <v>52</v>
      </c>
      <c r="E1120" t="s">
        <v>28</v>
      </c>
      <c r="F1120" t="s">
        <v>1380</v>
      </c>
      <c r="G1120" t="s">
        <v>44</v>
      </c>
      <c r="H1120" t="s">
        <v>23</v>
      </c>
      <c r="I1120" t="s">
        <v>55</v>
      </c>
      <c r="J1120" s="9">
        <v>1</v>
      </c>
      <c r="K1120" s="7">
        <v>43900</v>
      </c>
      <c r="L1120" s="7">
        <v>0</v>
      </c>
      <c r="M1120" s="9"/>
      <c r="N1120" s="7">
        <v>4</v>
      </c>
      <c r="O1120" s="7"/>
      <c r="P1120" s="7"/>
      <c r="Q1120" t="s">
        <v>55</v>
      </c>
      <c r="R1120" s="7" t="str">
        <f>TEXT(Table1[[#This Row],[Date]],"mmm yyyy")</f>
        <v>Nov 2025</v>
      </c>
      <c r="S1120" s="9">
        <f>YEAR(Table1[[#This Row],[Date]])</f>
        <v>2025</v>
      </c>
      <c r="T1120" s="9"/>
      <c r="U1120" s="9"/>
    </row>
    <row r="1121" spans="1:21" x14ac:dyDescent="0.3">
      <c r="A1121" t="s">
        <v>1729</v>
      </c>
      <c r="B1121" s="6">
        <v>45917</v>
      </c>
      <c r="C1121" t="s">
        <v>18</v>
      </c>
      <c r="D1121" t="s">
        <v>19</v>
      </c>
      <c r="E1121" t="s">
        <v>28</v>
      </c>
      <c r="F1121" t="s">
        <v>1730</v>
      </c>
      <c r="G1121" t="s">
        <v>22</v>
      </c>
      <c r="H1121" t="s">
        <v>86</v>
      </c>
      <c r="I1121" t="s">
        <v>79</v>
      </c>
      <c r="J1121" s="9">
        <v>1</v>
      </c>
      <c r="K1121" s="7">
        <v>63100</v>
      </c>
      <c r="L1121" s="7">
        <v>0</v>
      </c>
      <c r="M1121" s="9"/>
      <c r="N1121" s="7">
        <v>17.600000000000001</v>
      </c>
      <c r="O1121" s="7"/>
      <c r="P1121" s="7"/>
      <c r="Q1121" t="s">
        <v>79</v>
      </c>
      <c r="R1121" s="7" t="str">
        <f>TEXT(Table1[[#This Row],[Date]],"mmm yyyy")</f>
        <v>Sep 2025</v>
      </c>
      <c r="S1121" s="9">
        <f>YEAR(Table1[[#This Row],[Date]])</f>
        <v>2025</v>
      </c>
      <c r="T1121" s="9"/>
      <c r="U1121" s="9"/>
    </row>
    <row r="1122" spans="1:21" hidden="1" x14ac:dyDescent="0.3">
      <c r="A1122" t="s">
        <v>1731</v>
      </c>
      <c r="B1122" s="6">
        <v>46045</v>
      </c>
      <c r="C1122" t="s">
        <v>26</v>
      </c>
      <c r="D1122" t="s">
        <v>232</v>
      </c>
      <c r="E1122" t="s">
        <v>48</v>
      </c>
      <c r="F1122" t="s">
        <v>1286</v>
      </c>
      <c r="G1122" t="s">
        <v>22</v>
      </c>
      <c r="J1122" s="9">
        <v>0</v>
      </c>
      <c r="K1122" s="7">
        <v>0</v>
      </c>
      <c r="L1122" s="7">
        <v>0</v>
      </c>
      <c r="M1122" s="9">
        <v>1</v>
      </c>
      <c r="N1122" s="7">
        <v>10.3</v>
      </c>
      <c r="O1122" s="7">
        <v>2.7</v>
      </c>
      <c r="P1122" s="7">
        <v>2.9</v>
      </c>
      <c r="Q1122" t="s">
        <v>39</v>
      </c>
      <c r="R1122" s="7" t="str">
        <f>TEXT(Table1[[#This Row],[Date]],"mmm yyyy")</f>
        <v>Jan 2026</v>
      </c>
      <c r="S1122" s="9">
        <f>YEAR(Table1[[#This Row],[Date]])</f>
        <v>2026</v>
      </c>
      <c r="T1122" s="9"/>
      <c r="U1122" s="9"/>
    </row>
    <row r="1123" spans="1:21" hidden="1" x14ac:dyDescent="0.3">
      <c r="A1123" t="s">
        <v>1732</v>
      </c>
      <c r="B1123" s="6">
        <v>45916</v>
      </c>
      <c r="C1123" t="s">
        <v>26</v>
      </c>
      <c r="D1123" t="s">
        <v>69</v>
      </c>
      <c r="E1123" t="s">
        <v>28</v>
      </c>
      <c r="F1123" t="s">
        <v>1733</v>
      </c>
      <c r="G1123" t="s">
        <v>50</v>
      </c>
      <c r="J1123" s="9">
        <v>0</v>
      </c>
      <c r="K1123" s="7">
        <v>0</v>
      </c>
      <c r="L1123" s="7">
        <v>0</v>
      </c>
      <c r="M1123" s="9">
        <v>1</v>
      </c>
      <c r="N1123" s="7">
        <v>11.4</v>
      </c>
      <c r="O1123" s="7">
        <v>6.1</v>
      </c>
      <c r="P1123" s="7">
        <v>3.9</v>
      </c>
      <c r="Q1123" t="s">
        <v>31</v>
      </c>
      <c r="R1123" s="7" t="str">
        <f>TEXT(Table1[[#This Row],[Date]],"mmm yyyy")</f>
        <v>Sep 2025</v>
      </c>
      <c r="S1123" s="9">
        <f>YEAR(Table1[[#This Row],[Date]])</f>
        <v>2025</v>
      </c>
      <c r="T1123" s="9"/>
      <c r="U1123" s="9"/>
    </row>
    <row r="1124" spans="1:21" hidden="1" x14ac:dyDescent="0.3">
      <c r="A1124" t="s">
        <v>1734</v>
      </c>
      <c r="B1124" s="6">
        <v>46093</v>
      </c>
      <c r="C1124" t="s">
        <v>26</v>
      </c>
      <c r="D1124" t="s">
        <v>69</v>
      </c>
      <c r="E1124" t="s">
        <v>20</v>
      </c>
      <c r="F1124" t="s">
        <v>493</v>
      </c>
      <c r="G1124" t="s">
        <v>44</v>
      </c>
      <c r="J1124" s="9">
        <v>0</v>
      </c>
      <c r="K1124" s="7">
        <v>0</v>
      </c>
      <c r="L1124" s="7">
        <v>0</v>
      </c>
      <c r="M1124" s="9">
        <v>1</v>
      </c>
      <c r="N1124" s="7">
        <v>0.3</v>
      </c>
      <c r="O1124" s="7">
        <v>5.6</v>
      </c>
      <c r="P1124" s="7">
        <v>4.3</v>
      </c>
      <c r="Q1124" t="s">
        <v>31</v>
      </c>
      <c r="R1124" s="7" t="str">
        <f>TEXT(Table1[[#This Row],[Date]],"mmm yyyy")</f>
        <v>Mar 2026</v>
      </c>
      <c r="S1124" s="9">
        <f>YEAR(Table1[[#This Row],[Date]])</f>
        <v>2026</v>
      </c>
      <c r="T1124" s="9"/>
      <c r="U1124" s="9"/>
    </row>
    <row r="1125" spans="1:21" hidden="1" x14ac:dyDescent="0.3">
      <c r="A1125" t="s">
        <v>1735</v>
      </c>
      <c r="B1125" s="6">
        <v>46214</v>
      </c>
      <c r="C1125" t="s">
        <v>26</v>
      </c>
      <c r="D1125" t="s">
        <v>27</v>
      </c>
      <c r="E1125" t="s">
        <v>28</v>
      </c>
      <c r="F1125" t="s">
        <v>1736</v>
      </c>
      <c r="G1125" t="s">
        <v>44</v>
      </c>
      <c r="J1125" s="9">
        <v>0</v>
      </c>
      <c r="K1125" s="7">
        <v>0</v>
      </c>
      <c r="L1125" s="7">
        <v>0</v>
      </c>
      <c r="M1125" s="9">
        <v>1</v>
      </c>
      <c r="N1125" s="7">
        <v>4.5</v>
      </c>
      <c r="O1125" s="7">
        <v>4.0999999999999996</v>
      </c>
      <c r="P1125" s="7">
        <v>4.7</v>
      </c>
      <c r="Q1125" t="s">
        <v>39</v>
      </c>
      <c r="R1125" s="7" t="str">
        <f>TEXT(Table1[[#This Row],[Date]],"mmm yyyy")</f>
        <v>Jul 2026</v>
      </c>
      <c r="S1125" s="9">
        <f>YEAR(Table1[[#This Row],[Date]])</f>
        <v>2026</v>
      </c>
      <c r="T1125" s="9"/>
      <c r="U1125" s="9"/>
    </row>
    <row r="1126" spans="1:21" hidden="1" x14ac:dyDescent="0.3">
      <c r="A1126" t="s">
        <v>1737</v>
      </c>
      <c r="B1126" s="6">
        <v>46017</v>
      </c>
      <c r="C1126" t="s">
        <v>26</v>
      </c>
      <c r="D1126" t="s">
        <v>232</v>
      </c>
      <c r="E1126" t="s">
        <v>20</v>
      </c>
      <c r="F1126" t="s">
        <v>1286</v>
      </c>
      <c r="G1126" t="s">
        <v>30</v>
      </c>
      <c r="J1126" s="9">
        <v>0</v>
      </c>
      <c r="K1126" s="7">
        <v>0</v>
      </c>
      <c r="L1126" s="7">
        <v>0</v>
      </c>
      <c r="M1126" s="9">
        <v>1</v>
      </c>
      <c r="N1126" s="7">
        <v>0.9</v>
      </c>
      <c r="O1126" s="7">
        <v>6.5</v>
      </c>
      <c r="P1126" s="7">
        <v>3.3</v>
      </c>
      <c r="Q1126" t="s">
        <v>39</v>
      </c>
      <c r="R1126" s="7" t="str">
        <f>TEXT(Table1[[#This Row],[Date]],"mmm yyyy")</f>
        <v>Dec 2025</v>
      </c>
      <c r="S1126" s="9">
        <f>YEAR(Table1[[#This Row],[Date]])</f>
        <v>2025</v>
      </c>
      <c r="T1126" s="9"/>
      <c r="U1126" s="9"/>
    </row>
    <row r="1127" spans="1:21" hidden="1" x14ac:dyDescent="0.3">
      <c r="A1127" t="s">
        <v>1738</v>
      </c>
      <c r="B1127" s="6">
        <v>46042</v>
      </c>
      <c r="C1127" t="s">
        <v>26</v>
      </c>
      <c r="D1127" t="s">
        <v>27</v>
      </c>
      <c r="E1127" t="s">
        <v>37</v>
      </c>
      <c r="F1127" t="s">
        <v>517</v>
      </c>
      <c r="G1127" t="s">
        <v>22</v>
      </c>
      <c r="J1127" s="9">
        <v>0</v>
      </c>
      <c r="K1127" s="7">
        <v>0</v>
      </c>
      <c r="L1127" s="7">
        <v>0</v>
      </c>
      <c r="M1127" s="9">
        <v>1</v>
      </c>
      <c r="N1127" s="7">
        <v>2.5</v>
      </c>
      <c r="O1127" s="7">
        <v>5.5</v>
      </c>
      <c r="P1127" s="7">
        <v>5</v>
      </c>
      <c r="Q1127" t="s">
        <v>62</v>
      </c>
      <c r="R1127" s="7" t="str">
        <f>TEXT(Table1[[#This Row],[Date]],"mmm yyyy")</f>
        <v>Jan 2026</v>
      </c>
      <c r="S1127" s="9">
        <f>YEAR(Table1[[#This Row],[Date]])</f>
        <v>2026</v>
      </c>
      <c r="T1127" s="9"/>
      <c r="U1127" s="9"/>
    </row>
    <row r="1128" spans="1:21" x14ac:dyDescent="0.3">
      <c r="A1128" t="s">
        <v>1739</v>
      </c>
      <c r="B1128" s="6">
        <v>45983</v>
      </c>
      <c r="C1128" t="s">
        <v>18</v>
      </c>
      <c r="D1128" t="s">
        <v>47</v>
      </c>
      <c r="E1128" t="s">
        <v>37</v>
      </c>
      <c r="F1128" t="s">
        <v>594</v>
      </c>
      <c r="G1128" t="s">
        <v>30</v>
      </c>
      <c r="H1128" t="s">
        <v>78</v>
      </c>
      <c r="I1128" t="s">
        <v>45</v>
      </c>
      <c r="J1128" s="9">
        <v>1</v>
      </c>
      <c r="K1128" s="7">
        <v>6900</v>
      </c>
      <c r="L1128" s="7">
        <v>0</v>
      </c>
      <c r="M1128" s="9"/>
      <c r="N1128" s="7">
        <v>23.8</v>
      </c>
      <c r="O1128" s="7"/>
      <c r="P1128" s="7"/>
      <c r="Q1128" t="s">
        <v>45</v>
      </c>
      <c r="R1128" s="7" t="str">
        <f>TEXT(Table1[[#This Row],[Date]],"mmm yyyy")</f>
        <v>Nov 2025</v>
      </c>
      <c r="S1128" s="9">
        <f>YEAR(Table1[[#This Row],[Date]])</f>
        <v>2025</v>
      </c>
      <c r="T1128" s="9"/>
      <c r="U1128" s="9"/>
    </row>
    <row r="1129" spans="1:21" x14ac:dyDescent="0.3">
      <c r="A1129" t="s">
        <v>1740</v>
      </c>
      <c r="B1129" s="6">
        <v>46050</v>
      </c>
      <c r="C1129" t="s">
        <v>18</v>
      </c>
      <c r="D1129" t="s">
        <v>105</v>
      </c>
      <c r="E1129" t="s">
        <v>37</v>
      </c>
      <c r="F1129" t="s">
        <v>292</v>
      </c>
      <c r="G1129" t="s">
        <v>22</v>
      </c>
      <c r="H1129" t="s">
        <v>86</v>
      </c>
      <c r="I1129" t="s">
        <v>45</v>
      </c>
      <c r="J1129" s="9">
        <v>1</v>
      </c>
      <c r="K1129" s="7">
        <v>44500</v>
      </c>
      <c r="L1129" s="7">
        <v>0</v>
      </c>
      <c r="M1129" s="9"/>
      <c r="N1129" s="7">
        <v>21.3</v>
      </c>
      <c r="O1129" s="7"/>
      <c r="P1129" s="7"/>
      <c r="Q1129" t="s">
        <v>45</v>
      </c>
      <c r="R1129" s="7" t="str">
        <f>TEXT(Table1[[#This Row],[Date]],"mmm yyyy")</f>
        <v>Jan 2026</v>
      </c>
      <c r="S1129" s="9">
        <f>YEAR(Table1[[#This Row],[Date]])</f>
        <v>2026</v>
      </c>
      <c r="T1129" s="9"/>
      <c r="U1129" s="9"/>
    </row>
    <row r="1130" spans="1:21" x14ac:dyDescent="0.3">
      <c r="A1130" t="s">
        <v>1741</v>
      </c>
      <c r="B1130" s="6">
        <v>46195</v>
      </c>
      <c r="C1130" t="s">
        <v>18</v>
      </c>
      <c r="D1130" t="s">
        <v>41</v>
      </c>
      <c r="E1130" t="s">
        <v>20</v>
      </c>
      <c r="F1130" t="s">
        <v>320</v>
      </c>
      <c r="G1130" t="s">
        <v>44</v>
      </c>
      <c r="H1130" t="s">
        <v>78</v>
      </c>
      <c r="I1130" t="s">
        <v>67</v>
      </c>
      <c r="J1130" s="9">
        <v>1</v>
      </c>
      <c r="K1130" s="7">
        <v>28500</v>
      </c>
      <c r="L1130" s="7">
        <v>0</v>
      </c>
      <c r="M1130" s="9"/>
      <c r="N1130" s="7">
        <v>12.4</v>
      </c>
      <c r="O1130" s="7"/>
      <c r="P1130" s="7"/>
      <c r="Q1130" t="s">
        <v>67</v>
      </c>
      <c r="R1130" s="7" t="str">
        <f>TEXT(Table1[[#This Row],[Date]],"mmm yyyy")</f>
        <v>Jun 2026</v>
      </c>
      <c r="S1130" s="9">
        <f>YEAR(Table1[[#This Row],[Date]])</f>
        <v>2026</v>
      </c>
      <c r="T1130" s="9"/>
      <c r="U1130" s="9"/>
    </row>
    <row r="1131" spans="1:21" x14ac:dyDescent="0.3">
      <c r="A1131" t="s">
        <v>1742</v>
      </c>
      <c r="B1131" s="6">
        <v>45910</v>
      </c>
      <c r="C1131" t="s">
        <v>18</v>
      </c>
      <c r="D1131" t="s">
        <v>47</v>
      </c>
      <c r="E1131" t="s">
        <v>20</v>
      </c>
      <c r="F1131" t="s">
        <v>1743</v>
      </c>
      <c r="G1131" t="s">
        <v>44</v>
      </c>
      <c r="H1131" t="s">
        <v>86</v>
      </c>
      <c r="I1131" t="s">
        <v>55</v>
      </c>
      <c r="J1131" s="9">
        <v>1</v>
      </c>
      <c r="K1131" s="7">
        <v>8300</v>
      </c>
      <c r="L1131" s="7">
        <v>0</v>
      </c>
      <c r="M1131" s="9"/>
      <c r="N1131" s="7">
        <v>16.600000000000001</v>
      </c>
      <c r="O1131" s="7"/>
      <c r="P1131" s="7"/>
      <c r="Q1131" t="s">
        <v>55</v>
      </c>
      <c r="R1131" s="7" t="str">
        <f>TEXT(Table1[[#This Row],[Date]],"mmm yyyy")</f>
        <v>Sep 2025</v>
      </c>
      <c r="S1131" s="9">
        <f>YEAR(Table1[[#This Row],[Date]])</f>
        <v>2025</v>
      </c>
      <c r="T1131" s="9"/>
      <c r="U1131" s="9"/>
    </row>
    <row r="1132" spans="1:21" hidden="1" x14ac:dyDescent="0.3">
      <c r="A1132" t="s">
        <v>1744</v>
      </c>
      <c r="B1132" s="6">
        <v>46229</v>
      </c>
      <c r="C1132" t="s">
        <v>26</v>
      </c>
      <c r="D1132" t="s">
        <v>27</v>
      </c>
      <c r="E1132" t="s">
        <v>20</v>
      </c>
      <c r="F1132" t="s">
        <v>138</v>
      </c>
      <c r="G1132" t="s">
        <v>30</v>
      </c>
      <c r="J1132" s="9">
        <v>0</v>
      </c>
      <c r="K1132" s="7">
        <v>0</v>
      </c>
      <c r="L1132" s="7">
        <v>0</v>
      </c>
      <c r="M1132" s="9">
        <v>1</v>
      </c>
      <c r="N1132" s="7">
        <v>8.5</v>
      </c>
      <c r="O1132" s="7">
        <v>8</v>
      </c>
      <c r="P1132" s="7">
        <v>5</v>
      </c>
      <c r="Q1132" t="s">
        <v>39</v>
      </c>
      <c r="R1132" s="7" t="str">
        <f>TEXT(Table1[[#This Row],[Date]],"mmm yyyy")</f>
        <v>Jul 2026</v>
      </c>
      <c r="S1132" s="9">
        <f>YEAR(Table1[[#This Row],[Date]])</f>
        <v>2026</v>
      </c>
      <c r="T1132" s="9"/>
      <c r="U1132" s="9"/>
    </row>
    <row r="1133" spans="1:21" x14ac:dyDescent="0.3">
      <c r="A1133" t="s">
        <v>1745</v>
      </c>
      <c r="B1133" s="6">
        <v>46253</v>
      </c>
      <c r="C1133" t="s">
        <v>18</v>
      </c>
      <c r="D1133" t="s">
        <v>95</v>
      </c>
      <c r="E1133" t="s">
        <v>48</v>
      </c>
      <c r="F1133" t="s">
        <v>342</v>
      </c>
      <c r="G1133" t="s">
        <v>30</v>
      </c>
      <c r="H1133" t="s">
        <v>78</v>
      </c>
      <c r="I1133" t="s">
        <v>45</v>
      </c>
      <c r="J1133" s="9">
        <v>1</v>
      </c>
      <c r="K1133" s="7">
        <v>17600</v>
      </c>
      <c r="L1133" s="7">
        <v>0</v>
      </c>
      <c r="M1133" s="9"/>
      <c r="N1133" s="7">
        <v>23.1</v>
      </c>
      <c r="O1133" s="7"/>
      <c r="P1133" s="7"/>
      <c r="Q1133" t="s">
        <v>45</v>
      </c>
      <c r="R1133" s="7" t="str">
        <f>TEXT(Table1[[#This Row],[Date]],"mmm yyyy")</f>
        <v>Aug 2026</v>
      </c>
      <c r="S1133" s="9">
        <f>YEAR(Table1[[#This Row],[Date]])</f>
        <v>2026</v>
      </c>
      <c r="T1133" s="9"/>
      <c r="U1133" s="9"/>
    </row>
    <row r="1134" spans="1:21" x14ac:dyDescent="0.3">
      <c r="A1134" t="s">
        <v>1746</v>
      </c>
      <c r="B1134" s="6">
        <v>46221</v>
      </c>
      <c r="C1134" t="s">
        <v>18</v>
      </c>
      <c r="D1134" t="s">
        <v>52</v>
      </c>
      <c r="E1134" t="s">
        <v>48</v>
      </c>
      <c r="F1134" t="s">
        <v>1747</v>
      </c>
      <c r="G1134" t="s">
        <v>50</v>
      </c>
      <c r="H1134" t="s">
        <v>78</v>
      </c>
      <c r="I1134" t="s">
        <v>55</v>
      </c>
      <c r="J1134" s="9">
        <v>1</v>
      </c>
      <c r="K1134" s="7">
        <v>26600</v>
      </c>
      <c r="L1134" s="7">
        <v>0</v>
      </c>
      <c r="M1134" s="9"/>
      <c r="N1134" s="7">
        <v>3.3</v>
      </c>
      <c r="O1134" s="7"/>
      <c r="P1134" s="7"/>
      <c r="Q1134" t="s">
        <v>55</v>
      </c>
      <c r="R1134" s="7" t="str">
        <f>TEXT(Table1[[#This Row],[Date]],"mmm yyyy")</f>
        <v>Jul 2026</v>
      </c>
      <c r="S1134" s="9">
        <f>YEAR(Table1[[#This Row],[Date]])</f>
        <v>2026</v>
      </c>
      <c r="T1134" s="9"/>
      <c r="U1134" s="9"/>
    </row>
    <row r="1135" spans="1:21" x14ac:dyDescent="0.3">
      <c r="A1135" t="s">
        <v>1748</v>
      </c>
      <c r="B1135" s="6">
        <v>45934</v>
      </c>
      <c r="C1135" t="s">
        <v>18</v>
      </c>
      <c r="D1135" t="s">
        <v>19</v>
      </c>
      <c r="E1135" t="s">
        <v>42</v>
      </c>
      <c r="F1135" t="s">
        <v>1468</v>
      </c>
      <c r="G1135" t="s">
        <v>44</v>
      </c>
      <c r="H1135" t="s">
        <v>54</v>
      </c>
      <c r="I1135" t="s">
        <v>45</v>
      </c>
      <c r="J1135" s="9">
        <v>1</v>
      </c>
      <c r="K1135" s="7">
        <v>14200</v>
      </c>
      <c r="L1135" s="7">
        <v>0</v>
      </c>
      <c r="M1135" s="9"/>
      <c r="N1135" s="7">
        <v>19.899999999999999</v>
      </c>
      <c r="O1135" s="7"/>
      <c r="P1135" s="7"/>
      <c r="Q1135" t="s">
        <v>45</v>
      </c>
      <c r="R1135" s="7" t="str">
        <f>TEXT(Table1[[#This Row],[Date]],"mmm yyyy")</f>
        <v>Oct 2025</v>
      </c>
      <c r="S1135" s="9">
        <f>YEAR(Table1[[#This Row],[Date]])</f>
        <v>2025</v>
      </c>
      <c r="T1135" s="9"/>
      <c r="U1135" s="9"/>
    </row>
    <row r="1136" spans="1:21" hidden="1" x14ac:dyDescent="0.3">
      <c r="A1136" t="s">
        <v>1749</v>
      </c>
      <c r="B1136" s="6">
        <v>46230</v>
      </c>
      <c r="C1136" t="s">
        <v>26</v>
      </c>
      <c r="D1136" t="s">
        <v>114</v>
      </c>
      <c r="E1136" t="s">
        <v>48</v>
      </c>
      <c r="F1136" t="s">
        <v>1750</v>
      </c>
      <c r="G1136" t="s">
        <v>30</v>
      </c>
      <c r="J1136" s="9">
        <v>0</v>
      </c>
      <c r="K1136" s="7">
        <v>0</v>
      </c>
      <c r="L1136" s="7">
        <v>0</v>
      </c>
      <c r="M1136" s="9">
        <v>1</v>
      </c>
      <c r="N1136" s="7">
        <v>11.8</v>
      </c>
      <c r="O1136" s="7">
        <v>6.6</v>
      </c>
      <c r="P1136" s="7">
        <v>5</v>
      </c>
      <c r="Q1136" t="s">
        <v>39</v>
      </c>
      <c r="R1136" s="7" t="str">
        <f>TEXT(Table1[[#This Row],[Date]],"mmm yyyy")</f>
        <v>Jul 2026</v>
      </c>
      <c r="S1136" s="9">
        <f>YEAR(Table1[[#This Row],[Date]])</f>
        <v>2026</v>
      </c>
      <c r="T1136" s="9"/>
      <c r="U1136" s="9"/>
    </row>
    <row r="1137" spans="1:21" x14ac:dyDescent="0.3">
      <c r="A1137" t="s">
        <v>1751</v>
      </c>
      <c r="B1137" s="6">
        <v>46126</v>
      </c>
      <c r="C1137" t="s">
        <v>18</v>
      </c>
      <c r="D1137" t="s">
        <v>95</v>
      </c>
      <c r="E1137" t="s">
        <v>48</v>
      </c>
      <c r="F1137" t="s">
        <v>1752</v>
      </c>
      <c r="G1137" t="s">
        <v>30</v>
      </c>
      <c r="H1137" t="s">
        <v>78</v>
      </c>
      <c r="I1137" t="s">
        <v>89</v>
      </c>
      <c r="J1137" s="9">
        <v>1</v>
      </c>
      <c r="K1137" s="7">
        <v>11300</v>
      </c>
      <c r="L1137" s="7">
        <v>0</v>
      </c>
      <c r="M1137" s="9"/>
      <c r="N1137" s="7">
        <v>22.4</v>
      </c>
      <c r="O1137" s="7"/>
      <c r="P1137" s="7"/>
      <c r="Q1137" t="s">
        <v>89</v>
      </c>
      <c r="R1137" s="7" t="str">
        <f>TEXT(Table1[[#This Row],[Date]],"mmm yyyy")</f>
        <v>Apr 2026</v>
      </c>
      <c r="S1137" s="9">
        <f>YEAR(Table1[[#This Row],[Date]])</f>
        <v>2026</v>
      </c>
      <c r="T1137" s="9"/>
      <c r="U1137" s="9"/>
    </row>
    <row r="1138" spans="1:21" hidden="1" x14ac:dyDescent="0.3">
      <c r="A1138" t="s">
        <v>1753</v>
      </c>
      <c r="B1138" s="6">
        <v>46017</v>
      </c>
      <c r="C1138" t="s">
        <v>26</v>
      </c>
      <c r="D1138" t="s">
        <v>33</v>
      </c>
      <c r="E1138" t="s">
        <v>20</v>
      </c>
      <c r="F1138" t="s">
        <v>1020</v>
      </c>
      <c r="G1138" t="s">
        <v>44</v>
      </c>
      <c r="J1138" s="9">
        <v>0</v>
      </c>
      <c r="K1138" s="7">
        <v>0</v>
      </c>
      <c r="L1138" s="7">
        <v>0</v>
      </c>
      <c r="M1138" s="9">
        <v>1</v>
      </c>
      <c r="N1138" s="7">
        <v>4.9000000000000004</v>
      </c>
      <c r="O1138" s="7">
        <v>8.9</v>
      </c>
      <c r="P1138" s="7">
        <v>3.9</v>
      </c>
      <c r="Q1138" t="s">
        <v>31</v>
      </c>
      <c r="R1138" s="7" t="str">
        <f>TEXT(Table1[[#This Row],[Date]],"mmm yyyy")</f>
        <v>Dec 2025</v>
      </c>
      <c r="S1138" s="9">
        <f>YEAR(Table1[[#This Row],[Date]])</f>
        <v>2025</v>
      </c>
      <c r="T1138" s="9"/>
      <c r="U1138" s="9"/>
    </row>
    <row r="1139" spans="1:21" x14ac:dyDescent="0.3">
      <c r="A1139" t="s">
        <v>1754</v>
      </c>
      <c r="B1139" s="6">
        <v>46216</v>
      </c>
      <c r="C1139" t="s">
        <v>18</v>
      </c>
      <c r="D1139" t="s">
        <v>47</v>
      </c>
      <c r="E1139" t="s">
        <v>37</v>
      </c>
      <c r="F1139" t="s">
        <v>855</v>
      </c>
      <c r="G1139" t="s">
        <v>44</v>
      </c>
      <c r="H1139" t="s">
        <v>54</v>
      </c>
      <c r="I1139" t="s">
        <v>45</v>
      </c>
      <c r="J1139" s="9">
        <v>1</v>
      </c>
      <c r="K1139" s="7">
        <v>29000</v>
      </c>
      <c r="L1139" s="7">
        <v>0</v>
      </c>
      <c r="M1139" s="9"/>
      <c r="N1139" s="7">
        <v>9.6</v>
      </c>
      <c r="O1139" s="7"/>
      <c r="P1139" s="7"/>
      <c r="Q1139" t="s">
        <v>45</v>
      </c>
      <c r="R1139" s="7" t="str">
        <f>TEXT(Table1[[#This Row],[Date]],"mmm yyyy")</f>
        <v>Jul 2026</v>
      </c>
      <c r="S1139" s="9">
        <f>YEAR(Table1[[#This Row],[Date]])</f>
        <v>2026</v>
      </c>
      <c r="T1139" s="9"/>
      <c r="U1139" s="9"/>
    </row>
    <row r="1140" spans="1:21" x14ac:dyDescent="0.3">
      <c r="A1140" t="s">
        <v>1755</v>
      </c>
      <c r="B1140" s="6">
        <v>46138</v>
      </c>
      <c r="C1140" t="s">
        <v>18</v>
      </c>
      <c r="D1140" t="s">
        <v>105</v>
      </c>
      <c r="E1140" t="s">
        <v>20</v>
      </c>
      <c r="F1140" t="s">
        <v>370</v>
      </c>
      <c r="G1140" t="s">
        <v>44</v>
      </c>
      <c r="H1140" t="s">
        <v>86</v>
      </c>
      <c r="I1140" t="s">
        <v>89</v>
      </c>
      <c r="J1140" s="9">
        <v>1</v>
      </c>
      <c r="K1140" s="7">
        <v>52700</v>
      </c>
      <c r="L1140" s="7">
        <v>0</v>
      </c>
      <c r="M1140" s="9"/>
      <c r="N1140" s="7">
        <v>14</v>
      </c>
      <c r="O1140" s="7"/>
      <c r="P1140" s="7"/>
      <c r="Q1140" t="s">
        <v>89</v>
      </c>
      <c r="R1140" s="7" t="str">
        <f>TEXT(Table1[[#This Row],[Date]],"mmm yyyy")</f>
        <v>Apr 2026</v>
      </c>
      <c r="S1140" s="9">
        <f>YEAR(Table1[[#This Row],[Date]])</f>
        <v>2026</v>
      </c>
      <c r="T1140" s="9"/>
      <c r="U1140" s="9"/>
    </row>
    <row r="1141" spans="1:21" hidden="1" x14ac:dyDescent="0.3">
      <c r="A1141" t="s">
        <v>1756</v>
      </c>
      <c r="B1141" s="6">
        <v>46240</v>
      </c>
      <c r="C1141" t="s">
        <v>26</v>
      </c>
      <c r="D1141" t="s">
        <v>72</v>
      </c>
      <c r="E1141" t="s">
        <v>48</v>
      </c>
      <c r="F1141" t="s">
        <v>1757</v>
      </c>
      <c r="G1141" t="s">
        <v>50</v>
      </c>
      <c r="J1141" s="9">
        <v>0</v>
      </c>
      <c r="K1141" s="7">
        <v>0</v>
      </c>
      <c r="L1141" s="7">
        <v>0</v>
      </c>
      <c r="M1141" s="9">
        <v>1</v>
      </c>
      <c r="N1141" s="7">
        <v>9.6</v>
      </c>
      <c r="O1141" s="7">
        <v>4.0999999999999996</v>
      </c>
      <c r="P1141" s="7">
        <v>3.8</v>
      </c>
      <c r="Q1141" t="s">
        <v>31</v>
      </c>
      <c r="R1141" s="7" t="str">
        <f>TEXT(Table1[[#This Row],[Date]],"mmm yyyy")</f>
        <v>Aug 2026</v>
      </c>
      <c r="S1141" s="9">
        <f>YEAR(Table1[[#This Row],[Date]])</f>
        <v>2026</v>
      </c>
      <c r="T1141" s="9"/>
      <c r="U1141" s="9"/>
    </row>
    <row r="1142" spans="1:21" hidden="1" x14ac:dyDescent="0.3">
      <c r="A1142" t="s">
        <v>1758</v>
      </c>
      <c r="B1142" s="6">
        <v>46207</v>
      </c>
      <c r="C1142" t="s">
        <v>26</v>
      </c>
      <c r="D1142" t="s">
        <v>126</v>
      </c>
      <c r="E1142" t="s">
        <v>20</v>
      </c>
      <c r="F1142" t="s">
        <v>681</v>
      </c>
      <c r="G1142" t="s">
        <v>50</v>
      </c>
      <c r="J1142" s="9">
        <v>0</v>
      </c>
      <c r="K1142" s="7">
        <v>0</v>
      </c>
      <c r="L1142" s="7">
        <v>0</v>
      </c>
      <c r="M1142" s="9">
        <v>1</v>
      </c>
      <c r="N1142" s="7">
        <v>3.8</v>
      </c>
      <c r="O1142" s="7">
        <v>12</v>
      </c>
      <c r="P1142" s="7">
        <v>4.4000000000000004</v>
      </c>
      <c r="Q1142" t="s">
        <v>39</v>
      </c>
      <c r="R1142" s="7" t="str">
        <f>TEXT(Table1[[#This Row],[Date]],"mmm yyyy")</f>
        <v>Jul 2026</v>
      </c>
      <c r="S1142" s="9">
        <f>YEAR(Table1[[#This Row],[Date]])</f>
        <v>2026</v>
      </c>
      <c r="T1142" s="9"/>
      <c r="U1142" s="9"/>
    </row>
    <row r="1143" spans="1:21" x14ac:dyDescent="0.3">
      <c r="A1143" t="s">
        <v>1759</v>
      </c>
      <c r="B1143" s="6">
        <v>46114</v>
      </c>
      <c r="C1143" t="s">
        <v>18</v>
      </c>
      <c r="D1143" t="s">
        <v>19</v>
      </c>
      <c r="E1143" t="s">
        <v>28</v>
      </c>
      <c r="F1143" t="s">
        <v>859</v>
      </c>
      <c r="G1143" t="s">
        <v>22</v>
      </c>
      <c r="H1143" t="s">
        <v>23</v>
      </c>
      <c r="I1143" t="s">
        <v>45</v>
      </c>
      <c r="J1143" s="9">
        <v>1</v>
      </c>
      <c r="K1143" s="7">
        <v>23900</v>
      </c>
      <c r="L1143" s="7">
        <v>0</v>
      </c>
      <c r="M1143" s="9"/>
      <c r="N1143" s="7">
        <v>20.6</v>
      </c>
      <c r="O1143" s="7"/>
      <c r="P1143" s="7"/>
      <c r="Q1143" t="s">
        <v>45</v>
      </c>
      <c r="R1143" s="7" t="str">
        <f>TEXT(Table1[[#This Row],[Date]],"mmm yyyy")</f>
        <v>Apr 2026</v>
      </c>
      <c r="S1143" s="9">
        <f>YEAR(Table1[[#This Row],[Date]])</f>
        <v>2026</v>
      </c>
      <c r="T1143" s="9"/>
      <c r="U1143" s="9"/>
    </row>
    <row r="1144" spans="1:21" hidden="1" x14ac:dyDescent="0.3">
      <c r="A1144" t="s">
        <v>1760</v>
      </c>
      <c r="B1144" s="6">
        <v>46144</v>
      </c>
      <c r="C1144" t="s">
        <v>26</v>
      </c>
      <c r="D1144" t="s">
        <v>27</v>
      </c>
      <c r="E1144" t="s">
        <v>20</v>
      </c>
      <c r="F1144" t="s">
        <v>1273</v>
      </c>
      <c r="G1144" t="s">
        <v>44</v>
      </c>
      <c r="J1144" s="9">
        <v>0</v>
      </c>
      <c r="K1144" s="7">
        <v>0</v>
      </c>
      <c r="L1144" s="7">
        <v>0</v>
      </c>
      <c r="M1144" s="9">
        <v>1</v>
      </c>
      <c r="N1144" s="7">
        <v>11.2</v>
      </c>
      <c r="O1144" s="7">
        <v>20.9</v>
      </c>
      <c r="P1144" s="7">
        <v>3.7</v>
      </c>
      <c r="Q1144" t="s">
        <v>62</v>
      </c>
      <c r="R1144" s="7" t="str">
        <f>TEXT(Table1[[#This Row],[Date]],"mmm yyyy")</f>
        <v>May 2026</v>
      </c>
      <c r="S1144" s="9">
        <f>YEAR(Table1[[#This Row],[Date]])</f>
        <v>2026</v>
      </c>
      <c r="T1144" s="9"/>
      <c r="U1144" s="9"/>
    </row>
    <row r="1145" spans="1:21" hidden="1" x14ac:dyDescent="0.3">
      <c r="A1145" t="s">
        <v>1761</v>
      </c>
      <c r="B1145" s="6">
        <v>45931</v>
      </c>
      <c r="C1145" t="s">
        <v>26</v>
      </c>
      <c r="D1145" t="s">
        <v>126</v>
      </c>
      <c r="E1145" t="s">
        <v>20</v>
      </c>
      <c r="F1145" t="s">
        <v>138</v>
      </c>
      <c r="G1145" t="s">
        <v>22</v>
      </c>
      <c r="J1145" s="9">
        <v>0</v>
      </c>
      <c r="K1145" s="7">
        <v>0</v>
      </c>
      <c r="L1145" s="7">
        <v>0</v>
      </c>
      <c r="M1145" s="9">
        <v>1</v>
      </c>
      <c r="N1145" s="7">
        <v>10.1</v>
      </c>
      <c r="O1145" s="7">
        <v>24.6</v>
      </c>
      <c r="P1145" s="7">
        <v>3.5</v>
      </c>
      <c r="Q1145" t="s">
        <v>31</v>
      </c>
      <c r="R1145" s="7" t="str">
        <f>TEXT(Table1[[#This Row],[Date]],"mmm yyyy")</f>
        <v>Oct 2025</v>
      </c>
      <c r="S1145" s="9">
        <f>YEAR(Table1[[#This Row],[Date]])</f>
        <v>2025</v>
      </c>
      <c r="T1145" s="9"/>
      <c r="U1145" s="9"/>
    </row>
    <row r="1146" spans="1:21" x14ac:dyDescent="0.3">
      <c r="A1146" t="s">
        <v>1762</v>
      </c>
      <c r="B1146" s="6">
        <v>45920</v>
      </c>
      <c r="C1146" t="s">
        <v>18</v>
      </c>
      <c r="D1146" t="s">
        <v>117</v>
      </c>
      <c r="E1146" t="s">
        <v>20</v>
      </c>
      <c r="F1146" t="s">
        <v>1249</v>
      </c>
      <c r="G1146" t="s">
        <v>50</v>
      </c>
      <c r="H1146" t="s">
        <v>78</v>
      </c>
      <c r="I1146" t="s">
        <v>79</v>
      </c>
      <c r="J1146" s="9">
        <v>1</v>
      </c>
      <c r="K1146" s="7">
        <v>33000</v>
      </c>
      <c r="L1146" s="7">
        <v>0</v>
      </c>
      <c r="M1146" s="9"/>
      <c r="N1146" s="7">
        <v>12.4</v>
      </c>
      <c r="O1146" s="7"/>
      <c r="P1146" s="7"/>
      <c r="Q1146" t="s">
        <v>79</v>
      </c>
      <c r="R1146" s="7" t="str">
        <f>TEXT(Table1[[#This Row],[Date]],"mmm yyyy")</f>
        <v>Sep 2025</v>
      </c>
      <c r="S1146" s="9">
        <f>YEAR(Table1[[#This Row],[Date]])</f>
        <v>2025</v>
      </c>
      <c r="T1146" s="9"/>
      <c r="U1146" s="9"/>
    </row>
    <row r="1147" spans="1:21" hidden="1" x14ac:dyDescent="0.3">
      <c r="A1147" t="s">
        <v>1763</v>
      </c>
      <c r="B1147" s="6">
        <v>45924</v>
      </c>
      <c r="C1147" t="s">
        <v>26</v>
      </c>
      <c r="D1147" t="s">
        <v>114</v>
      </c>
      <c r="E1147" t="s">
        <v>37</v>
      </c>
      <c r="F1147" t="s">
        <v>1003</v>
      </c>
      <c r="G1147" t="s">
        <v>22</v>
      </c>
      <c r="J1147" s="9">
        <v>0</v>
      </c>
      <c r="K1147" s="7">
        <v>0</v>
      </c>
      <c r="L1147" s="7">
        <v>0</v>
      </c>
      <c r="M1147" s="9">
        <v>1</v>
      </c>
      <c r="N1147" s="7">
        <v>9.6999999999999993</v>
      </c>
      <c r="O1147" s="7">
        <v>3.7</v>
      </c>
      <c r="P1147" s="7">
        <v>2</v>
      </c>
      <c r="Q1147" t="s">
        <v>39</v>
      </c>
      <c r="R1147" s="7" t="str">
        <f>TEXT(Table1[[#This Row],[Date]],"mmm yyyy")</f>
        <v>Sep 2025</v>
      </c>
      <c r="S1147" s="9">
        <f>YEAR(Table1[[#This Row],[Date]])</f>
        <v>2025</v>
      </c>
      <c r="T1147" s="9"/>
      <c r="U1147" s="9"/>
    </row>
    <row r="1148" spans="1:21" hidden="1" x14ac:dyDescent="0.3">
      <c r="A1148" t="s">
        <v>1764</v>
      </c>
      <c r="B1148" s="6">
        <v>46108</v>
      </c>
      <c r="C1148" t="s">
        <v>26</v>
      </c>
      <c r="D1148" t="s">
        <v>126</v>
      </c>
      <c r="E1148" t="s">
        <v>20</v>
      </c>
      <c r="F1148" t="s">
        <v>754</v>
      </c>
      <c r="G1148" t="s">
        <v>50</v>
      </c>
      <c r="J1148" s="9">
        <v>0</v>
      </c>
      <c r="K1148" s="7">
        <v>0</v>
      </c>
      <c r="L1148" s="7">
        <v>0</v>
      </c>
      <c r="M1148" s="9">
        <v>1</v>
      </c>
      <c r="N1148" s="7">
        <v>6.8</v>
      </c>
      <c r="O1148" s="7">
        <v>10.199999999999999</v>
      </c>
      <c r="P1148" s="7">
        <v>4.7</v>
      </c>
      <c r="Q1148" t="s">
        <v>39</v>
      </c>
      <c r="R1148" s="7" t="str">
        <f>TEXT(Table1[[#This Row],[Date]],"mmm yyyy")</f>
        <v>Mar 2026</v>
      </c>
      <c r="S1148" s="9">
        <f>YEAR(Table1[[#This Row],[Date]])</f>
        <v>2026</v>
      </c>
      <c r="T1148" s="9"/>
      <c r="U1148" s="9"/>
    </row>
    <row r="1149" spans="1:21" hidden="1" x14ac:dyDescent="0.3">
      <c r="A1149" t="s">
        <v>1765</v>
      </c>
      <c r="B1149" s="6">
        <v>46012</v>
      </c>
      <c r="C1149" t="s">
        <v>26</v>
      </c>
      <c r="D1149" t="s">
        <v>36</v>
      </c>
      <c r="E1149" t="s">
        <v>48</v>
      </c>
      <c r="F1149" t="s">
        <v>665</v>
      </c>
      <c r="G1149" t="s">
        <v>50</v>
      </c>
      <c r="J1149" s="9">
        <v>0</v>
      </c>
      <c r="K1149" s="7">
        <v>0</v>
      </c>
      <c r="L1149" s="7">
        <v>0</v>
      </c>
      <c r="M1149" s="9">
        <v>1</v>
      </c>
      <c r="N1149" s="7">
        <v>9.9</v>
      </c>
      <c r="O1149" s="7">
        <v>5.2</v>
      </c>
      <c r="P1149" s="7">
        <v>3</v>
      </c>
      <c r="Q1149" t="s">
        <v>31</v>
      </c>
      <c r="R1149" s="7" t="str">
        <f>TEXT(Table1[[#This Row],[Date]],"mmm yyyy")</f>
        <v>Dec 2025</v>
      </c>
      <c r="S1149" s="9">
        <f>YEAR(Table1[[#This Row],[Date]])</f>
        <v>2025</v>
      </c>
      <c r="T1149" s="9"/>
      <c r="U1149" s="9"/>
    </row>
    <row r="1150" spans="1:21" hidden="1" x14ac:dyDescent="0.3">
      <c r="A1150" t="s">
        <v>1766</v>
      </c>
      <c r="B1150" s="6">
        <v>45906</v>
      </c>
      <c r="C1150" t="s">
        <v>26</v>
      </c>
      <c r="D1150" t="s">
        <v>69</v>
      </c>
      <c r="E1150" t="s">
        <v>28</v>
      </c>
      <c r="F1150" t="s">
        <v>710</v>
      </c>
      <c r="G1150" t="s">
        <v>30</v>
      </c>
      <c r="J1150" s="9">
        <v>0</v>
      </c>
      <c r="K1150" s="7">
        <v>0</v>
      </c>
      <c r="L1150" s="7">
        <v>0</v>
      </c>
      <c r="M1150" s="9">
        <v>1</v>
      </c>
      <c r="N1150" s="7">
        <v>2.2999999999999998</v>
      </c>
      <c r="O1150" s="7">
        <v>8.1</v>
      </c>
      <c r="P1150" s="7">
        <v>4.2</v>
      </c>
      <c r="Q1150" t="s">
        <v>62</v>
      </c>
      <c r="R1150" s="7" t="str">
        <f>TEXT(Table1[[#This Row],[Date]],"mmm yyyy")</f>
        <v>Sep 2025</v>
      </c>
      <c r="S1150" s="9">
        <f>YEAR(Table1[[#This Row],[Date]])</f>
        <v>2025</v>
      </c>
      <c r="T1150" s="9"/>
      <c r="U1150" s="9"/>
    </row>
    <row r="1151" spans="1:21" hidden="1" x14ac:dyDescent="0.3">
      <c r="A1151" t="s">
        <v>1767</v>
      </c>
      <c r="B1151" s="6">
        <v>46109</v>
      </c>
      <c r="C1151" t="s">
        <v>26</v>
      </c>
      <c r="D1151" t="s">
        <v>27</v>
      </c>
      <c r="E1151" t="s">
        <v>20</v>
      </c>
      <c r="F1151" t="s">
        <v>825</v>
      </c>
      <c r="G1151" t="s">
        <v>44</v>
      </c>
      <c r="J1151" s="9">
        <v>0</v>
      </c>
      <c r="K1151" s="7">
        <v>0</v>
      </c>
      <c r="L1151" s="7">
        <v>0</v>
      </c>
      <c r="M1151" s="9">
        <v>1</v>
      </c>
      <c r="N1151" s="7">
        <v>1.9</v>
      </c>
      <c r="O1151" s="7">
        <v>8.6</v>
      </c>
      <c r="P1151" s="7">
        <v>4.5999999999999996</v>
      </c>
      <c r="Q1151" t="s">
        <v>225</v>
      </c>
      <c r="R1151" s="7" t="str">
        <f>TEXT(Table1[[#This Row],[Date]],"mmm yyyy")</f>
        <v>Mar 2026</v>
      </c>
      <c r="S1151" s="9">
        <f>YEAR(Table1[[#This Row],[Date]])</f>
        <v>2026</v>
      </c>
      <c r="T1151" s="9"/>
      <c r="U1151" s="9"/>
    </row>
    <row r="1152" spans="1:21" hidden="1" x14ac:dyDescent="0.3">
      <c r="A1152" t="s">
        <v>1768</v>
      </c>
      <c r="B1152" s="6">
        <v>45914</v>
      </c>
      <c r="C1152" t="s">
        <v>26</v>
      </c>
      <c r="D1152" t="s">
        <v>232</v>
      </c>
      <c r="E1152" t="s">
        <v>48</v>
      </c>
      <c r="F1152" t="s">
        <v>558</v>
      </c>
      <c r="G1152" t="s">
        <v>50</v>
      </c>
      <c r="J1152" s="9">
        <v>0</v>
      </c>
      <c r="K1152" s="7">
        <v>0</v>
      </c>
      <c r="L1152" s="7">
        <v>0</v>
      </c>
      <c r="M1152" s="9">
        <v>1</v>
      </c>
      <c r="N1152" s="7">
        <v>8.6</v>
      </c>
      <c r="O1152" s="7">
        <v>16</v>
      </c>
      <c r="P1152" s="7">
        <v>5</v>
      </c>
      <c r="Q1152" t="s">
        <v>39</v>
      </c>
      <c r="R1152" s="7" t="str">
        <f>TEXT(Table1[[#This Row],[Date]],"mmm yyyy")</f>
        <v>Sep 2025</v>
      </c>
      <c r="S1152" s="9">
        <f>YEAR(Table1[[#This Row],[Date]])</f>
        <v>2025</v>
      </c>
      <c r="T1152" s="9"/>
      <c r="U1152" s="9"/>
    </row>
    <row r="1153" spans="1:21" hidden="1" x14ac:dyDescent="0.3">
      <c r="A1153" t="s">
        <v>1769</v>
      </c>
      <c r="B1153" s="6">
        <v>45963</v>
      </c>
      <c r="C1153" t="s">
        <v>26</v>
      </c>
      <c r="D1153" t="s">
        <v>33</v>
      </c>
      <c r="E1153" t="s">
        <v>28</v>
      </c>
      <c r="F1153" t="s">
        <v>250</v>
      </c>
      <c r="G1153" t="s">
        <v>30</v>
      </c>
      <c r="J1153" s="9">
        <v>0</v>
      </c>
      <c r="K1153" s="7">
        <v>0</v>
      </c>
      <c r="L1153" s="7">
        <v>0</v>
      </c>
      <c r="M1153" s="9">
        <v>1</v>
      </c>
      <c r="N1153" s="7">
        <v>11.5</v>
      </c>
      <c r="O1153" s="7">
        <v>2</v>
      </c>
      <c r="P1153" s="7">
        <v>3.9</v>
      </c>
      <c r="Q1153" t="s">
        <v>31</v>
      </c>
      <c r="R1153" s="7" t="str">
        <f>TEXT(Table1[[#This Row],[Date]],"mmm yyyy")</f>
        <v>Nov 2025</v>
      </c>
      <c r="S1153" s="9">
        <f>YEAR(Table1[[#This Row],[Date]])</f>
        <v>2025</v>
      </c>
      <c r="T1153" s="9"/>
      <c r="U1153" s="9"/>
    </row>
    <row r="1154" spans="1:21" hidden="1" x14ac:dyDescent="0.3">
      <c r="A1154" t="s">
        <v>1770</v>
      </c>
      <c r="B1154" s="6">
        <v>46092</v>
      </c>
      <c r="C1154" t="s">
        <v>26</v>
      </c>
      <c r="D1154" t="s">
        <v>126</v>
      </c>
      <c r="E1154" t="s">
        <v>28</v>
      </c>
      <c r="F1154" t="s">
        <v>1205</v>
      </c>
      <c r="G1154" t="s">
        <v>22</v>
      </c>
      <c r="J1154" s="9">
        <v>0</v>
      </c>
      <c r="K1154" s="7">
        <v>0</v>
      </c>
      <c r="L1154" s="7">
        <v>0</v>
      </c>
      <c r="M1154" s="9">
        <v>1</v>
      </c>
      <c r="N1154" s="7">
        <v>7.9</v>
      </c>
      <c r="O1154" s="7">
        <v>5.8</v>
      </c>
      <c r="P1154" s="7">
        <v>4.9000000000000004</v>
      </c>
      <c r="Q1154" t="s">
        <v>31</v>
      </c>
      <c r="R1154" s="7" t="str">
        <f>TEXT(Table1[[#This Row],[Date]],"mmm yyyy")</f>
        <v>Mar 2026</v>
      </c>
      <c r="S1154" s="9">
        <f>YEAR(Table1[[#This Row],[Date]])</f>
        <v>2026</v>
      </c>
      <c r="T1154" s="9"/>
      <c r="U1154" s="9"/>
    </row>
    <row r="1155" spans="1:21" hidden="1" x14ac:dyDescent="0.3">
      <c r="A1155" t="s">
        <v>1771</v>
      </c>
      <c r="B1155" s="6">
        <v>46062</v>
      </c>
      <c r="C1155" t="s">
        <v>26</v>
      </c>
      <c r="D1155" t="s">
        <v>69</v>
      </c>
      <c r="E1155" t="s">
        <v>37</v>
      </c>
      <c r="F1155" t="s">
        <v>1427</v>
      </c>
      <c r="G1155" t="s">
        <v>30</v>
      </c>
      <c r="J1155" s="9">
        <v>0</v>
      </c>
      <c r="K1155" s="7">
        <v>0</v>
      </c>
      <c r="L1155" s="7">
        <v>0</v>
      </c>
      <c r="M1155" s="9">
        <v>1</v>
      </c>
      <c r="N1155" s="7">
        <v>11.3</v>
      </c>
      <c r="O1155" s="7">
        <v>8.3000000000000007</v>
      </c>
      <c r="P1155" s="7">
        <v>4.2</v>
      </c>
      <c r="Q1155" t="s">
        <v>31</v>
      </c>
      <c r="R1155" s="7" t="str">
        <f>TEXT(Table1[[#This Row],[Date]],"mmm yyyy")</f>
        <v>Feb 2026</v>
      </c>
      <c r="S1155" s="9">
        <f>YEAR(Table1[[#This Row],[Date]])</f>
        <v>2026</v>
      </c>
      <c r="T1155" s="9"/>
      <c r="U1155" s="9"/>
    </row>
    <row r="1156" spans="1:21" hidden="1" x14ac:dyDescent="0.3">
      <c r="A1156" t="s">
        <v>1772</v>
      </c>
      <c r="B1156" s="6">
        <v>46090</v>
      </c>
      <c r="C1156" t="s">
        <v>26</v>
      </c>
      <c r="D1156" t="s">
        <v>33</v>
      </c>
      <c r="E1156" t="s">
        <v>42</v>
      </c>
      <c r="F1156" t="s">
        <v>952</v>
      </c>
      <c r="G1156" t="s">
        <v>50</v>
      </c>
      <c r="J1156" s="9">
        <v>0</v>
      </c>
      <c r="K1156" s="7">
        <v>0</v>
      </c>
      <c r="L1156" s="7">
        <v>0</v>
      </c>
      <c r="M1156" s="9">
        <v>1</v>
      </c>
      <c r="N1156" s="7">
        <v>3.8</v>
      </c>
      <c r="O1156" s="7">
        <v>4.4000000000000004</v>
      </c>
      <c r="P1156" s="7">
        <v>5</v>
      </c>
      <c r="Q1156" t="s">
        <v>39</v>
      </c>
      <c r="R1156" s="7" t="str">
        <f>TEXT(Table1[[#This Row],[Date]],"mmm yyyy")</f>
        <v>Mar 2026</v>
      </c>
      <c r="S1156" s="9">
        <f>YEAR(Table1[[#This Row],[Date]])</f>
        <v>2026</v>
      </c>
      <c r="T1156" s="9"/>
      <c r="U1156" s="9"/>
    </row>
    <row r="1157" spans="1:21" hidden="1" x14ac:dyDescent="0.3">
      <c r="A1157" t="s">
        <v>1773</v>
      </c>
      <c r="B1157" s="6">
        <v>46061</v>
      </c>
      <c r="C1157" t="s">
        <v>26</v>
      </c>
      <c r="D1157" t="s">
        <v>33</v>
      </c>
      <c r="E1157" t="s">
        <v>20</v>
      </c>
      <c r="F1157" t="s">
        <v>1186</v>
      </c>
      <c r="G1157" t="s">
        <v>22</v>
      </c>
      <c r="J1157" s="9">
        <v>0</v>
      </c>
      <c r="K1157" s="7">
        <v>0</v>
      </c>
      <c r="L1157" s="7">
        <v>0</v>
      </c>
      <c r="M1157" s="9">
        <v>1</v>
      </c>
      <c r="N1157" s="7">
        <v>1.5</v>
      </c>
      <c r="O1157" s="7">
        <v>6.5</v>
      </c>
      <c r="P1157" s="7">
        <v>2.5</v>
      </c>
      <c r="Q1157" t="s">
        <v>39</v>
      </c>
      <c r="R1157" s="7" t="str">
        <f>TEXT(Table1[[#This Row],[Date]],"mmm yyyy")</f>
        <v>Feb 2026</v>
      </c>
      <c r="S1157" s="9">
        <f>YEAR(Table1[[#This Row],[Date]])</f>
        <v>2026</v>
      </c>
      <c r="T1157" s="9"/>
      <c r="U1157" s="9"/>
    </row>
    <row r="1158" spans="1:21" x14ac:dyDescent="0.3">
      <c r="A1158" t="s">
        <v>1774</v>
      </c>
      <c r="B1158" s="6">
        <v>45918</v>
      </c>
      <c r="C1158" t="s">
        <v>18</v>
      </c>
      <c r="D1158" t="s">
        <v>105</v>
      </c>
      <c r="E1158" t="s">
        <v>20</v>
      </c>
      <c r="F1158" t="s">
        <v>783</v>
      </c>
      <c r="G1158" t="s">
        <v>44</v>
      </c>
      <c r="H1158" t="s">
        <v>23</v>
      </c>
      <c r="I1158" t="s">
        <v>55</v>
      </c>
      <c r="J1158" s="9">
        <v>1</v>
      </c>
      <c r="K1158" s="7">
        <v>30600</v>
      </c>
      <c r="L1158" s="7">
        <v>0</v>
      </c>
      <c r="M1158" s="9"/>
      <c r="N1158" s="7">
        <v>18.600000000000001</v>
      </c>
      <c r="O1158" s="7"/>
      <c r="P1158" s="7"/>
      <c r="Q1158" t="s">
        <v>55</v>
      </c>
      <c r="R1158" s="7" t="str">
        <f>TEXT(Table1[[#This Row],[Date]],"mmm yyyy")</f>
        <v>Sep 2025</v>
      </c>
      <c r="S1158" s="9">
        <f>YEAR(Table1[[#This Row],[Date]])</f>
        <v>2025</v>
      </c>
      <c r="T1158" s="9"/>
      <c r="U1158" s="9"/>
    </row>
    <row r="1159" spans="1:21" hidden="1" x14ac:dyDescent="0.3">
      <c r="A1159" t="s">
        <v>1775</v>
      </c>
      <c r="B1159" s="6">
        <v>46237</v>
      </c>
      <c r="C1159" t="s">
        <v>26</v>
      </c>
      <c r="D1159" t="s">
        <v>33</v>
      </c>
      <c r="E1159" t="s">
        <v>20</v>
      </c>
      <c r="F1159" t="s">
        <v>1085</v>
      </c>
      <c r="G1159" t="s">
        <v>30</v>
      </c>
      <c r="J1159" s="9">
        <v>0</v>
      </c>
      <c r="K1159" s="7">
        <v>0</v>
      </c>
      <c r="L1159" s="7">
        <v>0</v>
      </c>
      <c r="M1159" s="9">
        <v>1</v>
      </c>
      <c r="N1159" s="7">
        <v>8.8000000000000007</v>
      </c>
      <c r="O1159" s="7">
        <v>5.4</v>
      </c>
      <c r="P1159" s="7">
        <v>4.7</v>
      </c>
      <c r="Q1159" t="s">
        <v>39</v>
      </c>
      <c r="R1159" s="7" t="str">
        <f>TEXT(Table1[[#This Row],[Date]],"mmm yyyy")</f>
        <v>Aug 2026</v>
      </c>
      <c r="S1159" s="9">
        <f>YEAR(Table1[[#This Row],[Date]])</f>
        <v>2026</v>
      </c>
      <c r="T1159" s="9"/>
      <c r="U1159" s="9"/>
    </row>
    <row r="1160" spans="1:21" hidden="1" x14ac:dyDescent="0.3">
      <c r="A1160" t="s">
        <v>1776</v>
      </c>
      <c r="B1160" s="6">
        <v>46152</v>
      </c>
      <c r="C1160" t="s">
        <v>26</v>
      </c>
      <c r="D1160" t="s">
        <v>232</v>
      </c>
      <c r="E1160" t="s">
        <v>20</v>
      </c>
      <c r="F1160" t="s">
        <v>276</v>
      </c>
      <c r="G1160" t="s">
        <v>30</v>
      </c>
      <c r="J1160" s="9">
        <v>0</v>
      </c>
      <c r="K1160" s="7">
        <v>0</v>
      </c>
      <c r="L1160" s="7">
        <v>0</v>
      </c>
      <c r="M1160" s="9">
        <v>1</v>
      </c>
      <c r="N1160" s="7">
        <v>6.1</v>
      </c>
      <c r="O1160" s="7">
        <v>4.9000000000000004</v>
      </c>
      <c r="P1160" s="7">
        <v>3.9</v>
      </c>
      <c r="Q1160" t="s">
        <v>39</v>
      </c>
      <c r="R1160" s="7" t="str">
        <f>TEXT(Table1[[#This Row],[Date]],"mmm yyyy")</f>
        <v>May 2026</v>
      </c>
      <c r="S1160" s="9">
        <f>YEAR(Table1[[#This Row],[Date]])</f>
        <v>2026</v>
      </c>
      <c r="T1160" s="9"/>
      <c r="U1160" s="9"/>
    </row>
    <row r="1161" spans="1:21" x14ac:dyDescent="0.3">
      <c r="A1161" t="s">
        <v>1777</v>
      </c>
      <c r="B1161" s="6">
        <v>46055</v>
      </c>
      <c r="C1161" t="s">
        <v>18</v>
      </c>
      <c r="D1161" t="s">
        <v>105</v>
      </c>
      <c r="E1161" t="s">
        <v>20</v>
      </c>
      <c r="F1161" t="s">
        <v>1297</v>
      </c>
      <c r="G1161" t="s">
        <v>30</v>
      </c>
      <c r="H1161" t="s">
        <v>66</v>
      </c>
      <c r="I1161" t="s">
        <v>24</v>
      </c>
      <c r="J1161" s="9">
        <v>1</v>
      </c>
      <c r="K1161" s="7">
        <v>20400</v>
      </c>
      <c r="L1161" s="7">
        <v>20400</v>
      </c>
      <c r="M1161" s="9"/>
      <c r="N1161" s="7">
        <v>18.899999999999999</v>
      </c>
      <c r="O1161" s="7"/>
      <c r="P1161" s="7"/>
      <c r="Q1161" t="s">
        <v>24</v>
      </c>
      <c r="R1161" s="7" t="str">
        <f>TEXT(Table1[[#This Row],[Date]],"mmm yyyy")</f>
        <v>Feb 2026</v>
      </c>
      <c r="S1161" s="9">
        <f>YEAR(Table1[[#This Row],[Date]])</f>
        <v>2026</v>
      </c>
      <c r="T1161" s="9"/>
      <c r="U1161" s="9"/>
    </row>
    <row r="1162" spans="1:21" hidden="1" x14ac:dyDescent="0.3">
      <c r="A1162" t="s">
        <v>1778</v>
      </c>
      <c r="B1162" s="6">
        <v>46182</v>
      </c>
      <c r="C1162" t="s">
        <v>26</v>
      </c>
      <c r="D1162" t="s">
        <v>27</v>
      </c>
      <c r="E1162" t="s">
        <v>20</v>
      </c>
      <c r="F1162" t="s">
        <v>1186</v>
      </c>
      <c r="G1162" t="s">
        <v>50</v>
      </c>
      <c r="J1162" s="9">
        <v>0</v>
      </c>
      <c r="K1162" s="7">
        <v>0</v>
      </c>
      <c r="L1162" s="7">
        <v>0</v>
      </c>
      <c r="M1162" s="9">
        <v>1</v>
      </c>
      <c r="N1162" s="7">
        <v>1</v>
      </c>
      <c r="O1162" s="7">
        <v>2.2999999999999998</v>
      </c>
      <c r="P1162" s="7">
        <v>3</v>
      </c>
      <c r="Q1162" t="s">
        <v>39</v>
      </c>
      <c r="R1162" s="7" t="str">
        <f>TEXT(Table1[[#This Row],[Date]],"mmm yyyy")</f>
        <v>Jun 2026</v>
      </c>
      <c r="S1162" s="9">
        <f>YEAR(Table1[[#This Row],[Date]])</f>
        <v>2026</v>
      </c>
      <c r="T1162" s="9"/>
      <c r="U1162" s="9"/>
    </row>
    <row r="1163" spans="1:21" x14ac:dyDescent="0.3">
      <c r="A1163" t="s">
        <v>1779</v>
      </c>
      <c r="B1163" s="6">
        <v>46087</v>
      </c>
      <c r="C1163" t="s">
        <v>18</v>
      </c>
      <c r="D1163" t="s">
        <v>41</v>
      </c>
      <c r="E1163" t="s">
        <v>48</v>
      </c>
      <c r="F1163" t="s">
        <v>360</v>
      </c>
      <c r="G1163" t="s">
        <v>50</v>
      </c>
      <c r="H1163" t="s">
        <v>23</v>
      </c>
      <c r="I1163" t="s">
        <v>89</v>
      </c>
      <c r="J1163" s="9">
        <v>1</v>
      </c>
      <c r="K1163" s="7">
        <v>11700</v>
      </c>
      <c r="L1163" s="7">
        <v>0</v>
      </c>
      <c r="M1163" s="9"/>
      <c r="N1163" s="7">
        <v>19.600000000000001</v>
      </c>
      <c r="O1163" s="7"/>
      <c r="P1163" s="7"/>
      <c r="Q1163" t="s">
        <v>89</v>
      </c>
      <c r="R1163" s="7" t="str">
        <f>TEXT(Table1[[#This Row],[Date]],"mmm yyyy")</f>
        <v>Mar 2026</v>
      </c>
      <c r="S1163" s="9">
        <f>YEAR(Table1[[#This Row],[Date]])</f>
        <v>2026</v>
      </c>
      <c r="T1163" s="9"/>
      <c r="U1163" s="9"/>
    </row>
    <row r="1164" spans="1:21" x14ac:dyDescent="0.3">
      <c r="A1164" t="s">
        <v>1780</v>
      </c>
      <c r="B1164" s="6">
        <v>46258</v>
      </c>
      <c r="C1164" t="s">
        <v>18</v>
      </c>
      <c r="D1164" t="s">
        <v>41</v>
      </c>
      <c r="E1164" t="s">
        <v>20</v>
      </c>
      <c r="F1164" t="s">
        <v>1781</v>
      </c>
      <c r="G1164" t="s">
        <v>44</v>
      </c>
      <c r="H1164" t="s">
        <v>78</v>
      </c>
      <c r="I1164" t="s">
        <v>89</v>
      </c>
      <c r="J1164" s="9">
        <v>1</v>
      </c>
      <c r="K1164" s="7">
        <v>45500</v>
      </c>
      <c r="L1164" s="7">
        <v>0</v>
      </c>
      <c r="M1164" s="9"/>
      <c r="N1164" s="7">
        <v>13.9</v>
      </c>
      <c r="O1164" s="7"/>
      <c r="P1164" s="7"/>
      <c r="Q1164" t="s">
        <v>89</v>
      </c>
      <c r="R1164" s="7" t="str">
        <f>TEXT(Table1[[#This Row],[Date]],"mmm yyyy")</f>
        <v>Aug 2026</v>
      </c>
      <c r="S1164" s="9">
        <f>YEAR(Table1[[#This Row],[Date]])</f>
        <v>2026</v>
      </c>
      <c r="T1164" s="9"/>
      <c r="U1164" s="9"/>
    </row>
    <row r="1165" spans="1:21" hidden="1" x14ac:dyDescent="0.3">
      <c r="A1165" t="s">
        <v>1782</v>
      </c>
      <c r="B1165" s="6">
        <v>46232</v>
      </c>
      <c r="C1165" t="s">
        <v>26</v>
      </c>
      <c r="D1165" t="s">
        <v>114</v>
      </c>
      <c r="E1165" t="s">
        <v>28</v>
      </c>
      <c r="F1165" t="s">
        <v>531</v>
      </c>
      <c r="G1165" t="s">
        <v>22</v>
      </c>
      <c r="J1165" s="9">
        <v>0</v>
      </c>
      <c r="K1165" s="7">
        <v>0</v>
      </c>
      <c r="L1165" s="7">
        <v>0</v>
      </c>
      <c r="M1165" s="9">
        <v>1</v>
      </c>
      <c r="N1165" s="7">
        <v>2.1</v>
      </c>
      <c r="O1165" s="7">
        <v>7.1</v>
      </c>
      <c r="P1165" s="7">
        <v>4.0999999999999996</v>
      </c>
      <c r="Q1165" t="s">
        <v>31</v>
      </c>
      <c r="R1165" s="7" t="str">
        <f>TEXT(Table1[[#This Row],[Date]],"mmm yyyy")</f>
        <v>Jul 2026</v>
      </c>
      <c r="S1165" s="9">
        <f>YEAR(Table1[[#This Row],[Date]])</f>
        <v>2026</v>
      </c>
      <c r="T1165" s="9"/>
      <c r="U1165" s="9"/>
    </row>
    <row r="1166" spans="1:21" x14ac:dyDescent="0.3">
      <c r="A1166" t="s">
        <v>1783</v>
      </c>
      <c r="B1166" s="6">
        <v>46241</v>
      </c>
      <c r="C1166" t="s">
        <v>18</v>
      </c>
      <c r="D1166" t="s">
        <v>105</v>
      </c>
      <c r="E1166" t="s">
        <v>20</v>
      </c>
      <c r="F1166" t="s">
        <v>1784</v>
      </c>
      <c r="G1166" t="s">
        <v>22</v>
      </c>
      <c r="H1166" t="s">
        <v>23</v>
      </c>
      <c r="I1166" t="s">
        <v>55</v>
      </c>
      <c r="J1166" s="9">
        <v>1</v>
      </c>
      <c r="K1166" s="7">
        <v>31600</v>
      </c>
      <c r="L1166" s="7">
        <v>0</v>
      </c>
      <c r="M1166" s="9"/>
      <c r="N1166" s="7">
        <v>23.9</v>
      </c>
      <c r="O1166" s="7"/>
      <c r="P1166" s="7"/>
      <c r="Q1166" t="s">
        <v>55</v>
      </c>
      <c r="R1166" s="7" t="str">
        <f>TEXT(Table1[[#This Row],[Date]],"mmm yyyy")</f>
        <v>Aug 2026</v>
      </c>
      <c r="S1166" s="9">
        <f>YEAR(Table1[[#This Row],[Date]])</f>
        <v>2026</v>
      </c>
      <c r="T1166" s="9"/>
      <c r="U1166" s="9"/>
    </row>
    <row r="1167" spans="1:21" hidden="1" x14ac:dyDescent="0.3">
      <c r="A1167" t="s">
        <v>1785</v>
      </c>
      <c r="B1167" s="6">
        <v>45997</v>
      </c>
      <c r="C1167" t="s">
        <v>26</v>
      </c>
      <c r="D1167" t="s">
        <v>27</v>
      </c>
      <c r="E1167" t="s">
        <v>48</v>
      </c>
      <c r="F1167" t="s">
        <v>939</v>
      </c>
      <c r="G1167" t="s">
        <v>44</v>
      </c>
      <c r="J1167" s="9">
        <v>0</v>
      </c>
      <c r="K1167" s="7">
        <v>0</v>
      </c>
      <c r="L1167" s="7">
        <v>0</v>
      </c>
      <c r="M1167" s="9">
        <v>1</v>
      </c>
      <c r="N1167" s="7">
        <v>5</v>
      </c>
      <c r="O1167" s="7">
        <v>5.6</v>
      </c>
      <c r="P1167" s="7">
        <v>4.2</v>
      </c>
      <c r="Q1167" t="s">
        <v>39</v>
      </c>
      <c r="R1167" s="7" t="str">
        <f>TEXT(Table1[[#This Row],[Date]],"mmm yyyy")</f>
        <v>Dec 2025</v>
      </c>
      <c r="S1167" s="9">
        <f>YEAR(Table1[[#This Row],[Date]])</f>
        <v>2025</v>
      </c>
      <c r="T1167" s="9"/>
      <c r="U1167" s="9"/>
    </row>
    <row r="1168" spans="1:21" hidden="1" x14ac:dyDescent="0.3">
      <c r="A1168" t="s">
        <v>1786</v>
      </c>
      <c r="B1168" s="6">
        <v>46017</v>
      </c>
      <c r="C1168" t="s">
        <v>26</v>
      </c>
      <c r="D1168" t="s">
        <v>36</v>
      </c>
      <c r="E1168" t="s">
        <v>20</v>
      </c>
      <c r="F1168" t="s">
        <v>551</v>
      </c>
      <c r="G1168" t="s">
        <v>44</v>
      </c>
      <c r="J1168" s="9">
        <v>0</v>
      </c>
      <c r="K1168" s="7">
        <v>0</v>
      </c>
      <c r="L1168" s="7">
        <v>0</v>
      </c>
      <c r="M1168" s="9">
        <v>1</v>
      </c>
      <c r="N1168" s="7">
        <v>0.8</v>
      </c>
      <c r="O1168" s="7">
        <v>10.199999999999999</v>
      </c>
      <c r="P1168" s="7">
        <v>3.1</v>
      </c>
      <c r="Q1168" t="s">
        <v>62</v>
      </c>
      <c r="R1168" s="7" t="str">
        <f>TEXT(Table1[[#This Row],[Date]],"mmm yyyy")</f>
        <v>Dec 2025</v>
      </c>
      <c r="S1168" s="9">
        <f>YEAR(Table1[[#This Row],[Date]])</f>
        <v>2025</v>
      </c>
      <c r="T1168" s="9"/>
      <c r="U1168" s="9"/>
    </row>
    <row r="1169" spans="1:21" x14ac:dyDescent="0.3">
      <c r="A1169" t="s">
        <v>1787</v>
      </c>
      <c r="B1169" s="6">
        <v>46029</v>
      </c>
      <c r="C1169" t="s">
        <v>18</v>
      </c>
      <c r="D1169" t="s">
        <v>105</v>
      </c>
      <c r="E1169" t="s">
        <v>20</v>
      </c>
      <c r="F1169" t="s">
        <v>840</v>
      </c>
      <c r="G1169" t="s">
        <v>22</v>
      </c>
      <c r="H1169" t="s">
        <v>23</v>
      </c>
      <c r="I1169" t="s">
        <v>45</v>
      </c>
      <c r="J1169" s="9">
        <v>1</v>
      </c>
      <c r="K1169" s="7">
        <v>15500</v>
      </c>
      <c r="L1169" s="7">
        <v>0</v>
      </c>
      <c r="M1169" s="9"/>
      <c r="N1169" s="7">
        <v>11.1</v>
      </c>
      <c r="O1169" s="7"/>
      <c r="P1169" s="7"/>
      <c r="Q1169" t="s">
        <v>45</v>
      </c>
      <c r="R1169" s="7" t="str">
        <f>TEXT(Table1[[#This Row],[Date]],"mmm yyyy")</f>
        <v>Jan 2026</v>
      </c>
      <c r="S1169" s="9">
        <f>YEAR(Table1[[#This Row],[Date]])</f>
        <v>2026</v>
      </c>
      <c r="T1169" s="9"/>
      <c r="U1169" s="9"/>
    </row>
    <row r="1170" spans="1:21" x14ac:dyDescent="0.3">
      <c r="A1170" t="s">
        <v>1788</v>
      </c>
      <c r="B1170" s="6">
        <v>46160</v>
      </c>
      <c r="C1170" t="s">
        <v>18</v>
      </c>
      <c r="D1170" t="s">
        <v>117</v>
      </c>
      <c r="E1170" t="s">
        <v>20</v>
      </c>
      <c r="F1170" t="s">
        <v>349</v>
      </c>
      <c r="G1170" t="s">
        <v>50</v>
      </c>
      <c r="H1170" t="s">
        <v>86</v>
      </c>
      <c r="I1170" t="s">
        <v>45</v>
      </c>
      <c r="J1170" s="9">
        <v>1</v>
      </c>
      <c r="K1170" s="7">
        <v>31700</v>
      </c>
      <c r="L1170" s="7">
        <v>0</v>
      </c>
      <c r="M1170" s="9"/>
      <c r="N1170" s="7">
        <v>7.8</v>
      </c>
      <c r="O1170" s="7"/>
      <c r="P1170" s="7"/>
      <c r="Q1170" t="s">
        <v>45</v>
      </c>
      <c r="R1170" s="7" t="str">
        <f>TEXT(Table1[[#This Row],[Date]],"mmm yyyy")</f>
        <v>May 2026</v>
      </c>
      <c r="S1170" s="9">
        <f>YEAR(Table1[[#This Row],[Date]])</f>
        <v>2026</v>
      </c>
      <c r="T1170" s="9"/>
      <c r="U1170" s="9"/>
    </row>
    <row r="1171" spans="1:21" x14ac:dyDescent="0.3">
      <c r="A1171" t="s">
        <v>1789</v>
      </c>
      <c r="B1171" s="6">
        <v>46157</v>
      </c>
      <c r="C1171" t="s">
        <v>18</v>
      </c>
      <c r="D1171" t="s">
        <v>19</v>
      </c>
      <c r="E1171" t="s">
        <v>20</v>
      </c>
      <c r="F1171" t="s">
        <v>81</v>
      </c>
      <c r="G1171" t="s">
        <v>22</v>
      </c>
      <c r="H1171" t="s">
        <v>86</v>
      </c>
      <c r="I1171" t="s">
        <v>79</v>
      </c>
      <c r="J1171" s="9">
        <v>1</v>
      </c>
      <c r="K1171" s="7">
        <v>64100</v>
      </c>
      <c r="L1171" s="7">
        <v>0</v>
      </c>
      <c r="M1171" s="9"/>
      <c r="N1171" s="7">
        <v>17.3</v>
      </c>
      <c r="O1171" s="7"/>
      <c r="P1171" s="7"/>
      <c r="Q1171" t="s">
        <v>79</v>
      </c>
      <c r="R1171" s="7" t="str">
        <f>TEXT(Table1[[#This Row],[Date]],"mmm yyyy")</f>
        <v>May 2026</v>
      </c>
      <c r="S1171" s="9">
        <f>YEAR(Table1[[#This Row],[Date]])</f>
        <v>2026</v>
      </c>
      <c r="T1171" s="9"/>
      <c r="U1171" s="9"/>
    </row>
    <row r="1172" spans="1:21" hidden="1" x14ac:dyDescent="0.3">
      <c r="A1172" t="s">
        <v>1790</v>
      </c>
      <c r="B1172" s="6">
        <v>46264</v>
      </c>
      <c r="C1172" t="s">
        <v>26</v>
      </c>
      <c r="D1172" t="s">
        <v>36</v>
      </c>
      <c r="E1172" t="s">
        <v>28</v>
      </c>
      <c r="F1172" t="s">
        <v>1135</v>
      </c>
      <c r="G1172" t="s">
        <v>22</v>
      </c>
      <c r="J1172" s="9">
        <v>0</v>
      </c>
      <c r="K1172" s="7">
        <v>0</v>
      </c>
      <c r="L1172" s="7">
        <v>0</v>
      </c>
      <c r="M1172" s="9">
        <v>1</v>
      </c>
      <c r="N1172" s="7">
        <v>4.9000000000000004</v>
      </c>
      <c r="O1172" s="7">
        <v>7.6</v>
      </c>
      <c r="P1172" s="7">
        <v>5</v>
      </c>
      <c r="Q1172" t="s">
        <v>31</v>
      </c>
      <c r="R1172" s="7" t="str">
        <f>TEXT(Table1[[#This Row],[Date]],"mmm yyyy")</f>
        <v>Aug 2026</v>
      </c>
      <c r="S1172" s="9">
        <f>YEAR(Table1[[#This Row],[Date]])</f>
        <v>2026</v>
      </c>
      <c r="T1172" s="9"/>
      <c r="U1172" s="9"/>
    </row>
    <row r="1173" spans="1:21" hidden="1" x14ac:dyDescent="0.3">
      <c r="A1173" t="s">
        <v>1791</v>
      </c>
      <c r="B1173" s="6">
        <v>46034</v>
      </c>
      <c r="C1173" t="s">
        <v>26</v>
      </c>
      <c r="D1173" t="s">
        <v>72</v>
      </c>
      <c r="E1173" t="s">
        <v>42</v>
      </c>
      <c r="F1173" t="s">
        <v>1354</v>
      </c>
      <c r="G1173" t="s">
        <v>22</v>
      </c>
      <c r="J1173" s="9">
        <v>0</v>
      </c>
      <c r="K1173" s="7">
        <v>0</v>
      </c>
      <c r="L1173" s="7">
        <v>0</v>
      </c>
      <c r="M1173" s="9">
        <v>1</v>
      </c>
      <c r="N1173" s="7">
        <v>6.8</v>
      </c>
      <c r="O1173" s="7">
        <v>2.7</v>
      </c>
      <c r="P1173" s="7">
        <v>3.8</v>
      </c>
      <c r="Q1173" t="s">
        <v>62</v>
      </c>
      <c r="R1173" s="7" t="str">
        <f>TEXT(Table1[[#This Row],[Date]],"mmm yyyy")</f>
        <v>Jan 2026</v>
      </c>
      <c r="S1173" s="9">
        <f>YEAR(Table1[[#This Row],[Date]])</f>
        <v>2026</v>
      </c>
      <c r="T1173" s="9"/>
      <c r="U1173" s="9"/>
    </row>
    <row r="1174" spans="1:21" hidden="1" x14ac:dyDescent="0.3">
      <c r="A1174" t="s">
        <v>1792</v>
      </c>
      <c r="B1174" s="6">
        <v>46045</v>
      </c>
      <c r="C1174" t="s">
        <v>26</v>
      </c>
      <c r="D1174" t="s">
        <v>72</v>
      </c>
      <c r="E1174" t="s">
        <v>37</v>
      </c>
      <c r="F1174" t="s">
        <v>384</v>
      </c>
      <c r="G1174" t="s">
        <v>50</v>
      </c>
      <c r="J1174" s="9">
        <v>0</v>
      </c>
      <c r="K1174" s="7">
        <v>0</v>
      </c>
      <c r="L1174" s="7">
        <v>0</v>
      </c>
      <c r="M1174" s="9">
        <v>1</v>
      </c>
      <c r="N1174" s="7">
        <v>6.2</v>
      </c>
      <c r="O1174" s="7">
        <v>9.1</v>
      </c>
      <c r="P1174" s="7">
        <v>3.9</v>
      </c>
      <c r="Q1174" t="s">
        <v>39</v>
      </c>
      <c r="R1174" s="7" t="str">
        <f>TEXT(Table1[[#This Row],[Date]],"mmm yyyy")</f>
        <v>Jan 2026</v>
      </c>
      <c r="S1174" s="9">
        <f>YEAR(Table1[[#This Row],[Date]])</f>
        <v>2026</v>
      </c>
      <c r="T1174" s="9"/>
      <c r="U1174" s="9"/>
    </row>
    <row r="1175" spans="1:21" x14ac:dyDescent="0.3">
      <c r="A1175" t="s">
        <v>1793</v>
      </c>
      <c r="B1175" s="6">
        <v>46114</v>
      </c>
      <c r="C1175" t="s">
        <v>18</v>
      </c>
      <c r="D1175" t="s">
        <v>117</v>
      </c>
      <c r="E1175" t="s">
        <v>37</v>
      </c>
      <c r="F1175" t="s">
        <v>129</v>
      </c>
      <c r="G1175" t="s">
        <v>44</v>
      </c>
      <c r="H1175" t="s">
        <v>54</v>
      </c>
      <c r="I1175" t="s">
        <v>24</v>
      </c>
      <c r="J1175" s="9">
        <v>1</v>
      </c>
      <c r="K1175" s="7">
        <v>41100</v>
      </c>
      <c r="L1175" s="7">
        <v>41100</v>
      </c>
      <c r="M1175" s="9"/>
      <c r="N1175" s="7">
        <v>20.9</v>
      </c>
      <c r="O1175" s="7"/>
      <c r="P1175" s="7"/>
      <c r="Q1175" t="s">
        <v>24</v>
      </c>
      <c r="R1175" s="7" t="str">
        <f>TEXT(Table1[[#This Row],[Date]],"mmm yyyy")</f>
        <v>Apr 2026</v>
      </c>
      <c r="S1175" s="9">
        <f>YEAR(Table1[[#This Row],[Date]])</f>
        <v>2026</v>
      </c>
      <c r="T1175" s="9"/>
      <c r="U1175" s="9"/>
    </row>
    <row r="1176" spans="1:21" hidden="1" x14ac:dyDescent="0.3">
      <c r="A1176" t="s">
        <v>1794</v>
      </c>
      <c r="B1176" s="6">
        <v>46076</v>
      </c>
      <c r="C1176" t="s">
        <v>26</v>
      </c>
      <c r="D1176" t="s">
        <v>36</v>
      </c>
      <c r="E1176" t="s">
        <v>20</v>
      </c>
      <c r="F1176" t="s">
        <v>1059</v>
      </c>
      <c r="G1176" t="s">
        <v>44</v>
      </c>
      <c r="J1176" s="9">
        <v>0</v>
      </c>
      <c r="K1176" s="7">
        <v>0</v>
      </c>
      <c r="L1176" s="7">
        <v>0</v>
      </c>
      <c r="M1176" s="9">
        <v>1</v>
      </c>
      <c r="N1176" s="7">
        <v>8.1</v>
      </c>
      <c r="O1176" s="7">
        <v>10.8</v>
      </c>
      <c r="P1176" s="7">
        <v>4.4000000000000004</v>
      </c>
      <c r="Q1176" t="s">
        <v>39</v>
      </c>
      <c r="R1176" s="7" t="str">
        <f>TEXT(Table1[[#This Row],[Date]],"mmm yyyy")</f>
        <v>Feb 2026</v>
      </c>
      <c r="S1176" s="9">
        <f>YEAR(Table1[[#This Row],[Date]])</f>
        <v>2026</v>
      </c>
      <c r="T1176" s="9"/>
      <c r="U1176" s="9"/>
    </row>
    <row r="1177" spans="1:21" x14ac:dyDescent="0.3">
      <c r="A1177" t="s">
        <v>1795</v>
      </c>
      <c r="B1177" s="6">
        <v>45911</v>
      </c>
      <c r="C1177" t="s">
        <v>18</v>
      </c>
      <c r="D1177" t="s">
        <v>41</v>
      </c>
      <c r="E1177" t="s">
        <v>20</v>
      </c>
      <c r="F1177" t="s">
        <v>754</v>
      </c>
      <c r="G1177" t="s">
        <v>30</v>
      </c>
      <c r="H1177" t="s">
        <v>23</v>
      </c>
      <c r="I1177" t="s">
        <v>45</v>
      </c>
      <c r="J1177" s="9">
        <v>1</v>
      </c>
      <c r="K1177" s="7">
        <v>71200</v>
      </c>
      <c r="L1177" s="7">
        <v>0</v>
      </c>
      <c r="M1177" s="9"/>
      <c r="N1177" s="7">
        <v>23.8</v>
      </c>
      <c r="O1177" s="7"/>
      <c r="P1177" s="7"/>
      <c r="Q1177" t="s">
        <v>45</v>
      </c>
      <c r="R1177" s="7" t="str">
        <f>TEXT(Table1[[#This Row],[Date]],"mmm yyyy")</f>
        <v>Sep 2025</v>
      </c>
      <c r="S1177" s="9">
        <f>YEAR(Table1[[#This Row],[Date]])</f>
        <v>2025</v>
      </c>
      <c r="T1177" s="9"/>
      <c r="U1177" s="9"/>
    </row>
    <row r="1178" spans="1:21" hidden="1" x14ac:dyDescent="0.3">
      <c r="A1178" t="s">
        <v>1796</v>
      </c>
      <c r="B1178" s="6">
        <v>46160</v>
      </c>
      <c r="C1178" t="s">
        <v>26</v>
      </c>
      <c r="D1178" t="s">
        <v>69</v>
      </c>
      <c r="E1178" t="s">
        <v>48</v>
      </c>
      <c r="F1178" t="s">
        <v>1162</v>
      </c>
      <c r="G1178" t="s">
        <v>22</v>
      </c>
      <c r="J1178" s="9">
        <v>0</v>
      </c>
      <c r="K1178" s="7">
        <v>0</v>
      </c>
      <c r="L1178" s="7">
        <v>0</v>
      </c>
      <c r="M1178" s="9">
        <v>1</v>
      </c>
      <c r="N1178" s="7">
        <v>8.6</v>
      </c>
      <c r="O1178" s="7">
        <v>4.4000000000000004</v>
      </c>
      <c r="P1178" s="7">
        <v>4.9000000000000004</v>
      </c>
      <c r="Q1178" t="s">
        <v>39</v>
      </c>
      <c r="R1178" s="7" t="str">
        <f>TEXT(Table1[[#This Row],[Date]],"mmm yyyy")</f>
        <v>May 2026</v>
      </c>
      <c r="S1178" s="9">
        <f>YEAR(Table1[[#This Row],[Date]])</f>
        <v>2026</v>
      </c>
      <c r="T1178" s="9"/>
      <c r="U1178" s="9"/>
    </row>
    <row r="1179" spans="1:21" x14ac:dyDescent="0.3">
      <c r="A1179" t="s">
        <v>1797</v>
      </c>
      <c r="B1179" s="6">
        <v>46080</v>
      </c>
      <c r="C1179" t="s">
        <v>18</v>
      </c>
      <c r="D1179" t="s">
        <v>41</v>
      </c>
      <c r="E1179" t="s">
        <v>20</v>
      </c>
      <c r="F1179" t="s">
        <v>404</v>
      </c>
      <c r="G1179" t="s">
        <v>44</v>
      </c>
      <c r="H1179" t="s">
        <v>23</v>
      </c>
      <c r="I1179" t="s">
        <v>89</v>
      </c>
      <c r="J1179" s="9">
        <v>1</v>
      </c>
      <c r="K1179" s="7">
        <v>26100</v>
      </c>
      <c r="L1179" s="7">
        <v>0</v>
      </c>
      <c r="M1179" s="9"/>
      <c r="N1179" s="7">
        <v>10.8</v>
      </c>
      <c r="O1179" s="7"/>
      <c r="P1179" s="7"/>
      <c r="Q1179" t="s">
        <v>89</v>
      </c>
      <c r="R1179" s="7" t="str">
        <f>TEXT(Table1[[#This Row],[Date]],"mmm yyyy")</f>
        <v>Feb 2026</v>
      </c>
      <c r="S1179" s="9">
        <f>YEAR(Table1[[#This Row],[Date]])</f>
        <v>2026</v>
      </c>
      <c r="T1179" s="9"/>
      <c r="U1179" s="9"/>
    </row>
    <row r="1180" spans="1:21" hidden="1" x14ac:dyDescent="0.3">
      <c r="A1180" t="s">
        <v>1798</v>
      </c>
      <c r="B1180" s="6">
        <v>45987</v>
      </c>
      <c r="C1180" t="s">
        <v>26</v>
      </c>
      <c r="D1180" t="s">
        <v>72</v>
      </c>
      <c r="E1180" t="s">
        <v>20</v>
      </c>
      <c r="F1180" t="s">
        <v>160</v>
      </c>
      <c r="G1180" t="s">
        <v>22</v>
      </c>
      <c r="J1180" s="9">
        <v>0</v>
      </c>
      <c r="K1180" s="7">
        <v>0</v>
      </c>
      <c r="L1180" s="7">
        <v>0</v>
      </c>
      <c r="M1180" s="9">
        <v>1</v>
      </c>
      <c r="N1180" s="7">
        <v>11.2</v>
      </c>
      <c r="O1180" s="7">
        <v>18.3</v>
      </c>
      <c r="P1180" s="7">
        <v>4.5999999999999996</v>
      </c>
      <c r="Q1180" t="s">
        <v>31</v>
      </c>
      <c r="R1180" s="7" t="str">
        <f>TEXT(Table1[[#This Row],[Date]],"mmm yyyy")</f>
        <v>Nov 2025</v>
      </c>
      <c r="S1180" s="9">
        <f>YEAR(Table1[[#This Row],[Date]])</f>
        <v>2025</v>
      </c>
      <c r="T1180" s="9"/>
      <c r="U1180" s="9"/>
    </row>
    <row r="1181" spans="1:21" x14ac:dyDescent="0.3">
      <c r="A1181" t="s">
        <v>1799</v>
      </c>
      <c r="B1181" s="6">
        <v>46230</v>
      </c>
      <c r="C1181" t="s">
        <v>18</v>
      </c>
      <c r="D1181" t="s">
        <v>105</v>
      </c>
      <c r="E1181" t="s">
        <v>48</v>
      </c>
      <c r="F1181" t="s">
        <v>1800</v>
      </c>
      <c r="G1181" t="s">
        <v>44</v>
      </c>
      <c r="H1181" t="s">
        <v>54</v>
      </c>
      <c r="I1181" t="s">
        <v>55</v>
      </c>
      <c r="J1181" s="9">
        <v>1</v>
      </c>
      <c r="K1181" s="7">
        <v>18800</v>
      </c>
      <c r="L1181" s="7">
        <v>0</v>
      </c>
      <c r="M1181" s="9"/>
      <c r="N1181" s="7">
        <v>4.5999999999999996</v>
      </c>
      <c r="O1181" s="7"/>
      <c r="P1181" s="7"/>
      <c r="Q1181" t="s">
        <v>55</v>
      </c>
      <c r="R1181" s="7" t="str">
        <f>TEXT(Table1[[#This Row],[Date]],"mmm yyyy")</f>
        <v>Jul 2026</v>
      </c>
      <c r="S1181" s="9">
        <f>YEAR(Table1[[#This Row],[Date]])</f>
        <v>2026</v>
      </c>
      <c r="T1181" s="9"/>
      <c r="U1181" s="9"/>
    </row>
    <row r="1182" spans="1:21" hidden="1" x14ac:dyDescent="0.3">
      <c r="A1182" t="s">
        <v>1801</v>
      </c>
      <c r="B1182" s="6">
        <v>46164</v>
      </c>
      <c r="C1182" t="s">
        <v>26</v>
      </c>
      <c r="D1182" t="s">
        <v>126</v>
      </c>
      <c r="E1182" t="s">
        <v>48</v>
      </c>
      <c r="F1182" t="s">
        <v>939</v>
      </c>
      <c r="G1182" t="s">
        <v>30</v>
      </c>
      <c r="J1182" s="9">
        <v>0</v>
      </c>
      <c r="K1182" s="7">
        <v>0</v>
      </c>
      <c r="L1182" s="7">
        <v>0</v>
      </c>
      <c r="M1182" s="9">
        <v>1</v>
      </c>
      <c r="N1182" s="7">
        <v>6.4</v>
      </c>
      <c r="O1182" s="7">
        <v>2.8</v>
      </c>
      <c r="P1182" s="7">
        <v>5</v>
      </c>
      <c r="Q1182" t="s">
        <v>39</v>
      </c>
      <c r="R1182" s="7" t="str">
        <f>TEXT(Table1[[#This Row],[Date]],"mmm yyyy")</f>
        <v>May 2026</v>
      </c>
      <c r="S1182" s="9">
        <f>YEAR(Table1[[#This Row],[Date]])</f>
        <v>2026</v>
      </c>
      <c r="T1182" s="9"/>
      <c r="U1182" s="9"/>
    </row>
    <row r="1183" spans="1:21" x14ac:dyDescent="0.3">
      <c r="A1183" t="s">
        <v>1802</v>
      </c>
      <c r="B1183" s="6">
        <v>46034</v>
      </c>
      <c r="C1183" t="s">
        <v>18</v>
      </c>
      <c r="D1183" t="s">
        <v>47</v>
      </c>
      <c r="E1183" t="s">
        <v>20</v>
      </c>
      <c r="F1183" t="s">
        <v>1747</v>
      </c>
      <c r="G1183" t="s">
        <v>50</v>
      </c>
      <c r="H1183" t="s">
        <v>23</v>
      </c>
      <c r="I1183" t="s">
        <v>79</v>
      </c>
      <c r="J1183" s="9">
        <v>1</v>
      </c>
      <c r="K1183" s="7">
        <v>29300</v>
      </c>
      <c r="L1183" s="7">
        <v>0</v>
      </c>
      <c r="M1183" s="9"/>
      <c r="N1183" s="7">
        <v>3.3</v>
      </c>
      <c r="O1183" s="7"/>
      <c r="P1183" s="7"/>
      <c r="Q1183" t="s">
        <v>79</v>
      </c>
      <c r="R1183" s="7" t="str">
        <f>TEXT(Table1[[#This Row],[Date]],"mmm yyyy")</f>
        <v>Jan 2026</v>
      </c>
      <c r="S1183" s="9">
        <f>YEAR(Table1[[#This Row],[Date]])</f>
        <v>2026</v>
      </c>
      <c r="T1183" s="9"/>
      <c r="U1183" s="9"/>
    </row>
    <row r="1184" spans="1:21" hidden="1" x14ac:dyDescent="0.3">
      <c r="A1184" t="s">
        <v>1803</v>
      </c>
      <c r="B1184" s="6">
        <v>46068</v>
      </c>
      <c r="C1184" t="s">
        <v>26</v>
      </c>
      <c r="D1184" t="s">
        <v>126</v>
      </c>
      <c r="E1184" t="s">
        <v>48</v>
      </c>
      <c r="F1184" t="s">
        <v>449</v>
      </c>
      <c r="G1184" t="s">
        <v>44</v>
      </c>
      <c r="J1184" s="9">
        <v>0</v>
      </c>
      <c r="K1184" s="7">
        <v>0</v>
      </c>
      <c r="L1184" s="7">
        <v>0</v>
      </c>
      <c r="M1184" s="9">
        <v>1</v>
      </c>
      <c r="N1184" s="7">
        <v>10.9</v>
      </c>
      <c r="O1184" s="7">
        <v>7.6</v>
      </c>
      <c r="P1184" s="7">
        <v>5</v>
      </c>
      <c r="Q1184" t="s">
        <v>62</v>
      </c>
      <c r="R1184" s="7" t="str">
        <f>TEXT(Table1[[#This Row],[Date]],"mmm yyyy")</f>
        <v>Feb 2026</v>
      </c>
      <c r="S1184" s="9">
        <f>YEAR(Table1[[#This Row],[Date]])</f>
        <v>2026</v>
      </c>
      <c r="T1184" s="9"/>
      <c r="U1184" s="9"/>
    </row>
    <row r="1185" spans="1:21" hidden="1" x14ac:dyDescent="0.3">
      <c r="A1185" t="s">
        <v>1804</v>
      </c>
      <c r="B1185" s="6">
        <v>46048</v>
      </c>
      <c r="C1185" t="s">
        <v>26</v>
      </c>
      <c r="D1185" t="s">
        <v>33</v>
      </c>
      <c r="E1185" t="s">
        <v>20</v>
      </c>
      <c r="F1185" t="s">
        <v>463</v>
      </c>
      <c r="G1185" t="s">
        <v>22</v>
      </c>
      <c r="J1185" s="9">
        <v>0</v>
      </c>
      <c r="K1185" s="7">
        <v>0</v>
      </c>
      <c r="L1185" s="7">
        <v>0</v>
      </c>
      <c r="M1185" s="9">
        <v>1</v>
      </c>
      <c r="N1185" s="7">
        <v>3</v>
      </c>
      <c r="O1185" s="7">
        <v>4.7</v>
      </c>
      <c r="P1185" s="7">
        <v>4</v>
      </c>
      <c r="Q1185" t="s">
        <v>39</v>
      </c>
      <c r="R1185" s="7" t="str">
        <f>TEXT(Table1[[#This Row],[Date]],"mmm yyyy")</f>
        <v>Jan 2026</v>
      </c>
      <c r="S1185" s="9">
        <f>YEAR(Table1[[#This Row],[Date]])</f>
        <v>2026</v>
      </c>
      <c r="T1185" s="9"/>
      <c r="U1185" s="9"/>
    </row>
    <row r="1186" spans="1:21" x14ac:dyDescent="0.3">
      <c r="A1186" t="s">
        <v>1805</v>
      </c>
      <c r="B1186" s="6">
        <v>46069</v>
      </c>
      <c r="C1186" t="s">
        <v>18</v>
      </c>
      <c r="D1186" t="s">
        <v>19</v>
      </c>
      <c r="E1186" t="s">
        <v>20</v>
      </c>
      <c r="F1186" t="s">
        <v>222</v>
      </c>
      <c r="G1186" t="s">
        <v>22</v>
      </c>
      <c r="H1186" t="s">
        <v>86</v>
      </c>
      <c r="I1186" t="s">
        <v>89</v>
      </c>
      <c r="J1186" s="9">
        <v>1</v>
      </c>
      <c r="K1186" s="7">
        <v>16000</v>
      </c>
      <c r="L1186" s="7">
        <v>0</v>
      </c>
      <c r="M1186" s="9"/>
      <c r="N1186" s="7">
        <v>7.5</v>
      </c>
      <c r="O1186" s="7"/>
      <c r="P1186" s="7"/>
      <c r="Q1186" t="s">
        <v>89</v>
      </c>
      <c r="R1186" s="7" t="str">
        <f>TEXT(Table1[[#This Row],[Date]],"mmm yyyy")</f>
        <v>Feb 2026</v>
      </c>
      <c r="S1186" s="9">
        <f>YEAR(Table1[[#This Row],[Date]])</f>
        <v>2026</v>
      </c>
      <c r="T1186" s="9"/>
      <c r="U1186" s="9"/>
    </row>
    <row r="1187" spans="1:21" hidden="1" x14ac:dyDescent="0.3">
      <c r="A1187" t="s">
        <v>1806</v>
      </c>
      <c r="B1187" s="6">
        <v>46006</v>
      </c>
      <c r="C1187" t="s">
        <v>26</v>
      </c>
      <c r="D1187" t="s">
        <v>72</v>
      </c>
      <c r="E1187" t="s">
        <v>20</v>
      </c>
      <c r="F1187" t="s">
        <v>773</v>
      </c>
      <c r="G1187" t="s">
        <v>30</v>
      </c>
      <c r="J1187" s="9">
        <v>0</v>
      </c>
      <c r="K1187" s="7">
        <v>0</v>
      </c>
      <c r="L1187" s="7">
        <v>0</v>
      </c>
      <c r="M1187" s="9">
        <v>1</v>
      </c>
      <c r="N1187" s="7">
        <v>0.9</v>
      </c>
      <c r="O1187" s="7">
        <v>11.9</v>
      </c>
      <c r="P1187" s="7">
        <v>3.6</v>
      </c>
      <c r="Q1187" t="s">
        <v>39</v>
      </c>
      <c r="R1187" s="7" t="str">
        <f>TEXT(Table1[[#This Row],[Date]],"mmm yyyy")</f>
        <v>Dec 2025</v>
      </c>
      <c r="S1187" s="9">
        <f>YEAR(Table1[[#This Row],[Date]])</f>
        <v>2025</v>
      </c>
      <c r="T1187" s="9"/>
      <c r="U1187" s="9"/>
    </row>
    <row r="1188" spans="1:21" hidden="1" x14ac:dyDescent="0.3">
      <c r="A1188" t="s">
        <v>1807</v>
      </c>
      <c r="B1188" s="6">
        <v>45904</v>
      </c>
      <c r="C1188" t="s">
        <v>26</v>
      </c>
      <c r="D1188" t="s">
        <v>232</v>
      </c>
      <c r="E1188" t="s">
        <v>48</v>
      </c>
      <c r="F1188" t="s">
        <v>1373</v>
      </c>
      <c r="G1188" t="s">
        <v>44</v>
      </c>
      <c r="J1188" s="9">
        <v>0</v>
      </c>
      <c r="K1188" s="7">
        <v>0</v>
      </c>
      <c r="L1188" s="7">
        <v>0</v>
      </c>
      <c r="M1188" s="9">
        <v>1</v>
      </c>
      <c r="N1188" s="7">
        <v>8</v>
      </c>
      <c r="O1188" s="7">
        <v>7.7</v>
      </c>
      <c r="P1188" s="7">
        <v>3.4</v>
      </c>
      <c r="Q1188" t="s">
        <v>39</v>
      </c>
      <c r="R1188" s="7" t="str">
        <f>TEXT(Table1[[#This Row],[Date]],"mmm yyyy")</f>
        <v>Sep 2025</v>
      </c>
      <c r="S1188" s="9">
        <f>YEAR(Table1[[#This Row],[Date]])</f>
        <v>2025</v>
      </c>
      <c r="T1188" s="9"/>
      <c r="U1188" s="9"/>
    </row>
    <row r="1189" spans="1:21" x14ac:dyDescent="0.3">
      <c r="A1189" t="s">
        <v>1808</v>
      </c>
      <c r="B1189" s="6">
        <v>46175</v>
      </c>
      <c r="C1189" t="s">
        <v>18</v>
      </c>
      <c r="D1189" t="s">
        <v>19</v>
      </c>
      <c r="E1189" t="s">
        <v>28</v>
      </c>
      <c r="F1189" t="s">
        <v>542</v>
      </c>
      <c r="G1189" t="s">
        <v>50</v>
      </c>
      <c r="H1189" t="s">
        <v>78</v>
      </c>
      <c r="I1189" t="s">
        <v>24</v>
      </c>
      <c r="J1189" s="9">
        <v>1</v>
      </c>
      <c r="K1189" s="7">
        <v>27000</v>
      </c>
      <c r="L1189" s="7">
        <v>27000</v>
      </c>
      <c r="M1189" s="9"/>
      <c r="N1189" s="7">
        <v>3.6</v>
      </c>
      <c r="O1189" s="7"/>
      <c r="P1189" s="7"/>
      <c r="Q1189" t="s">
        <v>24</v>
      </c>
      <c r="R1189" s="7" t="str">
        <f>TEXT(Table1[[#This Row],[Date]],"mmm yyyy")</f>
        <v>Jun 2026</v>
      </c>
      <c r="S1189" s="9">
        <f>YEAR(Table1[[#This Row],[Date]])</f>
        <v>2026</v>
      </c>
      <c r="T1189" s="9"/>
      <c r="U1189" s="9"/>
    </row>
    <row r="1190" spans="1:21" x14ac:dyDescent="0.3">
      <c r="A1190" t="s">
        <v>1809</v>
      </c>
      <c r="B1190" s="6">
        <v>46087</v>
      </c>
      <c r="C1190" t="s">
        <v>18</v>
      </c>
      <c r="D1190" t="s">
        <v>105</v>
      </c>
      <c r="E1190" t="s">
        <v>28</v>
      </c>
      <c r="F1190" t="s">
        <v>1810</v>
      </c>
      <c r="G1190" t="s">
        <v>44</v>
      </c>
      <c r="H1190" t="s">
        <v>23</v>
      </c>
      <c r="I1190" t="s">
        <v>24</v>
      </c>
      <c r="J1190" s="9">
        <v>1</v>
      </c>
      <c r="K1190" s="7">
        <v>43200</v>
      </c>
      <c r="L1190" s="7">
        <v>43200</v>
      </c>
      <c r="M1190" s="9"/>
      <c r="N1190" s="7">
        <v>5.9</v>
      </c>
      <c r="O1190" s="7"/>
      <c r="P1190" s="7"/>
      <c r="Q1190" t="s">
        <v>24</v>
      </c>
      <c r="R1190" s="7" t="str">
        <f>TEXT(Table1[[#This Row],[Date]],"mmm yyyy")</f>
        <v>Mar 2026</v>
      </c>
      <c r="S1190" s="9">
        <f>YEAR(Table1[[#This Row],[Date]])</f>
        <v>2026</v>
      </c>
      <c r="T1190" s="9"/>
      <c r="U1190" s="9"/>
    </row>
    <row r="1191" spans="1:21" hidden="1" x14ac:dyDescent="0.3">
      <c r="A1191" t="s">
        <v>1811</v>
      </c>
      <c r="B1191" s="6">
        <v>45925</v>
      </c>
      <c r="C1191" t="s">
        <v>26</v>
      </c>
      <c r="D1191" t="s">
        <v>126</v>
      </c>
      <c r="E1191" t="s">
        <v>20</v>
      </c>
      <c r="F1191" t="s">
        <v>364</v>
      </c>
      <c r="G1191" t="s">
        <v>44</v>
      </c>
      <c r="J1191" s="9">
        <v>0</v>
      </c>
      <c r="K1191" s="7">
        <v>0</v>
      </c>
      <c r="L1191" s="7">
        <v>0</v>
      </c>
      <c r="M1191" s="9">
        <v>1</v>
      </c>
      <c r="N1191" s="7">
        <v>5.5</v>
      </c>
      <c r="O1191" s="7">
        <v>5.6</v>
      </c>
      <c r="P1191" s="7">
        <v>4.7</v>
      </c>
      <c r="Q1191" t="s">
        <v>62</v>
      </c>
      <c r="R1191" s="7" t="str">
        <f>TEXT(Table1[[#This Row],[Date]],"mmm yyyy")</f>
        <v>Sep 2025</v>
      </c>
      <c r="S1191" s="9">
        <f>YEAR(Table1[[#This Row],[Date]])</f>
        <v>2025</v>
      </c>
      <c r="T1191" s="9"/>
      <c r="U1191" s="9"/>
    </row>
    <row r="1192" spans="1:21" x14ac:dyDescent="0.3">
      <c r="A1192" t="s">
        <v>1812</v>
      </c>
      <c r="B1192" s="6">
        <v>46174</v>
      </c>
      <c r="C1192" t="s">
        <v>18</v>
      </c>
      <c r="D1192" t="s">
        <v>47</v>
      </c>
      <c r="E1192" t="s">
        <v>37</v>
      </c>
      <c r="F1192" t="s">
        <v>34</v>
      </c>
      <c r="G1192" t="s">
        <v>30</v>
      </c>
      <c r="H1192" t="s">
        <v>54</v>
      </c>
      <c r="I1192" t="s">
        <v>45</v>
      </c>
      <c r="J1192" s="9">
        <v>1</v>
      </c>
      <c r="K1192" s="7">
        <v>23800</v>
      </c>
      <c r="L1192" s="7">
        <v>0</v>
      </c>
      <c r="M1192" s="9"/>
      <c r="N1192" s="7">
        <v>17.100000000000001</v>
      </c>
      <c r="O1192" s="7"/>
      <c r="P1192" s="7"/>
      <c r="Q1192" t="s">
        <v>45</v>
      </c>
      <c r="R1192" s="7" t="str">
        <f>TEXT(Table1[[#This Row],[Date]],"mmm yyyy")</f>
        <v>Jun 2026</v>
      </c>
      <c r="S1192" s="9">
        <f>YEAR(Table1[[#This Row],[Date]])</f>
        <v>2026</v>
      </c>
      <c r="T1192" s="9"/>
      <c r="U1192" s="9"/>
    </row>
    <row r="1193" spans="1:21" hidden="1" x14ac:dyDescent="0.3">
      <c r="A1193" t="s">
        <v>1813</v>
      </c>
      <c r="B1193" s="6">
        <v>46102</v>
      </c>
      <c r="C1193" t="s">
        <v>26</v>
      </c>
      <c r="D1193" t="s">
        <v>69</v>
      </c>
      <c r="E1193" t="s">
        <v>48</v>
      </c>
      <c r="F1193" t="s">
        <v>1814</v>
      </c>
      <c r="G1193" t="s">
        <v>22</v>
      </c>
      <c r="J1193" s="9">
        <v>0</v>
      </c>
      <c r="K1193" s="7">
        <v>0</v>
      </c>
      <c r="L1193" s="7">
        <v>0</v>
      </c>
      <c r="M1193" s="9">
        <v>1</v>
      </c>
      <c r="N1193" s="7">
        <v>10.3</v>
      </c>
      <c r="O1193" s="7">
        <v>3.3</v>
      </c>
      <c r="P1193" s="7">
        <v>5</v>
      </c>
      <c r="Q1193" t="s">
        <v>62</v>
      </c>
      <c r="R1193" s="7" t="str">
        <f>TEXT(Table1[[#This Row],[Date]],"mmm yyyy")</f>
        <v>Mar 2026</v>
      </c>
      <c r="S1193" s="9">
        <f>YEAR(Table1[[#This Row],[Date]])</f>
        <v>2026</v>
      </c>
      <c r="T1193" s="9"/>
      <c r="U1193" s="9"/>
    </row>
    <row r="1194" spans="1:21" x14ac:dyDescent="0.3">
      <c r="A1194" t="s">
        <v>1815</v>
      </c>
      <c r="B1194" s="6">
        <v>46017</v>
      </c>
      <c r="C1194" t="s">
        <v>18</v>
      </c>
      <c r="D1194" t="s">
        <v>117</v>
      </c>
      <c r="E1194" t="s">
        <v>20</v>
      </c>
      <c r="F1194" t="s">
        <v>862</v>
      </c>
      <c r="G1194" t="s">
        <v>22</v>
      </c>
      <c r="H1194" t="s">
        <v>23</v>
      </c>
      <c r="I1194" t="s">
        <v>24</v>
      </c>
      <c r="J1194" s="9">
        <v>1</v>
      </c>
      <c r="K1194" s="7">
        <v>11300</v>
      </c>
      <c r="L1194" s="7">
        <v>11300</v>
      </c>
      <c r="M1194" s="9"/>
      <c r="N1194" s="7">
        <v>20.399999999999999</v>
      </c>
      <c r="O1194" s="7"/>
      <c r="P1194" s="7"/>
      <c r="Q1194" t="s">
        <v>24</v>
      </c>
      <c r="R1194" s="7" t="str">
        <f>TEXT(Table1[[#This Row],[Date]],"mmm yyyy")</f>
        <v>Dec 2025</v>
      </c>
      <c r="S1194" s="9">
        <f>YEAR(Table1[[#This Row],[Date]])</f>
        <v>2025</v>
      </c>
      <c r="T1194" s="9"/>
      <c r="U1194" s="9"/>
    </row>
    <row r="1195" spans="1:21" hidden="1" x14ac:dyDescent="0.3">
      <c r="A1195" t="s">
        <v>1816</v>
      </c>
      <c r="B1195" s="6">
        <v>46146</v>
      </c>
      <c r="C1195" t="s">
        <v>26</v>
      </c>
      <c r="D1195" t="s">
        <v>36</v>
      </c>
      <c r="E1195" t="s">
        <v>37</v>
      </c>
      <c r="F1195" t="s">
        <v>417</v>
      </c>
      <c r="G1195" t="s">
        <v>30</v>
      </c>
      <c r="J1195" s="9">
        <v>0</v>
      </c>
      <c r="K1195" s="7">
        <v>0</v>
      </c>
      <c r="L1195" s="7">
        <v>0</v>
      </c>
      <c r="M1195" s="9">
        <v>1</v>
      </c>
      <c r="N1195" s="7">
        <v>11</v>
      </c>
      <c r="O1195" s="7">
        <v>5</v>
      </c>
      <c r="P1195" s="7">
        <v>3.4</v>
      </c>
      <c r="Q1195" t="s">
        <v>62</v>
      </c>
      <c r="R1195" s="7" t="str">
        <f>TEXT(Table1[[#This Row],[Date]],"mmm yyyy")</f>
        <v>May 2026</v>
      </c>
      <c r="S1195" s="9">
        <f>YEAR(Table1[[#This Row],[Date]])</f>
        <v>2026</v>
      </c>
      <c r="T1195" s="9"/>
      <c r="U1195" s="9"/>
    </row>
    <row r="1196" spans="1:21" x14ac:dyDescent="0.3">
      <c r="A1196" t="s">
        <v>1817</v>
      </c>
      <c r="B1196" s="6">
        <v>45988</v>
      </c>
      <c r="C1196" t="s">
        <v>18</v>
      </c>
      <c r="D1196" t="s">
        <v>47</v>
      </c>
      <c r="E1196" t="s">
        <v>48</v>
      </c>
      <c r="F1196" t="s">
        <v>1818</v>
      </c>
      <c r="G1196" t="s">
        <v>30</v>
      </c>
      <c r="H1196" t="s">
        <v>54</v>
      </c>
      <c r="I1196" t="s">
        <v>89</v>
      </c>
      <c r="J1196" s="9">
        <v>1</v>
      </c>
      <c r="K1196" s="7">
        <v>39600</v>
      </c>
      <c r="L1196" s="7">
        <v>0</v>
      </c>
      <c r="M1196" s="9"/>
      <c r="N1196" s="7">
        <v>9.3000000000000007</v>
      </c>
      <c r="O1196" s="7"/>
      <c r="P1196" s="7"/>
      <c r="Q1196" t="s">
        <v>89</v>
      </c>
      <c r="R1196" s="7" t="str">
        <f>TEXT(Table1[[#This Row],[Date]],"mmm yyyy")</f>
        <v>Nov 2025</v>
      </c>
      <c r="S1196" s="9">
        <f>YEAR(Table1[[#This Row],[Date]])</f>
        <v>2025</v>
      </c>
      <c r="T1196" s="9"/>
      <c r="U1196" s="9"/>
    </row>
    <row r="1197" spans="1:21" hidden="1" x14ac:dyDescent="0.3">
      <c r="A1197" t="s">
        <v>1819</v>
      </c>
      <c r="B1197" s="6">
        <v>46079</v>
      </c>
      <c r="C1197" t="s">
        <v>26</v>
      </c>
      <c r="D1197" t="s">
        <v>114</v>
      </c>
      <c r="E1197" t="s">
        <v>20</v>
      </c>
      <c r="F1197" t="s">
        <v>889</v>
      </c>
      <c r="G1197" t="s">
        <v>50</v>
      </c>
      <c r="J1197" s="9">
        <v>0</v>
      </c>
      <c r="K1197" s="7">
        <v>0</v>
      </c>
      <c r="L1197" s="7">
        <v>0</v>
      </c>
      <c r="M1197" s="9">
        <v>1</v>
      </c>
      <c r="N1197" s="7">
        <v>5.7</v>
      </c>
      <c r="O1197" s="7">
        <v>4.7</v>
      </c>
      <c r="P1197" s="7">
        <v>4.4000000000000004</v>
      </c>
      <c r="Q1197" t="s">
        <v>39</v>
      </c>
      <c r="R1197" s="7" t="str">
        <f>TEXT(Table1[[#This Row],[Date]],"mmm yyyy")</f>
        <v>Feb 2026</v>
      </c>
      <c r="S1197" s="9">
        <f>YEAR(Table1[[#This Row],[Date]])</f>
        <v>2026</v>
      </c>
      <c r="T1197" s="9"/>
      <c r="U1197" s="9"/>
    </row>
    <row r="1198" spans="1:21" hidden="1" x14ac:dyDescent="0.3">
      <c r="A1198" t="s">
        <v>1820</v>
      </c>
      <c r="B1198" s="6">
        <v>46176</v>
      </c>
      <c r="C1198" t="s">
        <v>26</v>
      </c>
      <c r="D1198" t="s">
        <v>36</v>
      </c>
      <c r="E1198" t="s">
        <v>48</v>
      </c>
      <c r="F1198" t="s">
        <v>1055</v>
      </c>
      <c r="G1198" t="s">
        <v>30</v>
      </c>
      <c r="J1198" s="9">
        <v>0</v>
      </c>
      <c r="K1198" s="7">
        <v>0</v>
      </c>
      <c r="L1198" s="7">
        <v>0</v>
      </c>
      <c r="M1198" s="9">
        <v>1</v>
      </c>
      <c r="N1198" s="7">
        <v>11.6</v>
      </c>
      <c r="O1198" s="7">
        <v>4.9000000000000004</v>
      </c>
      <c r="P1198" s="7">
        <v>3.8</v>
      </c>
      <c r="Q1198" t="s">
        <v>39</v>
      </c>
      <c r="R1198" s="7" t="str">
        <f>TEXT(Table1[[#This Row],[Date]],"mmm yyyy")</f>
        <v>Jun 2026</v>
      </c>
      <c r="S1198" s="9">
        <f>YEAR(Table1[[#This Row],[Date]])</f>
        <v>2026</v>
      </c>
      <c r="T1198" s="9"/>
      <c r="U1198" s="9"/>
    </row>
    <row r="1199" spans="1:21" hidden="1" x14ac:dyDescent="0.3">
      <c r="A1199" t="s">
        <v>1821</v>
      </c>
      <c r="B1199" s="6">
        <v>46131</v>
      </c>
      <c r="C1199" t="s">
        <v>26</v>
      </c>
      <c r="D1199" t="s">
        <v>72</v>
      </c>
      <c r="E1199" t="s">
        <v>20</v>
      </c>
      <c r="F1199" t="s">
        <v>378</v>
      </c>
      <c r="G1199" t="s">
        <v>50</v>
      </c>
      <c r="J1199" s="9">
        <v>0</v>
      </c>
      <c r="K1199" s="7">
        <v>0</v>
      </c>
      <c r="L1199" s="7">
        <v>0</v>
      </c>
      <c r="M1199" s="9">
        <v>1</v>
      </c>
      <c r="N1199" s="7">
        <v>0.5</v>
      </c>
      <c r="O1199" s="7">
        <v>5.8</v>
      </c>
      <c r="P1199" s="7">
        <v>5</v>
      </c>
      <c r="Q1199" t="s">
        <v>31</v>
      </c>
      <c r="R1199" s="7" t="str">
        <f>TEXT(Table1[[#This Row],[Date]],"mmm yyyy")</f>
        <v>Apr 2026</v>
      </c>
      <c r="S1199" s="9">
        <f>YEAR(Table1[[#This Row],[Date]])</f>
        <v>2026</v>
      </c>
      <c r="T1199" s="9"/>
      <c r="U1199" s="9"/>
    </row>
    <row r="1200" spans="1:21" hidden="1" x14ac:dyDescent="0.3">
      <c r="A1200" t="s">
        <v>1822</v>
      </c>
      <c r="B1200" s="6">
        <v>46056</v>
      </c>
      <c r="C1200" t="s">
        <v>26</v>
      </c>
      <c r="D1200" t="s">
        <v>232</v>
      </c>
      <c r="E1200" t="s">
        <v>37</v>
      </c>
      <c r="F1200" t="s">
        <v>407</v>
      </c>
      <c r="G1200" t="s">
        <v>30</v>
      </c>
      <c r="J1200" s="9">
        <v>0</v>
      </c>
      <c r="K1200" s="7">
        <v>0</v>
      </c>
      <c r="L1200" s="7">
        <v>0</v>
      </c>
      <c r="M1200" s="9">
        <v>1</v>
      </c>
      <c r="N1200" s="7">
        <v>11.1</v>
      </c>
      <c r="O1200" s="7">
        <v>14.6</v>
      </c>
      <c r="P1200" s="7">
        <v>4.7</v>
      </c>
      <c r="Q1200" t="s">
        <v>39</v>
      </c>
      <c r="R1200" s="7" t="str">
        <f>TEXT(Table1[[#This Row],[Date]],"mmm yyyy")</f>
        <v>Feb 2026</v>
      </c>
      <c r="S1200" s="9">
        <f>YEAR(Table1[[#This Row],[Date]])</f>
        <v>2026</v>
      </c>
      <c r="T1200" s="9"/>
      <c r="U1200" s="9"/>
    </row>
    <row r="1201" spans="1:21" x14ac:dyDescent="0.3">
      <c r="A1201" t="s">
        <v>1823</v>
      </c>
      <c r="B1201" s="6">
        <v>45977</v>
      </c>
      <c r="C1201" t="s">
        <v>18</v>
      </c>
      <c r="D1201" t="s">
        <v>19</v>
      </c>
      <c r="E1201" t="s">
        <v>42</v>
      </c>
      <c r="F1201" t="s">
        <v>120</v>
      </c>
      <c r="G1201" t="s">
        <v>44</v>
      </c>
      <c r="H1201" t="s">
        <v>86</v>
      </c>
      <c r="I1201" t="s">
        <v>89</v>
      </c>
      <c r="J1201" s="9">
        <v>1</v>
      </c>
      <c r="K1201" s="7">
        <v>18900</v>
      </c>
      <c r="L1201" s="7">
        <v>0</v>
      </c>
      <c r="M1201" s="9"/>
      <c r="N1201" s="7">
        <v>15.2</v>
      </c>
      <c r="O1201" s="7"/>
      <c r="P1201" s="7"/>
      <c r="Q1201" t="s">
        <v>89</v>
      </c>
      <c r="R1201" s="7" t="str">
        <f>TEXT(Table1[[#This Row],[Date]],"mmm yyyy")</f>
        <v>Nov 2025</v>
      </c>
      <c r="S1201" s="9">
        <f>YEAR(Table1[[#This Row],[Date]])</f>
        <v>2025</v>
      </c>
      <c r="T1201" s="9"/>
      <c r="U1201" s="9"/>
    </row>
    <row r="1202" spans="1:21" hidden="1" x14ac:dyDescent="0.3">
      <c r="A1202" t="s">
        <v>1824</v>
      </c>
      <c r="B1202" s="6">
        <v>46156</v>
      </c>
      <c r="C1202" t="s">
        <v>26</v>
      </c>
      <c r="D1202" t="s">
        <v>232</v>
      </c>
      <c r="E1202" t="s">
        <v>20</v>
      </c>
      <c r="F1202" t="s">
        <v>212</v>
      </c>
      <c r="G1202" t="s">
        <v>50</v>
      </c>
      <c r="J1202" s="9">
        <v>0</v>
      </c>
      <c r="K1202" s="7">
        <v>0</v>
      </c>
      <c r="L1202" s="7">
        <v>0</v>
      </c>
      <c r="M1202" s="9">
        <v>1</v>
      </c>
      <c r="N1202" s="7">
        <v>4</v>
      </c>
      <c r="O1202" s="7">
        <v>16</v>
      </c>
      <c r="P1202" s="7">
        <v>4.9000000000000004</v>
      </c>
      <c r="Q1202" t="s">
        <v>31</v>
      </c>
      <c r="R1202" s="7" t="str">
        <f>TEXT(Table1[[#This Row],[Date]],"mmm yyyy")</f>
        <v>May 2026</v>
      </c>
      <c r="S1202" s="9">
        <f>YEAR(Table1[[#This Row],[Date]])</f>
        <v>2026</v>
      </c>
      <c r="T1202" s="9"/>
      <c r="U1202" s="9"/>
    </row>
    <row r="1203" spans="1:21" x14ac:dyDescent="0.3">
      <c r="A1203" t="s">
        <v>1825</v>
      </c>
      <c r="B1203" s="6">
        <v>46103</v>
      </c>
      <c r="C1203" t="s">
        <v>18</v>
      </c>
      <c r="D1203" t="s">
        <v>95</v>
      </c>
      <c r="E1203" t="s">
        <v>48</v>
      </c>
      <c r="F1203" t="s">
        <v>461</v>
      </c>
      <c r="G1203" t="s">
        <v>30</v>
      </c>
      <c r="H1203" t="s">
        <v>23</v>
      </c>
      <c r="I1203" t="s">
        <v>24</v>
      </c>
      <c r="J1203" s="9">
        <v>1</v>
      </c>
      <c r="K1203" s="7">
        <v>45000</v>
      </c>
      <c r="L1203" s="7">
        <v>45000</v>
      </c>
      <c r="M1203" s="9"/>
      <c r="N1203" s="7">
        <v>18.2</v>
      </c>
      <c r="O1203" s="7"/>
      <c r="P1203" s="7"/>
      <c r="Q1203" t="s">
        <v>24</v>
      </c>
      <c r="R1203" s="7" t="str">
        <f>TEXT(Table1[[#This Row],[Date]],"mmm yyyy")</f>
        <v>Mar 2026</v>
      </c>
      <c r="S1203" s="9">
        <f>YEAR(Table1[[#This Row],[Date]])</f>
        <v>2026</v>
      </c>
      <c r="T1203" s="9"/>
      <c r="U1203" s="9"/>
    </row>
    <row r="1204" spans="1:21" x14ac:dyDescent="0.3">
      <c r="A1204" t="s">
        <v>1826</v>
      </c>
      <c r="B1204" s="6">
        <v>46115</v>
      </c>
      <c r="C1204" t="s">
        <v>18</v>
      </c>
      <c r="D1204" t="s">
        <v>47</v>
      </c>
      <c r="E1204" t="s">
        <v>20</v>
      </c>
      <c r="F1204" t="s">
        <v>1827</v>
      </c>
      <c r="G1204" t="s">
        <v>44</v>
      </c>
      <c r="H1204" t="s">
        <v>78</v>
      </c>
      <c r="I1204" t="s">
        <v>45</v>
      </c>
      <c r="J1204" s="9">
        <v>1</v>
      </c>
      <c r="K1204" s="7">
        <v>13100</v>
      </c>
      <c r="L1204" s="7">
        <v>0</v>
      </c>
      <c r="M1204" s="9"/>
      <c r="N1204" s="7">
        <v>17.600000000000001</v>
      </c>
      <c r="O1204" s="7"/>
      <c r="P1204" s="7"/>
      <c r="Q1204" t="s">
        <v>45</v>
      </c>
      <c r="R1204" s="7" t="str">
        <f>TEXT(Table1[[#This Row],[Date]],"mmm yyyy")</f>
        <v>Apr 2026</v>
      </c>
      <c r="S1204" s="9">
        <f>YEAR(Table1[[#This Row],[Date]])</f>
        <v>2026</v>
      </c>
      <c r="T1204" s="9"/>
      <c r="U1204" s="9"/>
    </row>
    <row r="1205" spans="1:21" x14ac:dyDescent="0.3">
      <c r="A1205" t="s">
        <v>1828</v>
      </c>
      <c r="B1205" s="6">
        <v>45943</v>
      </c>
      <c r="C1205" t="s">
        <v>18</v>
      </c>
      <c r="D1205" t="s">
        <v>64</v>
      </c>
      <c r="E1205" t="s">
        <v>20</v>
      </c>
      <c r="F1205" t="s">
        <v>268</v>
      </c>
      <c r="G1205" t="s">
        <v>22</v>
      </c>
      <c r="H1205" t="s">
        <v>86</v>
      </c>
      <c r="I1205" t="s">
        <v>89</v>
      </c>
      <c r="J1205" s="9">
        <v>1</v>
      </c>
      <c r="K1205" s="7">
        <v>53200</v>
      </c>
      <c r="L1205" s="7">
        <v>0</v>
      </c>
      <c r="M1205" s="9"/>
      <c r="N1205" s="7">
        <v>18.3</v>
      </c>
      <c r="O1205" s="7"/>
      <c r="P1205" s="7"/>
      <c r="Q1205" t="s">
        <v>89</v>
      </c>
      <c r="R1205" s="7" t="str">
        <f>TEXT(Table1[[#This Row],[Date]],"mmm yyyy")</f>
        <v>Oct 2025</v>
      </c>
      <c r="S1205" s="9">
        <f>YEAR(Table1[[#This Row],[Date]])</f>
        <v>2025</v>
      </c>
      <c r="T1205" s="9"/>
      <c r="U1205" s="9"/>
    </row>
    <row r="1206" spans="1:21" x14ac:dyDescent="0.3">
      <c r="A1206" t="s">
        <v>1829</v>
      </c>
      <c r="B1206" s="6">
        <v>46202</v>
      </c>
      <c r="C1206" t="s">
        <v>18</v>
      </c>
      <c r="D1206" t="s">
        <v>41</v>
      </c>
      <c r="E1206" t="s">
        <v>48</v>
      </c>
      <c r="F1206" t="s">
        <v>740</v>
      </c>
      <c r="G1206" t="s">
        <v>22</v>
      </c>
      <c r="H1206" t="s">
        <v>23</v>
      </c>
      <c r="I1206" t="s">
        <v>67</v>
      </c>
      <c r="J1206" s="9">
        <v>1</v>
      </c>
      <c r="K1206" s="7">
        <v>8100</v>
      </c>
      <c r="L1206" s="7">
        <v>0</v>
      </c>
      <c r="M1206" s="9"/>
      <c r="N1206" s="7">
        <v>5.5</v>
      </c>
      <c r="O1206" s="7"/>
      <c r="P1206" s="7"/>
      <c r="Q1206" t="s">
        <v>67</v>
      </c>
      <c r="R1206" s="7" t="str">
        <f>TEXT(Table1[[#This Row],[Date]],"mmm yyyy")</f>
        <v>Jun 2026</v>
      </c>
      <c r="S1206" s="9">
        <f>YEAR(Table1[[#This Row],[Date]])</f>
        <v>2026</v>
      </c>
      <c r="T1206" s="9"/>
      <c r="U1206" s="9"/>
    </row>
    <row r="1207" spans="1:21" hidden="1" x14ac:dyDescent="0.3">
      <c r="A1207" t="s">
        <v>1830</v>
      </c>
      <c r="B1207" s="6">
        <v>45973</v>
      </c>
      <c r="C1207" t="s">
        <v>26</v>
      </c>
      <c r="D1207" t="s">
        <v>232</v>
      </c>
      <c r="E1207" t="s">
        <v>20</v>
      </c>
      <c r="F1207" t="s">
        <v>1380</v>
      </c>
      <c r="G1207" t="s">
        <v>44</v>
      </c>
      <c r="J1207" s="9">
        <v>0</v>
      </c>
      <c r="K1207" s="7">
        <v>0</v>
      </c>
      <c r="L1207" s="7">
        <v>0</v>
      </c>
      <c r="M1207" s="9">
        <v>1</v>
      </c>
      <c r="N1207" s="7">
        <v>4.9000000000000004</v>
      </c>
      <c r="O1207" s="7">
        <v>13.3</v>
      </c>
      <c r="P1207" s="7">
        <v>5</v>
      </c>
      <c r="Q1207" t="s">
        <v>31</v>
      </c>
      <c r="R1207" s="7" t="str">
        <f>TEXT(Table1[[#This Row],[Date]],"mmm yyyy")</f>
        <v>Nov 2025</v>
      </c>
      <c r="S1207" s="9">
        <f>YEAR(Table1[[#This Row],[Date]])</f>
        <v>2025</v>
      </c>
      <c r="T1207" s="9"/>
      <c r="U1207" s="9"/>
    </row>
    <row r="1208" spans="1:21" hidden="1" x14ac:dyDescent="0.3">
      <c r="A1208" t="s">
        <v>1831</v>
      </c>
      <c r="B1208" s="6">
        <v>46201</v>
      </c>
      <c r="C1208" t="s">
        <v>26</v>
      </c>
      <c r="D1208" t="s">
        <v>72</v>
      </c>
      <c r="E1208" t="s">
        <v>20</v>
      </c>
      <c r="F1208" t="s">
        <v>1655</v>
      </c>
      <c r="G1208" t="s">
        <v>50</v>
      </c>
      <c r="J1208" s="9">
        <v>0</v>
      </c>
      <c r="K1208" s="7">
        <v>0</v>
      </c>
      <c r="L1208" s="7">
        <v>0</v>
      </c>
      <c r="M1208" s="9">
        <v>1</v>
      </c>
      <c r="N1208" s="7">
        <v>4.9000000000000004</v>
      </c>
      <c r="O1208" s="7">
        <v>8.6999999999999993</v>
      </c>
      <c r="P1208" s="7">
        <v>3.9</v>
      </c>
      <c r="Q1208" t="s">
        <v>62</v>
      </c>
      <c r="R1208" s="7" t="str">
        <f>TEXT(Table1[[#This Row],[Date]],"mmm yyyy")</f>
        <v>Jun 2026</v>
      </c>
      <c r="S1208" s="9">
        <f>YEAR(Table1[[#This Row],[Date]])</f>
        <v>2026</v>
      </c>
      <c r="T1208" s="9"/>
      <c r="U1208" s="9"/>
    </row>
    <row r="1209" spans="1:21" x14ac:dyDescent="0.3">
      <c r="A1209" t="s">
        <v>1832</v>
      </c>
      <c r="B1209" s="6">
        <v>46229</v>
      </c>
      <c r="C1209" t="s">
        <v>18</v>
      </c>
      <c r="D1209" t="s">
        <v>52</v>
      </c>
      <c r="E1209" t="s">
        <v>37</v>
      </c>
      <c r="F1209" t="s">
        <v>596</v>
      </c>
      <c r="G1209" t="s">
        <v>30</v>
      </c>
      <c r="H1209" t="s">
        <v>54</v>
      </c>
      <c r="I1209" t="s">
        <v>45</v>
      </c>
      <c r="J1209" s="9">
        <v>1</v>
      </c>
      <c r="K1209" s="7">
        <v>33600</v>
      </c>
      <c r="L1209" s="7">
        <v>0</v>
      </c>
      <c r="M1209" s="9"/>
      <c r="N1209" s="7">
        <v>1.8</v>
      </c>
      <c r="O1209" s="7"/>
      <c r="P1209" s="7"/>
      <c r="Q1209" t="s">
        <v>45</v>
      </c>
      <c r="R1209" s="7" t="str">
        <f>TEXT(Table1[[#This Row],[Date]],"mmm yyyy")</f>
        <v>Jul 2026</v>
      </c>
      <c r="S1209" s="9">
        <f>YEAR(Table1[[#This Row],[Date]])</f>
        <v>2026</v>
      </c>
      <c r="T1209" s="9"/>
      <c r="U1209" s="9"/>
    </row>
    <row r="1210" spans="1:21" x14ac:dyDescent="0.3">
      <c r="A1210" t="s">
        <v>1833</v>
      </c>
      <c r="B1210" s="6">
        <v>46061</v>
      </c>
      <c r="C1210" t="s">
        <v>18</v>
      </c>
      <c r="D1210" t="s">
        <v>117</v>
      </c>
      <c r="E1210" t="s">
        <v>48</v>
      </c>
      <c r="F1210" t="s">
        <v>386</v>
      </c>
      <c r="G1210" t="s">
        <v>22</v>
      </c>
      <c r="H1210" t="s">
        <v>78</v>
      </c>
      <c r="I1210" t="s">
        <v>89</v>
      </c>
      <c r="J1210" s="9">
        <v>1</v>
      </c>
      <c r="K1210" s="7">
        <v>14600</v>
      </c>
      <c r="L1210" s="7">
        <v>0</v>
      </c>
      <c r="M1210" s="9"/>
      <c r="N1210" s="7">
        <v>3.7</v>
      </c>
      <c r="O1210" s="7"/>
      <c r="P1210" s="7"/>
      <c r="Q1210" t="s">
        <v>89</v>
      </c>
      <c r="R1210" s="7" t="str">
        <f>TEXT(Table1[[#This Row],[Date]],"mmm yyyy")</f>
        <v>Feb 2026</v>
      </c>
      <c r="S1210" s="9">
        <f>YEAR(Table1[[#This Row],[Date]])</f>
        <v>2026</v>
      </c>
      <c r="T1210" s="9"/>
      <c r="U1210" s="9"/>
    </row>
    <row r="1211" spans="1:21" hidden="1" x14ac:dyDescent="0.3">
      <c r="A1211" t="s">
        <v>1834</v>
      </c>
      <c r="B1211" s="6">
        <v>45935</v>
      </c>
      <c r="C1211" t="s">
        <v>26</v>
      </c>
      <c r="D1211" t="s">
        <v>114</v>
      </c>
      <c r="E1211" t="s">
        <v>48</v>
      </c>
      <c r="F1211" t="s">
        <v>1835</v>
      </c>
      <c r="G1211" t="s">
        <v>22</v>
      </c>
      <c r="J1211" s="9">
        <v>0</v>
      </c>
      <c r="K1211" s="7">
        <v>0</v>
      </c>
      <c r="L1211" s="7">
        <v>0</v>
      </c>
      <c r="M1211" s="9">
        <v>1</v>
      </c>
      <c r="N1211" s="7">
        <v>10.8</v>
      </c>
      <c r="O1211" s="7">
        <v>5.6</v>
      </c>
      <c r="P1211" s="7">
        <v>4</v>
      </c>
      <c r="Q1211" t="s">
        <v>39</v>
      </c>
      <c r="R1211" s="7" t="str">
        <f>TEXT(Table1[[#This Row],[Date]],"mmm yyyy")</f>
        <v>Oct 2025</v>
      </c>
      <c r="S1211" s="9">
        <f>YEAR(Table1[[#This Row],[Date]])</f>
        <v>2025</v>
      </c>
      <c r="T1211" s="9"/>
      <c r="U1211" s="9"/>
    </row>
    <row r="1212" spans="1:21" x14ac:dyDescent="0.3">
      <c r="A1212" t="s">
        <v>1836</v>
      </c>
      <c r="B1212" s="6">
        <v>46157</v>
      </c>
      <c r="C1212" t="s">
        <v>18</v>
      </c>
      <c r="D1212" t="s">
        <v>95</v>
      </c>
      <c r="E1212" t="s">
        <v>20</v>
      </c>
      <c r="F1212" t="s">
        <v>493</v>
      </c>
      <c r="G1212" t="s">
        <v>44</v>
      </c>
      <c r="H1212" t="s">
        <v>23</v>
      </c>
      <c r="I1212" t="s">
        <v>45</v>
      </c>
      <c r="J1212" s="9">
        <v>1</v>
      </c>
      <c r="K1212" s="7">
        <v>34400</v>
      </c>
      <c r="L1212" s="7">
        <v>0</v>
      </c>
      <c r="M1212" s="9"/>
      <c r="N1212" s="7">
        <v>6.1</v>
      </c>
      <c r="O1212" s="7"/>
      <c r="P1212" s="7"/>
      <c r="Q1212" t="s">
        <v>45</v>
      </c>
      <c r="R1212" s="7" t="str">
        <f>TEXT(Table1[[#This Row],[Date]],"mmm yyyy")</f>
        <v>May 2026</v>
      </c>
      <c r="S1212" s="9">
        <f>YEAR(Table1[[#This Row],[Date]])</f>
        <v>2026</v>
      </c>
      <c r="T1212" s="9"/>
      <c r="U1212" s="9"/>
    </row>
    <row r="1213" spans="1:21" x14ac:dyDescent="0.3">
      <c r="A1213" t="s">
        <v>1837</v>
      </c>
      <c r="B1213" s="6">
        <v>46230</v>
      </c>
      <c r="C1213" t="s">
        <v>18</v>
      </c>
      <c r="D1213" t="s">
        <v>52</v>
      </c>
      <c r="E1213" t="s">
        <v>20</v>
      </c>
      <c r="F1213" t="s">
        <v>1115</v>
      </c>
      <c r="G1213" t="s">
        <v>44</v>
      </c>
      <c r="H1213" t="s">
        <v>86</v>
      </c>
      <c r="I1213" t="s">
        <v>45</v>
      </c>
      <c r="J1213" s="9">
        <v>1</v>
      </c>
      <c r="K1213" s="7">
        <v>27800</v>
      </c>
      <c r="L1213" s="7">
        <v>0</v>
      </c>
      <c r="M1213" s="9"/>
      <c r="N1213" s="7">
        <v>11.2</v>
      </c>
      <c r="O1213" s="7"/>
      <c r="P1213" s="7"/>
      <c r="Q1213" t="s">
        <v>45</v>
      </c>
      <c r="R1213" s="7" t="str">
        <f>TEXT(Table1[[#This Row],[Date]],"mmm yyyy")</f>
        <v>Jul 2026</v>
      </c>
      <c r="S1213" s="9">
        <f>YEAR(Table1[[#This Row],[Date]])</f>
        <v>2026</v>
      </c>
      <c r="T1213" s="9"/>
      <c r="U1213" s="9"/>
    </row>
    <row r="1214" spans="1:21" x14ac:dyDescent="0.3">
      <c r="A1214" t="s">
        <v>1838</v>
      </c>
      <c r="B1214" s="6">
        <v>46090</v>
      </c>
      <c r="C1214" t="s">
        <v>18</v>
      </c>
      <c r="D1214" t="s">
        <v>47</v>
      </c>
      <c r="E1214" t="s">
        <v>20</v>
      </c>
      <c r="F1214" t="s">
        <v>264</v>
      </c>
      <c r="G1214" t="s">
        <v>22</v>
      </c>
      <c r="H1214" t="s">
        <v>78</v>
      </c>
      <c r="I1214" t="s">
        <v>67</v>
      </c>
      <c r="J1214" s="9">
        <v>1</v>
      </c>
      <c r="K1214" s="7">
        <v>7900</v>
      </c>
      <c r="L1214" s="7">
        <v>0</v>
      </c>
      <c r="M1214" s="9"/>
      <c r="N1214" s="7">
        <v>19.2</v>
      </c>
      <c r="O1214" s="7"/>
      <c r="P1214" s="7"/>
      <c r="Q1214" t="s">
        <v>67</v>
      </c>
      <c r="R1214" s="7" t="str">
        <f>TEXT(Table1[[#This Row],[Date]],"mmm yyyy")</f>
        <v>Mar 2026</v>
      </c>
      <c r="S1214" s="9">
        <f>YEAR(Table1[[#This Row],[Date]])</f>
        <v>2026</v>
      </c>
      <c r="T1214" s="9"/>
      <c r="U1214" s="9"/>
    </row>
    <row r="1215" spans="1:21" hidden="1" x14ac:dyDescent="0.3">
      <c r="A1215" t="s">
        <v>1839</v>
      </c>
      <c r="B1215" s="6">
        <v>45922</v>
      </c>
      <c r="C1215" t="s">
        <v>26</v>
      </c>
      <c r="D1215" t="s">
        <v>232</v>
      </c>
      <c r="E1215" t="s">
        <v>20</v>
      </c>
      <c r="F1215" t="s">
        <v>1020</v>
      </c>
      <c r="G1215" t="s">
        <v>22</v>
      </c>
      <c r="J1215" s="9">
        <v>0</v>
      </c>
      <c r="K1215" s="7">
        <v>0</v>
      </c>
      <c r="L1215" s="7">
        <v>0</v>
      </c>
      <c r="M1215" s="9">
        <v>1</v>
      </c>
      <c r="N1215" s="7">
        <v>1.5</v>
      </c>
      <c r="O1215" s="7">
        <v>16.3</v>
      </c>
      <c r="P1215" s="7">
        <v>4.4000000000000004</v>
      </c>
      <c r="Q1215" t="s">
        <v>62</v>
      </c>
      <c r="R1215" s="7" t="str">
        <f>TEXT(Table1[[#This Row],[Date]],"mmm yyyy")</f>
        <v>Sep 2025</v>
      </c>
      <c r="S1215" s="9">
        <f>YEAR(Table1[[#This Row],[Date]])</f>
        <v>2025</v>
      </c>
      <c r="T1215" s="9"/>
      <c r="U1215" s="9"/>
    </row>
    <row r="1216" spans="1:21" hidden="1" x14ac:dyDescent="0.3">
      <c r="A1216" t="s">
        <v>1840</v>
      </c>
      <c r="B1216" s="6">
        <v>46221</v>
      </c>
      <c r="C1216" t="s">
        <v>26</v>
      </c>
      <c r="D1216" t="s">
        <v>232</v>
      </c>
      <c r="E1216" t="s">
        <v>48</v>
      </c>
      <c r="F1216" t="s">
        <v>1841</v>
      </c>
      <c r="G1216" t="s">
        <v>50</v>
      </c>
      <c r="J1216" s="9">
        <v>0</v>
      </c>
      <c r="K1216" s="7">
        <v>0</v>
      </c>
      <c r="L1216" s="7">
        <v>0</v>
      </c>
      <c r="M1216" s="9">
        <v>1</v>
      </c>
      <c r="N1216" s="7">
        <v>8.1</v>
      </c>
      <c r="O1216" s="7">
        <v>6.9</v>
      </c>
      <c r="P1216" s="7">
        <v>3.6</v>
      </c>
      <c r="Q1216" t="s">
        <v>62</v>
      </c>
      <c r="R1216" s="7" t="str">
        <f>TEXT(Table1[[#This Row],[Date]],"mmm yyyy")</f>
        <v>Jul 2026</v>
      </c>
      <c r="S1216" s="9">
        <f>YEAR(Table1[[#This Row],[Date]])</f>
        <v>2026</v>
      </c>
      <c r="T1216" s="9"/>
      <c r="U1216" s="9"/>
    </row>
    <row r="1217" spans="1:21" x14ac:dyDescent="0.3">
      <c r="A1217" t="s">
        <v>1842</v>
      </c>
      <c r="B1217" s="6">
        <v>46150</v>
      </c>
      <c r="C1217" t="s">
        <v>18</v>
      </c>
      <c r="D1217" t="s">
        <v>41</v>
      </c>
      <c r="E1217" t="s">
        <v>42</v>
      </c>
      <c r="F1217" t="s">
        <v>1081</v>
      </c>
      <c r="G1217" t="s">
        <v>44</v>
      </c>
      <c r="H1217" t="s">
        <v>86</v>
      </c>
      <c r="I1217" t="s">
        <v>45</v>
      </c>
      <c r="J1217" s="9">
        <v>1</v>
      </c>
      <c r="K1217" s="7">
        <v>8300</v>
      </c>
      <c r="L1217" s="7">
        <v>0</v>
      </c>
      <c r="M1217" s="9"/>
      <c r="N1217" s="7">
        <v>22.2</v>
      </c>
      <c r="O1217" s="7"/>
      <c r="P1217" s="7"/>
      <c r="Q1217" t="s">
        <v>45</v>
      </c>
      <c r="R1217" s="7" t="str">
        <f>TEXT(Table1[[#This Row],[Date]],"mmm yyyy")</f>
        <v>May 2026</v>
      </c>
      <c r="S1217" s="9">
        <f>YEAR(Table1[[#This Row],[Date]])</f>
        <v>2026</v>
      </c>
      <c r="T1217" s="9"/>
      <c r="U1217" s="9"/>
    </row>
    <row r="1218" spans="1:21" x14ac:dyDescent="0.3">
      <c r="A1218" t="s">
        <v>1843</v>
      </c>
      <c r="B1218" s="6">
        <v>46011</v>
      </c>
      <c r="C1218" t="s">
        <v>18</v>
      </c>
      <c r="D1218" t="s">
        <v>47</v>
      </c>
      <c r="E1218" t="s">
        <v>37</v>
      </c>
      <c r="F1218" t="s">
        <v>288</v>
      </c>
      <c r="G1218" t="s">
        <v>22</v>
      </c>
      <c r="H1218" t="s">
        <v>23</v>
      </c>
      <c r="I1218" t="s">
        <v>55</v>
      </c>
      <c r="J1218" s="9">
        <v>1</v>
      </c>
      <c r="K1218" s="7">
        <v>9800</v>
      </c>
      <c r="L1218" s="7">
        <v>0</v>
      </c>
      <c r="M1218" s="9"/>
      <c r="N1218" s="7">
        <v>9.4</v>
      </c>
      <c r="O1218" s="7"/>
      <c r="P1218" s="7"/>
      <c r="Q1218" t="s">
        <v>55</v>
      </c>
      <c r="R1218" s="7" t="str">
        <f>TEXT(Table1[[#This Row],[Date]],"mmm yyyy")</f>
        <v>Dec 2025</v>
      </c>
      <c r="S1218" s="9">
        <f>YEAR(Table1[[#This Row],[Date]])</f>
        <v>2025</v>
      </c>
      <c r="T1218" s="9"/>
      <c r="U1218" s="9"/>
    </row>
    <row r="1219" spans="1:21" hidden="1" x14ac:dyDescent="0.3">
      <c r="A1219" t="s">
        <v>1844</v>
      </c>
      <c r="B1219" s="6">
        <v>46189</v>
      </c>
      <c r="C1219" t="s">
        <v>26</v>
      </c>
      <c r="D1219" t="s">
        <v>27</v>
      </c>
      <c r="E1219" t="s">
        <v>42</v>
      </c>
      <c r="F1219" t="s">
        <v>1845</v>
      </c>
      <c r="G1219" t="s">
        <v>44</v>
      </c>
      <c r="J1219" s="9">
        <v>0</v>
      </c>
      <c r="K1219" s="7">
        <v>0</v>
      </c>
      <c r="L1219" s="7">
        <v>0</v>
      </c>
      <c r="M1219" s="9">
        <v>1</v>
      </c>
      <c r="N1219" s="7">
        <v>7.4</v>
      </c>
      <c r="O1219" s="7">
        <v>2.4</v>
      </c>
      <c r="P1219" s="7">
        <v>3.8</v>
      </c>
      <c r="Q1219" t="s">
        <v>39</v>
      </c>
      <c r="R1219" s="7" t="str">
        <f>TEXT(Table1[[#This Row],[Date]],"mmm yyyy")</f>
        <v>Jun 2026</v>
      </c>
      <c r="S1219" s="9">
        <f>YEAR(Table1[[#This Row],[Date]])</f>
        <v>2026</v>
      </c>
      <c r="T1219" s="9"/>
      <c r="U1219" s="9"/>
    </row>
    <row r="1220" spans="1:21" hidden="1" x14ac:dyDescent="0.3">
      <c r="A1220" t="s">
        <v>1846</v>
      </c>
      <c r="B1220" s="6">
        <v>46259</v>
      </c>
      <c r="C1220" t="s">
        <v>26</v>
      </c>
      <c r="D1220" t="s">
        <v>33</v>
      </c>
      <c r="E1220" t="s">
        <v>28</v>
      </c>
      <c r="F1220" t="s">
        <v>442</v>
      </c>
      <c r="G1220" t="s">
        <v>50</v>
      </c>
      <c r="J1220" s="9">
        <v>0</v>
      </c>
      <c r="K1220" s="7">
        <v>0</v>
      </c>
      <c r="L1220" s="7">
        <v>0</v>
      </c>
      <c r="M1220" s="9">
        <v>1</v>
      </c>
      <c r="N1220" s="7">
        <v>8</v>
      </c>
      <c r="O1220" s="7">
        <v>6.7</v>
      </c>
      <c r="P1220" s="7">
        <v>3.8</v>
      </c>
      <c r="Q1220" t="s">
        <v>62</v>
      </c>
      <c r="R1220" s="7" t="str">
        <f>TEXT(Table1[[#This Row],[Date]],"mmm yyyy")</f>
        <v>Aug 2026</v>
      </c>
      <c r="S1220" s="9">
        <f>YEAR(Table1[[#This Row],[Date]])</f>
        <v>2026</v>
      </c>
      <c r="T1220" s="9"/>
      <c r="U1220" s="9"/>
    </row>
    <row r="1221" spans="1:21" x14ac:dyDescent="0.3">
      <c r="A1221" t="s">
        <v>1847</v>
      </c>
      <c r="B1221" s="6">
        <v>45955</v>
      </c>
      <c r="C1221" t="s">
        <v>18</v>
      </c>
      <c r="D1221" t="s">
        <v>95</v>
      </c>
      <c r="E1221" t="s">
        <v>28</v>
      </c>
      <c r="F1221" t="s">
        <v>1492</v>
      </c>
      <c r="G1221" t="s">
        <v>30</v>
      </c>
      <c r="H1221" t="s">
        <v>86</v>
      </c>
      <c r="I1221" t="s">
        <v>67</v>
      </c>
      <c r="J1221" s="9">
        <v>1</v>
      </c>
      <c r="K1221" s="7">
        <v>23100</v>
      </c>
      <c r="L1221" s="7">
        <v>0</v>
      </c>
      <c r="M1221" s="9"/>
      <c r="N1221" s="7">
        <v>10.8</v>
      </c>
      <c r="O1221" s="7"/>
      <c r="P1221" s="7"/>
      <c r="Q1221" t="s">
        <v>67</v>
      </c>
      <c r="R1221" s="7" t="str">
        <f>TEXT(Table1[[#This Row],[Date]],"mmm yyyy")</f>
        <v>Oct 2025</v>
      </c>
      <c r="S1221" s="9">
        <f>YEAR(Table1[[#This Row],[Date]])</f>
        <v>2025</v>
      </c>
      <c r="T1221" s="9"/>
      <c r="U1221" s="9"/>
    </row>
    <row r="1222" spans="1:21" hidden="1" x14ac:dyDescent="0.3">
      <c r="A1222" t="s">
        <v>1848</v>
      </c>
      <c r="B1222" s="6">
        <v>45967</v>
      </c>
      <c r="C1222" t="s">
        <v>26</v>
      </c>
      <c r="D1222" t="s">
        <v>72</v>
      </c>
      <c r="E1222" t="s">
        <v>37</v>
      </c>
      <c r="F1222" t="s">
        <v>1849</v>
      </c>
      <c r="G1222" t="s">
        <v>30</v>
      </c>
      <c r="J1222" s="9">
        <v>0</v>
      </c>
      <c r="K1222" s="7">
        <v>0</v>
      </c>
      <c r="L1222" s="7">
        <v>0</v>
      </c>
      <c r="M1222" s="9">
        <v>1</v>
      </c>
      <c r="N1222" s="7">
        <v>6.2</v>
      </c>
      <c r="O1222" s="7">
        <v>3</v>
      </c>
      <c r="P1222" s="7">
        <v>5</v>
      </c>
      <c r="Q1222" t="s">
        <v>39</v>
      </c>
      <c r="R1222" s="7" t="str">
        <f>TEXT(Table1[[#This Row],[Date]],"mmm yyyy")</f>
        <v>Nov 2025</v>
      </c>
      <c r="S1222" s="9">
        <f>YEAR(Table1[[#This Row],[Date]])</f>
        <v>2025</v>
      </c>
      <c r="T1222" s="9"/>
      <c r="U1222" s="9"/>
    </row>
    <row r="1223" spans="1:21" x14ac:dyDescent="0.3">
      <c r="A1223" t="s">
        <v>1850</v>
      </c>
      <c r="B1223" s="6">
        <v>46077</v>
      </c>
      <c r="C1223" t="s">
        <v>18</v>
      </c>
      <c r="D1223" t="s">
        <v>95</v>
      </c>
      <c r="E1223" t="s">
        <v>20</v>
      </c>
      <c r="F1223" t="s">
        <v>984</v>
      </c>
      <c r="G1223" t="s">
        <v>50</v>
      </c>
      <c r="H1223" t="s">
        <v>86</v>
      </c>
      <c r="I1223" t="s">
        <v>24</v>
      </c>
      <c r="J1223" s="9">
        <v>1</v>
      </c>
      <c r="K1223" s="7">
        <v>40400</v>
      </c>
      <c r="L1223" s="7">
        <v>40400</v>
      </c>
      <c r="M1223" s="9"/>
      <c r="N1223" s="7">
        <v>23.3</v>
      </c>
      <c r="O1223" s="7"/>
      <c r="P1223" s="7"/>
      <c r="Q1223" t="s">
        <v>24</v>
      </c>
      <c r="R1223" s="7" t="str">
        <f>TEXT(Table1[[#This Row],[Date]],"mmm yyyy")</f>
        <v>Feb 2026</v>
      </c>
      <c r="S1223" s="9">
        <f>YEAR(Table1[[#This Row],[Date]])</f>
        <v>2026</v>
      </c>
      <c r="T1223" s="9"/>
      <c r="U1223" s="9"/>
    </row>
    <row r="1224" spans="1:21" x14ac:dyDescent="0.3">
      <c r="A1224" t="s">
        <v>1851</v>
      </c>
      <c r="B1224" s="6">
        <v>46068</v>
      </c>
      <c r="C1224" t="s">
        <v>18</v>
      </c>
      <c r="D1224" t="s">
        <v>117</v>
      </c>
      <c r="E1224" t="s">
        <v>28</v>
      </c>
      <c r="F1224" t="s">
        <v>1852</v>
      </c>
      <c r="G1224" t="s">
        <v>22</v>
      </c>
      <c r="H1224" t="s">
        <v>86</v>
      </c>
      <c r="I1224" t="s">
        <v>55</v>
      </c>
      <c r="J1224" s="9">
        <v>1</v>
      </c>
      <c r="K1224" s="7">
        <v>21400</v>
      </c>
      <c r="L1224" s="7">
        <v>0</v>
      </c>
      <c r="M1224" s="9"/>
      <c r="N1224" s="7">
        <v>21.6</v>
      </c>
      <c r="O1224" s="7"/>
      <c r="P1224" s="7"/>
      <c r="Q1224" t="s">
        <v>55</v>
      </c>
      <c r="R1224" s="7" t="str">
        <f>TEXT(Table1[[#This Row],[Date]],"mmm yyyy")</f>
        <v>Feb 2026</v>
      </c>
      <c r="S1224" s="9">
        <f>YEAR(Table1[[#This Row],[Date]])</f>
        <v>2026</v>
      </c>
      <c r="T1224" s="9"/>
      <c r="U1224" s="9"/>
    </row>
    <row r="1225" spans="1:21" hidden="1" x14ac:dyDescent="0.3">
      <c r="A1225" t="s">
        <v>1853</v>
      </c>
      <c r="B1225" s="6">
        <v>45963</v>
      </c>
      <c r="C1225" t="s">
        <v>26</v>
      </c>
      <c r="D1225" t="s">
        <v>114</v>
      </c>
      <c r="E1225" t="s">
        <v>20</v>
      </c>
      <c r="F1225" t="s">
        <v>61</v>
      </c>
      <c r="G1225" t="s">
        <v>30</v>
      </c>
      <c r="J1225" s="9">
        <v>0</v>
      </c>
      <c r="K1225" s="7">
        <v>0</v>
      </c>
      <c r="L1225" s="7">
        <v>0</v>
      </c>
      <c r="M1225" s="9">
        <v>1</v>
      </c>
      <c r="N1225" s="7">
        <v>6.2</v>
      </c>
      <c r="O1225" s="7">
        <v>27.8</v>
      </c>
      <c r="P1225" s="7">
        <v>3.5</v>
      </c>
      <c r="Q1225" t="s">
        <v>39</v>
      </c>
      <c r="R1225" s="7" t="str">
        <f>TEXT(Table1[[#This Row],[Date]],"mmm yyyy")</f>
        <v>Nov 2025</v>
      </c>
      <c r="S1225" s="9">
        <f>YEAR(Table1[[#This Row],[Date]])</f>
        <v>2025</v>
      </c>
      <c r="T1225" s="9"/>
      <c r="U1225" s="9"/>
    </row>
    <row r="1226" spans="1:21" x14ac:dyDescent="0.3">
      <c r="A1226" t="s">
        <v>1854</v>
      </c>
      <c r="B1226" s="6">
        <v>46075</v>
      </c>
      <c r="C1226" t="s">
        <v>18</v>
      </c>
      <c r="D1226" t="s">
        <v>19</v>
      </c>
      <c r="E1226" t="s">
        <v>37</v>
      </c>
      <c r="F1226" t="s">
        <v>832</v>
      </c>
      <c r="G1226" t="s">
        <v>22</v>
      </c>
      <c r="H1226" t="s">
        <v>23</v>
      </c>
      <c r="I1226" t="s">
        <v>89</v>
      </c>
      <c r="J1226" s="9">
        <v>1</v>
      </c>
      <c r="K1226" s="7">
        <v>67700</v>
      </c>
      <c r="L1226" s="7">
        <v>0</v>
      </c>
      <c r="M1226" s="9"/>
      <c r="N1226" s="7">
        <v>11.9</v>
      </c>
      <c r="O1226" s="7"/>
      <c r="P1226" s="7"/>
      <c r="Q1226" t="s">
        <v>89</v>
      </c>
      <c r="R1226" s="7" t="str">
        <f>TEXT(Table1[[#This Row],[Date]],"mmm yyyy")</f>
        <v>Feb 2026</v>
      </c>
      <c r="S1226" s="9">
        <f>YEAR(Table1[[#This Row],[Date]])</f>
        <v>2026</v>
      </c>
      <c r="T1226" s="9"/>
      <c r="U1226" s="9"/>
    </row>
    <row r="1227" spans="1:21" hidden="1" x14ac:dyDescent="0.3">
      <c r="A1227" t="s">
        <v>1855</v>
      </c>
      <c r="B1227" s="6">
        <v>46216</v>
      </c>
      <c r="C1227" t="s">
        <v>26</v>
      </c>
      <c r="D1227" t="s">
        <v>126</v>
      </c>
      <c r="E1227" t="s">
        <v>20</v>
      </c>
      <c r="F1227" t="s">
        <v>1856</v>
      </c>
      <c r="G1227" t="s">
        <v>30</v>
      </c>
      <c r="J1227" s="9">
        <v>0</v>
      </c>
      <c r="K1227" s="7">
        <v>0</v>
      </c>
      <c r="L1227" s="7">
        <v>0</v>
      </c>
      <c r="M1227" s="9">
        <v>1</v>
      </c>
      <c r="N1227" s="7">
        <v>2.8</v>
      </c>
      <c r="O1227" s="7">
        <v>5.2</v>
      </c>
      <c r="P1227" s="7">
        <v>4</v>
      </c>
      <c r="Q1227" t="s">
        <v>39</v>
      </c>
      <c r="R1227" s="7" t="str">
        <f>TEXT(Table1[[#This Row],[Date]],"mmm yyyy")</f>
        <v>Jul 2026</v>
      </c>
      <c r="S1227" s="9">
        <f>YEAR(Table1[[#This Row],[Date]])</f>
        <v>2026</v>
      </c>
      <c r="T1227" s="9"/>
      <c r="U1227" s="9"/>
    </row>
    <row r="1228" spans="1:21" x14ac:dyDescent="0.3">
      <c r="A1228" t="s">
        <v>1857</v>
      </c>
      <c r="B1228" s="6">
        <v>46039</v>
      </c>
      <c r="C1228" t="s">
        <v>18</v>
      </c>
      <c r="D1228" t="s">
        <v>19</v>
      </c>
      <c r="E1228" t="s">
        <v>42</v>
      </c>
      <c r="F1228" t="s">
        <v>1730</v>
      </c>
      <c r="G1228" t="s">
        <v>44</v>
      </c>
      <c r="H1228" t="s">
        <v>78</v>
      </c>
      <c r="I1228" t="s">
        <v>55</v>
      </c>
      <c r="J1228" s="9">
        <v>1</v>
      </c>
      <c r="K1228" s="7">
        <v>10700</v>
      </c>
      <c r="L1228" s="7">
        <v>0</v>
      </c>
      <c r="M1228" s="9"/>
      <c r="N1228" s="7">
        <v>22.5</v>
      </c>
      <c r="O1228" s="7"/>
      <c r="P1228" s="7"/>
      <c r="Q1228" t="s">
        <v>55</v>
      </c>
      <c r="R1228" s="7" t="str">
        <f>TEXT(Table1[[#This Row],[Date]],"mmm yyyy")</f>
        <v>Jan 2026</v>
      </c>
      <c r="S1228" s="9">
        <f>YEAR(Table1[[#This Row],[Date]])</f>
        <v>2026</v>
      </c>
      <c r="T1228" s="9"/>
      <c r="U1228" s="9"/>
    </row>
    <row r="1229" spans="1:21" x14ac:dyDescent="0.3">
      <c r="A1229" t="s">
        <v>1858</v>
      </c>
      <c r="B1229" s="6">
        <v>45916</v>
      </c>
      <c r="C1229" t="s">
        <v>18</v>
      </c>
      <c r="D1229" t="s">
        <v>117</v>
      </c>
      <c r="E1229" t="s">
        <v>28</v>
      </c>
      <c r="F1229" t="s">
        <v>694</v>
      </c>
      <c r="G1229" t="s">
        <v>22</v>
      </c>
      <c r="H1229" t="s">
        <v>23</v>
      </c>
      <c r="I1229" t="s">
        <v>55</v>
      </c>
      <c r="J1229" s="9">
        <v>1</v>
      </c>
      <c r="K1229" s="7">
        <v>51200</v>
      </c>
      <c r="L1229" s="7">
        <v>0</v>
      </c>
      <c r="M1229" s="9"/>
      <c r="N1229" s="7">
        <v>18.7</v>
      </c>
      <c r="O1229" s="7"/>
      <c r="P1229" s="7"/>
      <c r="Q1229" t="s">
        <v>55</v>
      </c>
      <c r="R1229" s="7" t="str">
        <f>TEXT(Table1[[#This Row],[Date]],"mmm yyyy")</f>
        <v>Sep 2025</v>
      </c>
      <c r="S1229" s="9">
        <f>YEAR(Table1[[#This Row],[Date]])</f>
        <v>2025</v>
      </c>
      <c r="T1229" s="9"/>
      <c r="U1229" s="9"/>
    </row>
    <row r="1230" spans="1:21" hidden="1" x14ac:dyDescent="0.3">
      <c r="A1230" t="s">
        <v>1859</v>
      </c>
      <c r="B1230" s="6">
        <v>46058</v>
      </c>
      <c r="C1230" t="s">
        <v>26</v>
      </c>
      <c r="D1230" t="s">
        <v>126</v>
      </c>
      <c r="E1230" t="s">
        <v>28</v>
      </c>
      <c r="F1230" t="s">
        <v>502</v>
      </c>
      <c r="G1230" t="s">
        <v>30</v>
      </c>
      <c r="J1230" s="9">
        <v>0</v>
      </c>
      <c r="K1230" s="7">
        <v>0</v>
      </c>
      <c r="L1230" s="7">
        <v>0</v>
      </c>
      <c r="M1230" s="9">
        <v>1</v>
      </c>
      <c r="N1230" s="7">
        <v>11.5</v>
      </c>
      <c r="O1230" s="7">
        <v>3.1</v>
      </c>
      <c r="P1230" s="7">
        <v>4.5999999999999996</v>
      </c>
      <c r="Q1230" t="s">
        <v>39</v>
      </c>
      <c r="R1230" s="7" t="str">
        <f>TEXT(Table1[[#This Row],[Date]],"mmm yyyy")</f>
        <v>Feb 2026</v>
      </c>
      <c r="S1230" s="9">
        <f>YEAR(Table1[[#This Row],[Date]])</f>
        <v>2026</v>
      </c>
      <c r="T1230" s="9"/>
      <c r="U1230" s="9"/>
    </row>
    <row r="1231" spans="1:21" x14ac:dyDescent="0.3">
      <c r="A1231" t="s">
        <v>1860</v>
      </c>
      <c r="B1231" s="6">
        <v>45993</v>
      </c>
      <c r="C1231" t="s">
        <v>18</v>
      </c>
      <c r="D1231" t="s">
        <v>52</v>
      </c>
      <c r="E1231" t="s">
        <v>20</v>
      </c>
      <c r="F1231" t="s">
        <v>1861</v>
      </c>
      <c r="G1231" t="s">
        <v>30</v>
      </c>
      <c r="H1231" t="s">
        <v>78</v>
      </c>
      <c r="I1231" t="s">
        <v>55</v>
      </c>
      <c r="J1231" s="9">
        <v>1</v>
      </c>
      <c r="K1231" s="7">
        <v>36600</v>
      </c>
      <c r="L1231" s="7">
        <v>0</v>
      </c>
      <c r="M1231" s="9"/>
      <c r="N1231" s="7">
        <v>22.2</v>
      </c>
      <c r="O1231" s="7"/>
      <c r="P1231" s="7"/>
      <c r="Q1231" t="s">
        <v>55</v>
      </c>
      <c r="R1231" s="7" t="str">
        <f>TEXT(Table1[[#This Row],[Date]],"mmm yyyy")</f>
        <v>Dec 2025</v>
      </c>
      <c r="S1231" s="9">
        <f>YEAR(Table1[[#This Row],[Date]])</f>
        <v>2025</v>
      </c>
      <c r="T1231" s="9"/>
      <c r="U1231" s="9"/>
    </row>
    <row r="1232" spans="1:21" hidden="1" x14ac:dyDescent="0.3">
      <c r="A1232" t="s">
        <v>1862</v>
      </c>
      <c r="B1232" s="6">
        <v>46118</v>
      </c>
      <c r="C1232" t="s">
        <v>26</v>
      </c>
      <c r="D1232" t="s">
        <v>27</v>
      </c>
      <c r="E1232" t="s">
        <v>28</v>
      </c>
      <c r="F1232" t="s">
        <v>1169</v>
      </c>
      <c r="G1232" t="s">
        <v>22</v>
      </c>
      <c r="J1232" s="9">
        <v>0</v>
      </c>
      <c r="K1232" s="7">
        <v>0</v>
      </c>
      <c r="L1232" s="7">
        <v>0</v>
      </c>
      <c r="M1232" s="9">
        <v>1</v>
      </c>
      <c r="N1232" s="7">
        <v>1</v>
      </c>
      <c r="O1232" s="7">
        <v>7.9</v>
      </c>
      <c r="P1232" s="7">
        <v>4.2</v>
      </c>
      <c r="Q1232" t="s">
        <v>62</v>
      </c>
      <c r="R1232" s="7" t="str">
        <f>TEXT(Table1[[#This Row],[Date]],"mmm yyyy")</f>
        <v>Apr 2026</v>
      </c>
      <c r="S1232" s="9">
        <f>YEAR(Table1[[#This Row],[Date]])</f>
        <v>2026</v>
      </c>
      <c r="T1232" s="9"/>
      <c r="U1232" s="9"/>
    </row>
    <row r="1233" spans="1:21" x14ac:dyDescent="0.3">
      <c r="A1233" t="s">
        <v>1863</v>
      </c>
      <c r="B1233" s="6">
        <v>46115</v>
      </c>
      <c r="C1233" t="s">
        <v>18</v>
      </c>
      <c r="D1233" t="s">
        <v>64</v>
      </c>
      <c r="E1233" t="s">
        <v>37</v>
      </c>
      <c r="F1233" t="s">
        <v>1864</v>
      </c>
      <c r="G1233" t="s">
        <v>30</v>
      </c>
      <c r="H1233" t="s">
        <v>23</v>
      </c>
      <c r="I1233" t="s">
        <v>89</v>
      </c>
      <c r="J1233" s="9">
        <v>1</v>
      </c>
      <c r="K1233" s="7">
        <v>38900</v>
      </c>
      <c r="L1233" s="7">
        <v>0</v>
      </c>
      <c r="M1233" s="9"/>
      <c r="N1233" s="7">
        <v>7.4</v>
      </c>
      <c r="O1233" s="7"/>
      <c r="P1233" s="7"/>
      <c r="Q1233" t="s">
        <v>89</v>
      </c>
      <c r="R1233" s="7" t="str">
        <f>TEXT(Table1[[#This Row],[Date]],"mmm yyyy")</f>
        <v>Apr 2026</v>
      </c>
      <c r="S1233" s="9">
        <f>YEAR(Table1[[#This Row],[Date]])</f>
        <v>2026</v>
      </c>
      <c r="T1233" s="9"/>
      <c r="U1233" s="9"/>
    </row>
    <row r="1234" spans="1:21" x14ac:dyDescent="0.3">
      <c r="A1234" t="s">
        <v>1865</v>
      </c>
      <c r="B1234" s="6">
        <v>46146</v>
      </c>
      <c r="C1234" t="s">
        <v>18</v>
      </c>
      <c r="D1234" t="s">
        <v>64</v>
      </c>
      <c r="E1234" t="s">
        <v>20</v>
      </c>
      <c r="F1234" t="s">
        <v>1205</v>
      </c>
      <c r="G1234" t="s">
        <v>30</v>
      </c>
      <c r="H1234" t="s">
        <v>78</v>
      </c>
      <c r="I1234" t="s">
        <v>79</v>
      </c>
      <c r="J1234" s="9">
        <v>1</v>
      </c>
      <c r="K1234" s="7">
        <v>39000</v>
      </c>
      <c r="L1234" s="7">
        <v>0</v>
      </c>
      <c r="M1234" s="9"/>
      <c r="N1234" s="7">
        <v>5.4</v>
      </c>
      <c r="O1234" s="7"/>
      <c r="P1234" s="7"/>
      <c r="Q1234" t="s">
        <v>79</v>
      </c>
      <c r="R1234" s="7" t="str">
        <f>TEXT(Table1[[#This Row],[Date]],"mmm yyyy")</f>
        <v>May 2026</v>
      </c>
      <c r="S1234" s="9">
        <f>YEAR(Table1[[#This Row],[Date]])</f>
        <v>2026</v>
      </c>
      <c r="T1234" s="9"/>
      <c r="U1234" s="9"/>
    </row>
    <row r="1235" spans="1:21" x14ac:dyDescent="0.3">
      <c r="A1235" t="s">
        <v>1866</v>
      </c>
      <c r="B1235" s="6">
        <v>46118</v>
      </c>
      <c r="C1235" t="s">
        <v>18</v>
      </c>
      <c r="D1235" t="s">
        <v>52</v>
      </c>
      <c r="E1235" t="s">
        <v>37</v>
      </c>
      <c r="F1235" t="s">
        <v>1115</v>
      </c>
      <c r="G1235" t="s">
        <v>50</v>
      </c>
      <c r="H1235" t="s">
        <v>78</v>
      </c>
      <c r="I1235" t="s">
        <v>89</v>
      </c>
      <c r="J1235" s="9">
        <v>1</v>
      </c>
      <c r="K1235" s="7">
        <v>9500</v>
      </c>
      <c r="L1235" s="7">
        <v>0</v>
      </c>
      <c r="M1235" s="9"/>
      <c r="N1235" s="7">
        <v>7.3</v>
      </c>
      <c r="O1235" s="7"/>
      <c r="P1235" s="7"/>
      <c r="Q1235" t="s">
        <v>89</v>
      </c>
      <c r="R1235" s="7" t="str">
        <f>TEXT(Table1[[#This Row],[Date]],"mmm yyyy")</f>
        <v>Apr 2026</v>
      </c>
      <c r="S1235" s="9">
        <f>YEAR(Table1[[#This Row],[Date]])</f>
        <v>2026</v>
      </c>
      <c r="T1235" s="9"/>
      <c r="U1235" s="9"/>
    </row>
    <row r="1236" spans="1:21" hidden="1" x14ac:dyDescent="0.3">
      <c r="A1236" t="s">
        <v>1867</v>
      </c>
      <c r="B1236" s="6">
        <v>46254</v>
      </c>
      <c r="C1236" t="s">
        <v>26</v>
      </c>
      <c r="D1236" t="s">
        <v>114</v>
      </c>
      <c r="E1236" t="s">
        <v>28</v>
      </c>
      <c r="F1236" t="s">
        <v>687</v>
      </c>
      <c r="G1236" t="s">
        <v>30</v>
      </c>
      <c r="J1236" s="9">
        <v>0</v>
      </c>
      <c r="K1236" s="7">
        <v>0</v>
      </c>
      <c r="L1236" s="7">
        <v>0</v>
      </c>
      <c r="M1236" s="9">
        <v>1</v>
      </c>
      <c r="N1236" s="7">
        <v>8.1</v>
      </c>
      <c r="O1236" s="7">
        <v>4.8</v>
      </c>
      <c r="P1236" s="7">
        <v>3.3</v>
      </c>
      <c r="Q1236" t="s">
        <v>39</v>
      </c>
      <c r="R1236" s="7" t="str">
        <f>TEXT(Table1[[#This Row],[Date]],"mmm yyyy")</f>
        <v>Aug 2026</v>
      </c>
      <c r="S1236" s="9">
        <f>YEAR(Table1[[#This Row],[Date]])</f>
        <v>2026</v>
      </c>
      <c r="T1236" s="9"/>
      <c r="U1236" s="9"/>
    </row>
    <row r="1237" spans="1:21" x14ac:dyDescent="0.3">
      <c r="A1237" t="s">
        <v>1868</v>
      </c>
      <c r="B1237" s="6">
        <v>45923</v>
      </c>
      <c r="C1237" t="s">
        <v>18</v>
      </c>
      <c r="D1237" t="s">
        <v>105</v>
      </c>
      <c r="E1237" t="s">
        <v>20</v>
      </c>
      <c r="F1237" t="s">
        <v>1869</v>
      </c>
      <c r="G1237" t="s">
        <v>30</v>
      </c>
      <c r="H1237" t="s">
        <v>66</v>
      </c>
      <c r="I1237" t="s">
        <v>79</v>
      </c>
      <c r="J1237" s="9">
        <v>1</v>
      </c>
      <c r="K1237" s="7">
        <v>5000</v>
      </c>
      <c r="L1237" s="7">
        <v>0</v>
      </c>
      <c r="M1237" s="9"/>
      <c r="N1237" s="7">
        <v>3.8</v>
      </c>
      <c r="O1237" s="7"/>
      <c r="P1237" s="7"/>
      <c r="Q1237" t="s">
        <v>79</v>
      </c>
      <c r="R1237" s="7" t="str">
        <f>TEXT(Table1[[#This Row],[Date]],"mmm yyyy")</f>
        <v>Sep 2025</v>
      </c>
      <c r="S1237" s="9">
        <f>YEAR(Table1[[#This Row],[Date]])</f>
        <v>2025</v>
      </c>
      <c r="T1237" s="9"/>
      <c r="U1237" s="9"/>
    </row>
    <row r="1238" spans="1:21" hidden="1" x14ac:dyDescent="0.3">
      <c r="A1238" t="s">
        <v>1870</v>
      </c>
      <c r="B1238" s="6">
        <v>46228</v>
      </c>
      <c r="C1238" t="s">
        <v>26</v>
      </c>
      <c r="D1238" t="s">
        <v>27</v>
      </c>
      <c r="E1238" t="s">
        <v>37</v>
      </c>
      <c r="F1238" t="s">
        <v>1081</v>
      </c>
      <c r="G1238" t="s">
        <v>22</v>
      </c>
      <c r="J1238" s="9">
        <v>0</v>
      </c>
      <c r="K1238" s="7">
        <v>0</v>
      </c>
      <c r="L1238" s="7">
        <v>0</v>
      </c>
      <c r="M1238" s="9">
        <v>1</v>
      </c>
      <c r="N1238" s="7">
        <v>7</v>
      </c>
      <c r="O1238" s="7">
        <v>17.3</v>
      </c>
      <c r="P1238" s="7">
        <v>4.9000000000000004</v>
      </c>
      <c r="Q1238" t="s">
        <v>39</v>
      </c>
      <c r="R1238" s="7" t="str">
        <f>TEXT(Table1[[#This Row],[Date]],"mmm yyyy")</f>
        <v>Jul 2026</v>
      </c>
      <c r="S1238" s="9">
        <f>YEAR(Table1[[#This Row],[Date]])</f>
        <v>2026</v>
      </c>
      <c r="T1238" s="9"/>
      <c r="U1238" s="9"/>
    </row>
    <row r="1239" spans="1:21" x14ac:dyDescent="0.3">
      <c r="A1239" t="s">
        <v>1871</v>
      </c>
      <c r="B1239" s="6">
        <v>45997</v>
      </c>
      <c r="C1239" t="s">
        <v>18</v>
      </c>
      <c r="D1239" t="s">
        <v>19</v>
      </c>
      <c r="E1239" t="s">
        <v>42</v>
      </c>
      <c r="F1239" t="s">
        <v>402</v>
      </c>
      <c r="G1239" t="s">
        <v>22</v>
      </c>
      <c r="H1239" t="s">
        <v>66</v>
      </c>
      <c r="I1239" t="s">
        <v>55</v>
      </c>
      <c r="J1239" s="9">
        <v>1</v>
      </c>
      <c r="K1239" s="7">
        <v>22100</v>
      </c>
      <c r="L1239" s="7">
        <v>0</v>
      </c>
      <c r="M1239" s="9"/>
      <c r="N1239" s="7">
        <v>19.100000000000001</v>
      </c>
      <c r="O1239" s="7"/>
      <c r="P1239" s="7"/>
      <c r="Q1239" t="s">
        <v>55</v>
      </c>
      <c r="R1239" s="7" t="str">
        <f>TEXT(Table1[[#This Row],[Date]],"mmm yyyy")</f>
        <v>Dec 2025</v>
      </c>
      <c r="S1239" s="9">
        <f>YEAR(Table1[[#This Row],[Date]])</f>
        <v>2025</v>
      </c>
      <c r="T1239" s="9"/>
      <c r="U1239" s="9"/>
    </row>
    <row r="1240" spans="1:21" hidden="1" x14ac:dyDescent="0.3">
      <c r="A1240" t="s">
        <v>1872</v>
      </c>
      <c r="B1240" s="6">
        <v>45931</v>
      </c>
      <c r="C1240" t="s">
        <v>26</v>
      </c>
      <c r="D1240" t="s">
        <v>36</v>
      </c>
      <c r="E1240" t="s">
        <v>42</v>
      </c>
      <c r="F1240" t="s">
        <v>626</v>
      </c>
      <c r="G1240" t="s">
        <v>44</v>
      </c>
      <c r="J1240" s="9">
        <v>0</v>
      </c>
      <c r="K1240" s="7">
        <v>0</v>
      </c>
      <c r="L1240" s="7">
        <v>0</v>
      </c>
      <c r="M1240" s="9">
        <v>1</v>
      </c>
      <c r="N1240" s="7">
        <v>11.3</v>
      </c>
      <c r="O1240" s="7">
        <v>4.3</v>
      </c>
      <c r="P1240" s="7">
        <v>3.1</v>
      </c>
      <c r="Q1240" t="s">
        <v>39</v>
      </c>
      <c r="R1240" s="7" t="str">
        <f>TEXT(Table1[[#This Row],[Date]],"mmm yyyy")</f>
        <v>Oct 2025</v>
      </c>
      <c r="S1240" s="9">
        <f>YEAR(Table1[[#This Row],[Date]])</f>
        <v>2025</v>
      </c>
      <c r="T1240" s="9"/>
      <c r="U1240" s="9"/>
    </row>
    <row r="1241" spans="1:21" x14ac:dyDescent="0.3">
      <c r="A1241" t="s">
        <v>1873</v>
      </c>
      <c r="B1241" s="6">
        <v>45912</v>
      </c>
      <c r="C1241" t="s">
        <v>18</v>
      </c>
      <c r="D1241" t="s">
        <v>64</v>
      </c>
      <c r="E1241" t="s">
        <v>20</v>
      </c>
      <c r="F1241" t="s">
        <v>1874</v>
      </c>
      <c r="G1241" t="s">
        <v>22</v>
      </c>
      <c r="H1241" t="s">
        <v>86</v>
      </c>
      <c r="I1241" t="s">
        <v>45</v>
      </c>
      <c r="J1241" s="9">
        <v>1</v>
      </c>
      <c r="K1241" s="7">
        <v>28200</v>
      </c>
      <c r="L1241" s="7">
        <v>0</v>
      </c>
      <c r="M1241" s="9"/>
      <c r="N1241" s="7">
        <v>13.1</v>
      </c>
      <c r="O1241" s="7"/>
      <c r="P1241" s="7"/>
      <c r="Q1241" t="s">
        <v>45</v>
      </c>
      <c r="R1241" s="7" t="str">
        <f>TEXT(Table1[[#This Row],[Date]],"mmm yyyy")</f>
        <v>Sep 2025</v>
      </c>
      <c r="S1241" s="9">
        <f>YEAR(Table1[[#This Row],[Date]])</f>
        <v>2025</v>
      </c>
      <c r="T1241" s="9"/>
      <c r="U1241" s="9"/>
    </row>
    <row r="1242" spans="1:21" hidden="1" x14ac:dyDescent="0.3">
      <c r="A1242" t="s">
        <v>1875</v>
      </c>
      <c r="B1242" s="6">
        <v>46080</v>
      </c>
      <c r="C1242" t="s">
        <v>26</v>
      </c>
      <c r="D1242" t="s">
        <v>232</v>
      </c>
      <c r="E1242" t="s">
        <v>20</v>
      </c>
      <c r="F1242" t="s">
        <v>1814</v>
      </c>
      <c r="G1242" t="s">
        <v>22</v>
      </c>
      <c r="J1242" s="9">
        <v>0</v>
      </c>
      <c r="K1242" s="7">
        <v>0</v>
      </c>
      <c r="L1242" s="7">
        <v>0</v>
      </c>
      <c r="M1242" s="9">
        <v>1</v>
      </c>
      <c r="N1242" s="7">
        <v>5.6</v>
      </c>
      <c r="O1242" s="7">
        <v>15.6</v>
      </c>
      <c r="P1242" s="7">
        <v>3.6</v>
      </c>
      <c r="Q1242" t="s">
        <v>62</v>
      </c>
      <c r="R1242" s="7" t="str">
        <f>TEXT(Table1[[#This Row],[Date]],"mmm yyyy")</f>
        <v>Feb 2026</v>
      </c>
      <c r="S1242" s="9">
        <f>YEAR(Table1[[#This Row],[Date]])</f>
        <v>2026</v>
      </c>
      <c r="T1242" s="9"/>
      <c r="U1242" s="9"/>
    </row>
    <row r="1243" spans="1:21" hidden="1" x14ac:dyDescent="0.3">
      <c r="A1243" t="s">
        <v>1876</v>
      </c>
      <c r="B1243" s="6">
        <v>46027</v>
      </c>
      <c r="C1243" t="s">
        <v>26</v>
      </c>
      <c r="D1243" t="s">
        <v>232</v>
      </c>
      <c r="E1243" t="s">
        <v>20</v>
      </c>
      <c r="F1243" t="s">
        <v>1877</v>
      </c>
      <c r="G1243" t="s">
        <v>44</v>
      </c>
      <c r="J1243" s="9">
        <v>0</v>
      </c>
      <c r="K1243" s="7">
        <v>0</v>
      </c>
      <c r="L1243" s="7">
        <v>0</v>
      </c>
      <c r="M1243" s="9">
        <v>1</v>
      </c>
      <c r="N1243" s="7">
        <v>4.3</v>
      </c>
      <c r="O1243" s="7">
        <v>5.4</v>
      </c>
      <c r="P1243" s="7">
        <v>4.7</v>
      </c>
      <c r="Q1243" t="s">
        <v>39</v>
      </c>
      <c r="R1243" s="7" t="str">
        <f>TEXT(Table1[[#This Row],[Date]],"mmm yyyy")</f>
        <v>Jan 2026</v>
      </c>
      <c r="S1243" s="9">
        <f>YEAR(Table1[[#This Row],[Date]])</f>
        <v>2026</v>
      </c>
      <c r="T1243" s="9"/>
      <c r="U1243" s="9"/>
    </row>
    <row r="1244" spans="1:21" hidden="1" x14ac:dyDescent="0.3">
      <c r="A1244" t="s">
        <v>1878</v>
      </c>
      <c r="B1244" s="6">
        <v>46241</v>
      </c>
      <c r="C1244" t="s">
        <v>26</v>
      </c>
      <c r="D1244" t="s">
        <v>126</v>
      </c>
      <c r="E1244" t="s">
        <v>48</v>
      </c>
      <c r="F1244" t="s">
        <v>643</v>
      </c>
      <c r="G1244" t="s">
        <v>50</v>
      </c>
      <c r="J1244" s="9">
        <v>0</v>
      </c>
      <c r="K1244" s="7">
        <v>0</v>
      </c>
      <c r="L1244" s="7">
        <v>0</v>
      </c>
      <c r="M1244" s="9">
        <v>1</v>
      </c>
      <c r="N1244" s="7">
        <v>8.3000000000000007</v>
      </c>
      <c r="O1244" s="7">
        <v>8.5</v>
      </c>
      <c r="P1244" s="7">
        <v>3.8</v>
      </c>
      <c r="Q1244" t="s">
        <v>39</v>
      </c>
      <c r="R1244" s="7" t="str">
        <f>TEXT(Table1[[#This Row],[Date]],"mmm yyyy")</f>
        <v>Aug 2026</v>
      </c>
      <c r="S1244" s="9">
        <f>YEAR(Table1[[#This Row],[Date]])</f>
        <v>2026</v>
      </c>
      <c r="T1244" s="9"/>
      <c r="U1244" s="9"/>
    </row>
    <row r="1245" spans="1:21" hidden="1" x14ac:dyDescent="0.3">
      <c r="A1245" t="s">
        <v>1879</v>
      </c>
      <c r="B1245" s="6">
        <v>46116</v>
      </c>
      <c r="C1245" t="s">
        <v>26</v>
      </c>
      <c r="D1245" t="s">
        <v>114</v>
      </c>
      <c r="E1245" t="s">
        <v>20</v>
      </c>
      <c r="F1245" t="s">
        <v>164</v>
      </c>
      <c r="G1245" t="s">
        <v>44</v>
      </c>
      <c r="J1245" s="9">
        <v>0</v>
      </c>
      <c r="K1245" s="7">
        <v>0</v>
      </c>
      <c r="L1245" s="7">
        <v>0</v>
      </c>
      <c r="M1245" s="9">
        <v>1</v>
      </c>
      <c r="N1245" s="7">
        <v>10.6</v>
      </c>
      <c r="O1245" s="7">
        <v>26</v>
      </c>
      <c r="P1245" s="7">
        <v>4.4000000000000004</v>
      </c>
      <c r="Q1245" t="s">
        <v>31</v>
      </c>
      <c r="R1245" s="7" t="str">
        <f>TEXT(Table1[[#This Row],[Date]],"mmm yyyy")</f>
        <v>Apr 2026</v>
      </c>
      <c r="S1245" s="9">
        <f>YEAR(Table1[[#This Row],[Date]])</f>
        <v>2026</v>
      </c>
      <c r="T1245" s="9"/>
      <c r="U1245" s="9"/>
    </row>
    <row r="1246" spans="1:21" hidden="1" x14ac:dyDescent="0.3">
      <c r="A1246" t="s">
        <v>1880</v>
      </c>
      <c r="B1246" s="6">
        <v>46205</v>
      </c>
      <c r="C1246" t="s">
        <v>26</v>
      </c>
      <c r="D1246" t="s">
        <v>114</v>
      </c>
      <c r="E1246" t="s">
        <v>37</v>
      </c>
      <c r="F1246" t="s">
        <v>1881</v>
      </c>
      <c r="G1246" t="s">
        <v>44</v>
      </c>
      <c r="J1246" s="9">
        <v>0</v>
      </c>
      <c r="K1246" s="7">
        <v>0</v>
      </c>
      <c r="L1246" s="7">
        <v>0</v>
      </c>
      <c r="M1246" s="9">
        <v>1</v>
      </c>
      <c r="N1246" s="7">
        <v>4.4000000000000004</v>
      </c>
      <c r="O1246" s="7">
        <v>9.1</v>
      </c>
      <c r="P1246" s="7">
        <v>3.3</v>
      </c>
      <c r="Q1246" t="s">
        <v>62</v>
      </c>
      <c r="R1246" s="7" t="str">
        <f>TEXT(Table1[[#This Row],[Date]],"mmm yyyy")</f>
        <v>Jul 2026</v>
      </c>
      <c r="S1246" s="9">
        <f>YEAR(Table1[[#This Row],[Date]])</f>
        <v>2026</v>
      </c>
      <c r="T1246" s="9"/>
      <c r="U1246" s="9"/>
    </row>
    <row r="1247" spans="1:21" hidden="1" x14ac:dyDescent="0.3">
      <c r="A1247" t="s">
        <v>1882</v>
      </c>
      <c r="B1247" s="6">
        <v>46190</v>
      </c>
      <c r="C1247" t="s">
        <v>26</v>
      </c>
      <c r="D1247" t="s">
        <v>69</v>
      </c>
      <c r="E1247" t="s">
        <v>48</v>
      </c>
      <c r="F1247" t="s">
        <v>1468</v>
      </c>
      <c r="G1247" t="s">
        <v>30</v>
      </c>
      <c r="J1247" s="9">
        <v>0</v>
      </c>
      <c r="K1247" s="7">
        <v>0</v>
      </c>
      <c r="L1247" s="7">
        <v>0</v>
      </c>
      <c r="M1247" s="9">
        <v>1</v>
      </c>
      <c r="N1247" s="7">
        <v>3.7</v>
      </c>
      <c r="O1247" s="7">
        <v>8.3000000000000007</v>
      </c>
      <c r="P1247" s="7">
        <v>3.1</v>
      </c>
      <c r="Q1247" t="s">
        <v>39</v>
      </c>
      <c r="R1247" s="7" t="str">
        <f>TEXT(Table1[[#This Row],[Date]],"mmm yyyy")</f>
        <v>Jun 2026</v>
      </c>
      <c r="S1247" s="9">
        <f>YEAR(Table1[[#This Row],[Date]])</f>
        <v>2026</v>
      </c>
      <c r="T1247" s="9"/>
      <c r="U1247" s="9"/>
    </row>
    <row r="1248" spans="1:21" x14ac:dyDescent="0.3">
      <c r="A1248" t="s">
        <v>1883</v>
      </c>
      <c r="B1248" s="6">
        <v>45942</v>
      </c>
      <c r="C1248" t="s">
        <v>18</v>
      </c>
      <c r="D1248" t="s">
        <v>105</v>
      </c>
      <c r="E1248" t="s">
        <v>20</v>
      </c>
      <c r="F1248" t="s">
        <v>1407</v>
      </c>
      <c r="G1248" t="s">
        <v>44</v>
      </c>
      <c r="H1248" t="s">
        <v>66</v>
      </c>
      <c r="I1248" t="s">
        <v>79</v>
      </c>
      <c r="J1248" s="9">
        <v>1</v>
      </c>
      <c r="K1248" s="7">
        <v>25200</v>
      </c>
      <c r="L1248" s="7">
        <v>0</v>
      </c>
      <c r="M1248" s="9"/>
      <c r="N1248" s="7">
        <v>18.899999999999999</v>
      </c>
      <c r="O1248" s="7"/>
      <c r="P1248" s="7"/>
      <c r="Q1248" t="s">
        <v>79</v>
      </c>
      <c r="R1248" s="7" t="str">
        <f>TEXT(Table1[[#This Row],[Date]],"mmm yyyy")</f>
        <v>Oct 2025</v>
      </c>
      <c r="S1248" s="9">
        <f>YEAR(Table1[[#This Row],[Date]])</f>
        <v>2025</v>
      </c>
      <c r="T1248" s="9"/>
      <c r="U1248" s="9"/>
    </row>
    <row r="1249" spans="1:21" x14ac:dyDescent="0.3">
      <c r="A1249" t="s">
        <v>1884</v>
      </c>
      <c r="B1249" s="6">
        <v>46025</v>
      </c>
      <c r="C1249" t="s">
        <v>18</v>
      </c>
      <c r="D1249" t="s">
        <v>117</v>
      </c>
      <c r="E1249" t="s">
        <v>48</v>
      </c>
      <c r="F1249" t="s">
        <v>162</v>
      </c>
      <c r="G1249" t="s">
        <v>30</v>
      </c>
      <c r="H1249" t="s">
        <v>23</v>
      </c>
      <c r="I1249" t="s">
        <v>24</v>
      </c>
      <c r="J1249" s="9">
        <v>1</v>
      </c>
      <c r="K1249" s="7">
        <v>10800</v>
      </c>
      <c r="L1249" s="7">
        <v>10800</v>
      </c>
      <c r="M1249" s="9"/>
      <c r="N1249" s="7">
        <v>20.100000000000001</v>
      </c>
      <c r="O1249" s="7"/>
      <c r="P1249" s="7"/>
      <c r="Q1249" t="s">
        <v>24</v>
      </c>
      <c r="R1249" s="7" t="str">
        <f>TEXT(Table1[[#This Row],[Date]],"mmm yyyy")</f>
        <v>Jan 2026</v>
      </c>
      <c r="S1249" s="9">
        <f>YEAR(Table1[[#This Row],[Date]])</f>
        <v>2026</v>
      </c>
      <c r="T1249" s="9"/>
      <c r="U1249" s="9"/>
    </row>
    <row r="1250" spans="1:21" hidden="1" x14ac:dyDescent="0.3">
      <c r="A1250" t="s">
        <v>1885</v>
      </c>
      <c r="B1250" s="6">
        <v>46065</v>
      </c>
      <c r="C1250" t="s">
        <v>26</v>
      </c>
      <c r="D1250" t="s">
        <v>69</v>
      </c>
      <c r="E1250" t="s">
        <v>48</v>
      </c>
      <c r="F1250" t="s">
        <v>1587</v>
      </c>
      <c r="G1250" t="s">
        <v>44</v>
      </c>
      <c r="J1250" s="9">
        <v>0</v>
      </c>
      <c r="K1250" s="7">
        <v>0</v>
      </c>
      <c r="L1250" s="7">
        <v>0</v>
      </c>
      <c r="M1250" s="9">
        <v>1</v>
      </c>
      <c r="N1250" s="7">
        <v>2.2999999999999998</v>
      </c>
      <c r="O1250" s="7">
        <v>4.7</v>
      </c>
      <c r="P1250" s="7">
        <v>4</v>
      </c>
      <c r="Q1250" t="s">
        <v>39</v>
      </c>
      <c r="R1250" s="7" t="str">
        <f>TEXT(Table1[[#This Row],[Date]],"mmm yyyy")</f>
        <v>Feb 2026</v>
      </c>
      <c r="S1250" s="9">
        <f>YEAR(Table1[[#This Row],[Date]])</f>
        <v>2026</v>
      </c>
      <c r="T1250" s="9"/>
      <c r="U1250" s="9"/>
    </row>
    <row r="1251" spans="1:21" hidden="1" x14ac:dyDescent="0.3">
      <c r="A1251" t="s">
        <v>1886</v>
      </c>
      <c r="B1251" s="6">
        <v>46140</v>
      </c>
      <c r="C1251" t="s">
        <v>26</v>
      </c>
      <c r="D1251" t="s">
        <v>126</v>
      </c>
      <c r="E1251" t="s">
        <v>20</v>
      </c>
      <c r="F1251" t="s">
        <v>1887</v>
      </c>
      <c r="G1251" t="s">
        <v>22</v>
      </c>
      <c r="J1251" s="9">
        <v>0</v>
      </c>
      <c r="K1251" s="7">
        <v>0</v>
      </c>
      <c r="L1251" s="7">
        <v>0</v>
      </c>
      <c r="M1251" s="9">
        <v>1</v>
      </c>
      <c r="N1251" s="7">
        <v>10</v>
      </c>
      <c r="O1251" s="7">
        <v>8.5</v>
      </c>
      <c r="P1251" s="7">
        <v>4.7</v>
      </c>
      <c r="Q1251" t="s">
        <v>39</v>
      </c>
      <c r="R1251" s="7" t="str">
        <f>TEXT(Table1[[#This Row],[Date]],"mmm yyyy")</f>
        <v>Apr 2026</v>
      </c>
      <c r="S1251" s="9">
        <f>YEAR(Table1[[#This Row],[Date]])</f>
        <v>2026</v>
      </c>
      <c r="T1251" s="9"/>
      <c r="U1251" s="9"/>
    </row>
    <row r="1252" spans="1:21" hidden="1" x14ac:dyDescent="0.3">
      <c r="A1252" t="s">
        <v>1888</v>
      </c>
      <c r="B1252" s="6">
        <v>45916</v>
      </c>
      <c r="C1252" t="s">
        <v>26</v>
      </c>
      <c r="D1252" t="s">
        <v>114</v>
      </c>
      <c r="E1252" t="s">
        <v>20</v>
      </c>
      <c r="F1252" t="s">
        <v>21</v>
      </c>
      <c r="G1252" t="s">
        <v>44</v>
      </c>
      <c r="J1252" s="9">
        <v>0</v>
      </c>
      <c r="K1252" s="7">
        <v>0</v>
      </c>
      <c r="L1252" s="7">
        <v>0</v>
      </c>
      <c r="M1252" s="9">
        <v>1</v>
      </c>
      <c r="N1252" s="7">
        <v>0.6</v>
      </c>
      <c r="O1252" s="7">
        <v>1.6</v>
      </c>
      <c r="P1252" s="7">
        <v>3.2</v>
      </c>
      <c r="Q1252" t="s">
        <v>31</v>
      </c>
      <c r="R1252" s="7" t="str">
        <f>TEXT(Table1[[#This Row],[Date]],"mmm yyyy")</f>
        <v>Sep 2025</v>
      </c>
      <c r="S1252" s="9">
        <f>YEAR(Table1[[#This Row],[Date]])</f>
        <v>2025</v>
      </c>
      <c r="T1252" s="9"/>
      <c r="U1252" s="9"/>
    </row>
    <row r="1253" spans="1:21" x14ac:dyDescent="0.3">
      <c r="A1253" t="s">
        <v>1889</v>
      </c>
      <c r="B1253" s="6">
        <v>46008</v>
      </c>
      <c r="C1253" t="s">
        <v>18</v>
      </c>
      <c r="D1253" t="s">
        <v>64</v>
      </c>
      <c r="E1253" t="s">
        <v>28</v>
      </c>
      <c r="F1253" t="s">
        <v>1890</v>
      </c>
      <c r="G1253" t="s">
        <v>22</v>
      </c>
      <c r="H1253" t="s">
        <v>23</v>
      </c>
      <c r="I1253" t="s">
        <v>45</v>
      </c>
      <c r="J1253" s="9">
        <v>1</v>
      </c>
      <c r="K1253" s="7">
        <v>6200</v>
      </c>
      <c r="L1253" s="7">
        <v>0</v>
      </c>
      <c r="M1253" s="9"/>
      <c r="N1253" s="7">
        <v>4.5</v>
      </c>
      <c r="O1253" s="7"/>
      <c r="P1253" s="7"/>
      <c r="Q1253" t="s">
        <v>45</v>
      </c>
      <c r="R1253" s="7" t="str">
        <f>TEXT(Table1[[#This Row],[Date]],"mmm yyyy")</f>
        <v>Dec 2025</v>
      </c>
      <c r="S1253" s="9">
        <f>YEAR(Table1[[#This Row],[Date]])</f>
        <v>2025</v>
      </c>
      <c r="T1253" s="9"/>
      <c r="U1253" s="9"/>
    </row>
    <row r="1254" spans="1:21" x14ac:dyDescent="0.3">
      <c r="A1254" t="s">
        <v>1891</v>
      </c>
      <c r="B1254" s="6">
        <v>46033</v>
      </c>
      <c r="C1254" t="s">
        <v>18</v>
      </c>
      <c r="D1254" t="s">
        <v>64</v>
      </c>
      <c r="E1254" t="s">
        <v>28</v>
      </c>
      <c r="F1254" t="s">
        <v>1631</v>
      </c>
      <c r="G1254" t="s">
        <v>22</v>
      </c>
      <c r="H1254" t="s">
        <v>23</v>
      </c>
      <c r="I1254" t="s">
        <v>89</v>
      </c>
      <c r="J1254" s="9">
        <v>1</v>
      </c>
      <c r="K1254" s="7">
        <v>14000</v>
      </c>
      <c r="L1254" s="7">
        <v>0</v>
      </c>
      <c r="M1254" s="9"/>
      <c r="N1254" s="7">
        <v>3.7</v>
      </c>
      <c r="O1254" s="7"/>
      <c r="P1254" s="7"/>
      <c r="Q1254" t="s">
        <v>89</v>
      </c>
      <c r="R1254" s="7" t="str">
        <f>TEXT(Table1[[#This Row],[Date]],"mmm yyyy")</f>
        <v>Jan 2026</v>
      </c>
      <c r="S1254" s="9">
        <f>YEAR(Table1[[#This Row],[Date]])</f>
        <v>2026</v>
      </c>
      <c r="T1254" s="9"/>
      <c r="U1254" s="9"/>
    </row>
    <row r="1255" spans="1:21" x14ac:dyDescent="0.3">
      <c r="A1255" t="s">
        <v>1892</v>
      </c>
      <c r="B1255" s="6">
        <v>46232</v>
      </c>
      <c r="C1255" t="s">
        <v>18</v>
      </c>
      <c r="D1255" t="s">
        <v>19</v>
      </c>
      <c r="E1255" t="s">
        <v>48</v>
      </c>
      <c r="F1255" t="s">
        <v>1893</v>
      </c>
      <c r="G1255" t="s">
        <v>22</v>
      </c>
      <c r="H1255" t="s">
        <v>54</v>
      </c>
      <c r="I1255" t="s">
        <v>45</v>
      </c>
      <c r="J1255" s="9">
        <v>1</v>
      </c>
      <c r="K1255" s="7">
        <v>9600</v>
      </c>
      <c r="L1255" s="7">
        <v>0</v>
      </c>
      <c r="M1255" s="9"/>
      <c r="N1255" s="7">
        <v>5.5</v>
      </c>
      <c r="O1255" s="7"/>
      <c r="P1255" s="7"/>
      <c r="Q1255" t="s">
        <v>45</v>
      </c>
      <c r="R1255" s="7" t="str">
        <f>TEXT(Table1[[#This Row],[Date]],"mmm yyyy")</f>
        <v>Jul 2026</v>
      </c>
      <c r="S1255" s="9">
        <f>YEAR(Table1[[#This Row],[Date]])</f>
        <v>2026</v>
      </c>
      <c r="T1255" s="9"/>
      <c r="U1255" s="9"/>
    </row>
    <row r="1256" spans="1:21" hidden="1" x14ac:dyDescent="0.3">
      <c r="A1256" t="s">
        <v>1894</v>
      </c>
      <c r="B1256" s="6">
        <v>46043</v>
      </c>
      <c r="C1256" t="s">
        <v>26</v>
      </c>
      <c r="D1256" t="s">
        <v>72</v>
      </c>
      <c r="E1256" t="s">
        <v>20</v>
      </c>
      <c r="F1256" t="s">
        <v>1182</v>
      </c>
      <c r="G1256" t="s">
        <v>44</v>
      </c>
      <c r="J1256" s="9">
        <v>0</v>
      </c>
      <c r="K1256" s="7">
        <v>0</v>
      </c>
      <c r="L1256" s="7">
        <v>0</v>
      </c>
      <c r="M1256" s="9">
        <v>1</v>
      </c>
      <c r="N1256" s="7">
        <v>4.7</v>
      </c>
      <c r="O1256" s="7">
        <v>6.8</v>
      </c>
      <c r="P1256" s="7">
        <v>5</v>
      </c>
      <c r="Q1256" t="s">
        <v>39</v>
      </c>
      <c r="R1256" s="7" t="str">
        <f>TEXT(Table1[[#This Row],[Date]],"mmm yyyy")</f>
        <v>Jan 2026</v>
      </c>
      <c r="S1256" s="9">
        <f>YEAR(Table1[[#This Row],[Date]])</f>
        <v>2026</v>
      </c>
      <c r="T1256" s="9"/>
      <c r="U1256" s="9"/>
    </row>
    <row r="1257" spans="1:21" x14ac:dyDescent="0.3">
      <c r="A1257" t="s">
        <v>1895</v>
      </c>
      <c r="B1257" s="6">
        <v>46223</v>
      </c>
      <c r="C1257" t="s">
        <v>18</v>
      </c>
      <c r="D1257" t="s">
        <v>52</v>
      </c>
      <c r="E1257" t="s">
        <v>20</v>
      </c>
      <c r="F1257" t="s">
        <v>738</v>
      </c>
      <c r="G1257" t="s">
        <v>22</v>
      </c>
      <c r="H1257" t="s">
        <v>23</v>
      </c>
      <c r="I1257" t="s">
        <v>24</v>
      </c>
      <c r="J1257" s="9">
        <v>1</v>
      </c>
      <c r="K1257" s="7">
        <v>21600</v>
      </c>
      <c r="L1257" s="7">
        <v>21600</v>
      </c>
      <c r="M1257" s="9"/>
      <c r="N1257" s="7">
        <v>19.399999999999999</v>
      </c>
      <c r="O1257" s="7"/>
      <c r="P1257" s="7"/>
      <c r="Q1257" t="s">
        <v>24</v>
      </c>
      <c r="R1257" s="7" t="str">
        <f>TEXT(Table1[[#This Row],[Date]],"mmm yyyy")</f>
        <v>Jul 2026</v>
      </c>
      <c r="S1257" s="9">
        <f>YEAR(Table1[[#This Row],[Date]])</f>
        <v>2026</v>
      </c>
      <c r="T1257" s="9"/>
      <c r="U1257" s="9"/>
    </row>
    <row r="1258" spans="1:21" x14ac:dyDescent="0.3">
      <c r="A1258" t="s">
        <v>1896</v>
      </c>
      <c r="B1258" s="6">
        <v>46112</v>
      </c>
      <c r="C1258" t="s">
        <v>18</v>
      </c>
      <c r="D1258" t="s">
        <v>105</v>
      </c>
      <c r="E1258" t="s">
        <v>37</v>
      </c>
      <c r="F1258" t="s">
        <v>1422</v>
      </c>
      <c r="G1258" t="s">
        <v>22</v>
      </c>
      <c r="H1258" t="s">
        <v>66</v>
      </c>
      <c r="I1258" t="s">
        <v>24</v>
      </c>
      <c r="J1258" s="9">
        <v>1</v>
      </c>
      <c r="K1258" s="7">
        <v>22800</v>
      </c>
      <c r="L1258" s="7">
        <v>22800</v>
      </c>
      <c r="M1258" s="9"/>
      <c r="N1258" s="7">
        <v>17.399999999999999</v>
      </c>
      <c r="O1258" s="7"/>
      <c r="P1258" s="7"/>
      <c r="Q1258" t="s">
        <v>24</v>
      </c>
      <c r="R1258" s="7" t="str">
        <f>TEXT(Table1[[#This Row],[Date]],"mmm yyyy")</f>
        <v>Mar 2026</v>
      </c>
      <c r="S1258" s="9">
        <f>YEAR(Table1[[#This Row],[Date]])</f>
        <v>2026</v>
      </c>
      <c r="T1258" s="9"/>
      <c r="U1258" s="9"/>
    </row>
    <row r="1259" spans="1:21" x14ac:dyDescent="0.3">
      <c r="A1259" t="s">
        <v>1897</v>
      </c>
      <c r="B1259" s="6">
        <v>46104</v>
      </c>
      <c r="C1259" t="s">
        <v>18</v>
      </c>
      <c r="D1259" t="s">
        <v>19</v>
      </c>
      <c r="E1259" t="s">
        <v>20</v>
      </c>
      <c r="F1259" t="s">
        <v>752</v>
      </c>
      <c r="G1259" t="s">
        <v>22</v>
      </c>
      <c r="H1259" t="s">
        <v>66</v>
      </c>
      <c r="I1259" t="s">
        <v>45</v>
      </c>
      <c r="J1259" s="9">
        <v>1</v>
      </c>
      <c r="K1259" s="7">
        <v>59600</v>
      </c>
      <c r="L1259" s="7">
        <v>0</v>
      </c>
      <c r="M1259" s="9"/>
      <c r="N1259" s="7">
        <v>6.4</v>
      </c>
      <c r="O1259" s="7"/>
      <c r="P1259" s="7"/>
      <c r="Q1259" t="s">
        <v>45</v>
      </c>
      <c r="R1259" s="7" t="str">
        <f>TEXT(Table1[[#This Row],[Date]],"mmm yyyy")</f>
        <v>Mar 2026</v>
      </c>
      <c r="S1259" s="9">
        <f>YEAR(Table1[[#This Row],[Date]])</f>
        <v>2026</v>
      </c>
      <c r="T1259" s="9"/>
      <c r="U1259" s="9"/>
    </row>
    <row r="1260" spans="1:21" x14ac:dyDescent="0.3">
      <c r="A1260" t="s">
        <v>1898</v>
      </c>
      <c r="B1260" s="6">
        <v>46180</v>
      </c>
      <c r="C1260" t="s">
        <v>18</v>
      </c>
      <c r="D1260" t="s">
        <v>64</v>
      </c>
      <c r="E1260" t="s">
        <v>20</v>
      </c>
      <c r="F1260" t="s">
        <v>809</v>
      </c>
      <c r="G1260" t="s">
        <v>44</v>
      </c>
      <c r="H1260" t="s">
        <v>78</v>
      </c>
      <c r="I1260" t="s">
        <v>45</v>
      </c>
      <c r="J1260" s="9">
        <v>1</v>
      </c>
      <c r="K1260" s="7">
        <v>28000</v>
      </c>
      <c r="L1260" s="7">
        <v>0</v>
      </c>
      <c r="M1260" s="9"/>
      <c r="N1260" s="7">
        <v>10.5</v>
      </c>
      <c r="O1260" s="7"/>
      <c r="P1260" s="7"/>
      <c r="Q1260" t="s">
        <v>45</v>
      </c>
      <c r="R1260" s="7" t="str">
        <f>TEXT(Table1[[#This Row],[Date]],"mmm yyyy")</f>
        <v>Jun 2026</v>
      </c>
      <c r="S1260" s="9">
        <f>YEAR(Table1[[#This Row],[Date]])</f>
        <v>2026</v>
      </c>
      <c r="T1260" s="9"/>
      <c r="U1260" s="9"/>
    </row>
    <row r="1261" spans="1:21" hidden="1" x14ac:dyDescent="0.3">
      <c r="A1261" t="s">
        <v>1899</v>
      </c>
      <c r="B1261" s="6">
        <v>45904</v>
      </c>
      <c r="C1261" t="s">
        <v>26</v>
      </c>
      <c r="D1261" t="s">
        <v>72</v>
      </c>
      <c r="E1261" t="s">
        <v>28</v>
      </c>
      <c r="F1261" t="s">
        <v>1385</v>
      </c>
      <c r="G1261" t="s">
        <v>30</v>
      </c>
      <c r="J1261" s="9">
        <v>0</v>
      </c>
      <c r="K1261" s="7">
        <v>0</v>
      </c>
      <c r="L1261" s="7">
        <v>0</v>
      </c>
      <c r="M1261" s="9">
        <v>1</v>
      </c>
      <c r="N1261" s="7">
        <v>10.8</v>
      </c>
      <c r="O1261" s="7">
        <v>9.6</v>
      </c>
      <c r="P1261" s="7">
        <v>4.0999999999999996</v>
      </c>
      <c r="Q1261" t="s">
        <v>31</v>
      </c>
      <c r="R1261" s="7" t="str">
        <f>TEXT(Table1[[#This Row],[Date]],"mmm yyyy")</f>
        <v>Sep 2025</v>
      </c>
      <c r="S1261" s="9">
        <f>YEAR(Table1[[#This Row],[Date]])</f>
        <v>2025</v>
      </c>
      <c r="T1261" s="9"/>
      <c r="U1261" s="9"/>
    </row>
    <row r="1262" spans="1:21" x14ac:dyDescent="0.3">
      <c r="A1262" t="s">
        <v>1900</v>
      </c>
      <c r="B1262" s="6">
        <v>46019</v>
      </c>
      <c r="C1262" t="s">
        <v>18</v>
      </c>
      <c r="D1262" t="s">
        <v>19</v>
      </c>
      <c r="E1262" t="s">
        <v>20</v>
      </c>
      <c r="F1262" t="s">
        <v>218</v>
      </c>
      <c r="G1262" t="s">
        <v>22</v>
      </c>
      <c r="H1262" t="s">
        <v>23</v>
      </c>
      <c r="I1262" t="s">
        <v>24</v>
      </c>
      <c r="J1262" s="9">
        <v>1</v>
      </c>
      <c r="K1262" s="7">
        <v>18600</v>
      </c>
      <c r="L1262" s="7">
        <v>18600</v>
      </c>
      <c r="M1262" s="9"/>
      <c r="N1262" s="7">
        <v>1.8</v>
      </c>
      <c r="O1262" s="7"/>
      <c r="P1262" s="7"/>
      <c r="Q1262" t="s">
        <v>24</v>
      </c>
      <c r="R1262" s="7" t="str">
        <f>TEXT(Table1[[#This Row],[Date]],"mmm yyyy")</f>
        <v>Dec 2025</v>
      </c>
      <c r="S1262" s="9">
        <f>YEAR(Table1[[#This Row],[Date]])</f>
        <v>2025</v>
      </c>
      <c r="T1262" s="9"/>
      <c r="U1262" s="9"/>
    </row>
    <row r="1263" spans="1:21" hidden="1" x14ac:dyDescent="0.3">
      <c r="A1263" t="s">
        <v>1901</v>
      </c>
      <c r="B1263" s="6">
        <v>46108</v>
      </c>
      <c r="C1263" t="s">
        <v>26</v>
      </c>
      <c r="D1263" t="s">
        <v>36</v>
      </c>
      <c r="E1263" t="s">
        <v>20</v>
      </c>
      <c r="F1263" t="s">
        <v>1902</v>
      </c>
      <c r="G1263" t="s">
        <v>44</v>
      </c>
      <c r="J1263" s="9">
        <v>0</v>
      </c>
      <c r="K1263" s="7">
        <v>0</v>
      </c>
      <c r="L1263" s="7">
        <v>0</v>
      </c>
      <c r="M1263" s="9">
        <v>1</v>
      </c>
      <c r="N1263" s="7">
        <v>8.6999999999999993</v>
      </c>
      <c r="O1263" s="7">
        <v>6.4</v>
      </c>
      <c r="P1263" s="7">
        <v>3.8</v>
      </c>
      <c r="Q1263" t="s">
        <v>39</v>
      </c>
      <c r="R1263" s="7" t="str">
        <f>TEXT(Table1[[#This Row],[Date]],"mmm yyyy")</f>
        <v>Mar 2026</v>
      </c>
      <c r="S1263" s="9">
        <f>YEAR(Table1[[#This Row],[Date]])</f>
        <v>2026</v>
      </c>
      <c r="T1263" s="9"/>
      <c r="U1263" s="9"/>
    </row>
    <row r="1264" spans="1:21" x14ac:dyDescent="0.3">
      <c r="A1264" t="s">
        <v>1903</v>
      </c>
      <c r="B1264" s="6">
        <v>46033</v>
      </c>
      <c r="C1264" t="s">
        <v>18</v>
      </c>
      <c r="D1264" t="s">
        <v>52</v>
      </c>
      <c r="E1264" t="s">
        <v>48</v>
      </c>
      <c r="F1264" t="s">
        <v>476</v>
      </c>
      <c r="G1264" t="s">
        <v>30</v>
      </c>
      <c r="H1264" t="s">
        <v>23</v>
      </c>
      <c r="I1264" t="s">
        <v>24</v>
      </c>
      <c r="J1264" s="9">
        <v>1</v>
      </c>
      <c r="K1264" s="7">
        <v>44400</v>
      </c>
      <c r="L1264" s="7">
        <v>44400</v>
      </c>
      <c r="M1264" s="9"/>
      <c r="N1264" s="7">
        <v>11.9</v>
      </c>
      <c r="O1264" s="7"/>
      <c r="P1264" s="7"/>
      <c r="Q1264" t="s">
        <v>24</v>
      </c>
      <c r="R1264" s="7" t="str">
        <f>TEXT(Table1[[#This Row],[Date]],"mmm yyyy")</f>
        <v>Jan 2026</v>
      </c>
      <c r="S1264" s="9">
        <f>YEAR(Table1[[#This Row],[Date]])</f>
        <v>2026</v>
      </c>
      <c r="T1264" s="9"/>
      <c r="U1264" s="9"/>
    </row>
    <row r="1265" spans="1:21" x14ac:dyDescent="0.3">
      <c r="A1265" t="s">
        <v>1904</v>
      </c>
      <c r="B1265" s="6">
        <v>46101</v>
      </c>
      <c r="C1265" t="s">
        <v>18</v>
      </c>
      <c r="D1265" t="s">
        <v>19</v>
      </c>
      <c r="E1265" t="s">
        <v>48</v>
      </c>
      <c r="F1265" t="s">
        <v>1003</v>
      </c>
      <c r="G1265" t="s">
        <v>30</v>
      </c>
      <c r="H1265" t="s">
        <v>54</v>
      </c>
      <c r="I1265" t="s">
        <v>24</v>
      </c>
      <c r="J1265" s="9">
        <v>1</v>
      </c>
      <c r="K1265" s="7">
        <v>29100</v>
      </c>
      <c r="L1265" s="7">
        <v>29100</v>
      </c>
      <c r="M1265" s="9"/>
      <c r="N1265" s="7">
        <v>7.4</v>
      </c>
      <c r="O1265" s="7"/>
      <c r="P1265" s="7"/>
      <c r="Q1265" t="s">
        <v>24</v>
      </c>
      <c r="R1265" s="7" t="str">
        <f>TEXT(Table1[[#This Row],[Date]],"mmm yyyy")</f>
        <v>Mar 2026</v>
      </c>
      <c r="S1265" s="9">
        <f>YEAR(Table1[[#This Row],[Date]])</f>
        <v>2026</v>
      </c>
      <c r="T1265" s="9"/>
      <c r="U1265" s="9"/>
    </row>
    <row r="1266" spans="1:21" x14ac:dyDescent="0.3">
      <c r="A1266" t="s">
        <v>1905</v>
      </c>
      <c r="B1266" s="6">
        <v>45983</v>
      </c>
      <c r="C1266" t="s">
        <v>18</v>
      </c>
      <c r="D1266" t="s">
        <v>105</v>
      </c>
      <c r="E1266" t="s">
        <v>28</v>
      </c>
      <c r="F1266" t="s">
        <v>43</v>
      </c>
      <c r="G1266" t="s">
        <v>50</v>
      </c>
      <c r="H1266" t="s">
        <v>54</v>
      </c>
      <c r="I1266" t="s">
        <v>45</v>
      </c>
      <c r="J1266" s="9">
        <v>1</v>
      </c>
      <c r="K1266" s="7">
        <v>37900</v>
      </c>
      <c r="L1266" s="7">
        <v>0</v>
      </c>
      <c r="M1266" s="9"/>
      <c r="N1266" s="7">
        <v>1.9</v>
      </c>
      <c r="O1266" s="7"/>
      <c r="P1266" s="7"/>
      <c r="Q1266" t="s">
        <v>45</v>
      </c>
      <c r="R1266" s="7" t="str">
        <f>TEXT(Table1[[#This Row],[Date]],"mmm yyyy")</f>
        <v>Nov 2025</v>
      </c>
      <c r="S1266" s="9">
        <f>YEAR(Table1[[#This Row],[Date]])</f>
        <v>2025</v>
      </c>
      <c r="T1266" s="9"/>
      <c r="U1266" s="9"/>
    </row>
    <row r="1267" spans="1:21" x14ac:dyDescent="0.3">
      <c r="A1267" t="s">
        <v>1906</v>
      </c>
      <c r="B1267" s="6">
        <v>46043</v>
      </c>
      <c r="C1267" t="s">
        <v>18</v>
      </c>
      <c r="D1267" t="s">
        <v>41</v>
      </c>
      <c r="E1267" t="s">
        <v>20</v>
      </c>
      <c r="F1267" t="s">
        <v>1281</v>
      </c>
      <c r="G1267" t="s">
        <v>30</v>
      </c>
      <c r="H1267" t="s">
        <v>78</v>
      </c>
      <c r="I1267" t="s">
        <v>45</v>
      </c>
      <c r="J1267" s="9">
        <v>1</v>
      </c>
      <c r="K1267" s="7">
        <v>43200</v>
      </c>
      <c r="L1267" s="7">
        <v>0</v>
      </c>
      <c r="M1267" s="9"/>
      <c r="N1267" s="7">
        <v>12.3</v>
      </c>
      <c r="O1267" s="7"/>
      <c r="P1267" s="7"/>
      <c r="Q1267" t="s">
        <v>45</v>
      </c>
      <c r="R1267" s="7" t="str">
        <f>TEXT(Table1[[#This Row],[Date]],"mmm yyyy")</f>
        <v>Jan 2026</v>
      </c>
      <c r="S1267" s="9">
        <f>YEAR(Table1[[#This Row],[Date]])</f>
        <v>2026</v>
      </c>
      <c r="T1267" s="9"/>
      <c r="U1267" s="9"/>
    </row>
    <row r="1268" spans="1:21" x14ac:dyDescent="0.3">
      <c r="A1268" t="s">
        <v>1907</v>
      </c>
      <c r="B1268" s="6">
        <v>46057</v>
      </c>
      <c r="C1268" t="s">
        <v>18</v>
      </c>
      <c r="D1268" t="s">
        <v>47</v>
      </c>
      <c r="E1268" t="s">
        <v>20</v>
      </c>
      <c r="F1268" t="s">
        <v>384</v>
      </c>
      <c r="G1268" t="s">
        <v>22</v>
      </c>
      <c r="H1268" t="s">
        <v>78</v>
      </c>
      <c r="I1268" t="s">
        <v>24</v>
      </c>
      <c r="J1268" s="9">
        <v>1</v>
      </c>
      <c r="K1268" s="7">
        <v>24900</v>
      </c>
      <c r="L1268" s="7">
        <v>24900</v>
      </c>
      <c r="M1268" s="9"/>
      <c r="N1268" s="7">
        <v>19.8</v>
      </c>
      <c r="O1268" s="7"/>
      <c r="P1268" s="7"/>
      <c r="Q1268" t="s">
        <v>24</v>
      </c>
      <c r="R1268" s="7" t="str">
        <f>TEXT(Table1[[#This Row],[Date]],"mmm yyyy")</f>
        <v>Feb 2026</v>
      </c>
      <c r="S1268" s="9">
        <f>YEAR(Table1[[#This Row],[Date]])</f>
        <v>2026</v>
      </c>
      <c r="T1268" s="9"/>
      <c r="U1268" s="9"/>
    </row>
    <row r="1269" spans="1:21" x14ac:dyDescent="0.3">
      <c r="A1269" t="s">
        <v>1908</v>
      </c>
      <c r="B1269" s="6">
        <v>46159</v>
      </c>
      <c r="C1269" t="s">
        <v>18</v>
      </c>
      <c r="D1269" t="s">
        <v>47</v>
      </c>
      <c r="E1269" t="s">
        <v>20</v>
      </c>
      <c r="F1269" t="s">
        <v>1835</v>
      </c>
      <c r="G1269" t="s">
        <v>30</v>
      </c>
      <c r="H1269" t="s">
        <v>54</v>
      </c>
      <c r="I1269" t="s">
        <v>24</v>
      </c>
      <c r="J1269" s="9">
        <v>1</v>
      </c>
      <c r="K1269" s="7">
        <v>26900</v>
      </c>
      <c r="L1269" s="7">
        <v>26900</v>
      </c>
      <c r="M1269" s="9"/>
      <c r="N1269" s="7">
        <v>6</v>
      </c>
      <c r="O1269" s="7"/>
      <c r="P1269" s="7"/>
      <c r="Q1269" t="s">
        <v>24</v>
      </c>
      <c r="R1269" s="7" t="str">
        <f>TEXT(Table1[[#This Row],[Date]],"mmm yyyy")</f>
        <v>May 2026</v>
      </c>
      <c r="S1269" s="9">
        <f>YEAR(Table1[[#This Row],[Date]])</f>
        <v>2026</v>
      </c>
      <c r="T1269" s="9"/>
      <c r="U1269" s="9"/>
    </row>
    <row r="1270" spans="1:21" hidden="1" x14ac:dyDescent="0.3">
      <c r="A1270" t="s">
        <v>1909</v>
      </c>
      <c r="B1270" s="6">
        <v>46079</v>
      </c>
      <c r="C1270" t="s">
        <v>26</v>
      </c>
      <c r="D1270" t="s">
        <v>72</v>
      </c>
      <c r="E1270" t="s">
        <v>37</v>
      </c>
      <c r="F1270" t="s">
        <v>750</v>
      </c>
      <c r="G1270" t="s">
        <v>30</v>
      </c>
      <c r="J1270" s="9">
        <v>0</v>
      </c>
      <c r="K1270" s="7">
        <v>0</v>
      </c>
      <c r="L1270" s="7">
        <v>0</v>
      </c>
      <c r="M1270" s="9">
        <v>1</v>
      </c>
      <c r="N1270" s="7">
        <v>1</v>
      </c>
      <c r="O1270" s="7">
        <v>1.9</v>
      </c>
      <c r="P1270" s="7">
        <v>5</v>
      </c>
      <c r="Q1270" t="s">
        <v>62</v>
      </c>
      <c r="R1270" s="7" t="str">
        <f>TEXT(Table1[[#This Row],[Date]],"mmm yyyy")</f>
        <v>Feb 2026</v>
      </c>
      <c r="S1270" s="9">
        <f>YEAR(Table1[[#This Row],[Date]])</f>
        <v>2026</v>
      </c>
      <c r="T1270" s="9"/>
      <c r="U1270" s="9"/>
    </row>
    <row r="1271" spans="1:21" x14ac:dyDescent="0.3">
      <c r="A1271" t="s">
        <v>1910</v>
      </c>
      <c r="B1271" s="6">
        <v>46015</v>
      </c>
      <c r="C1271" t="s">
        <v>18</v>
      </c>
      <c r="D1271" t="s">
        <v>95</v>
      </c>
      <c r="E1271" t="s">
        <v>20</v>
      </c>
      <c r="F1271" t="s">
        <v>1118</v>
      </c>
      <c r="G1271" t="s">
        <v>44</v>
      </c>
      <c r="H1271" t="s">
        <v>78</v>
      </c>
      <c r="I1271" t="s">
        <v>45</v>
      </c>
      <c r="J1271" s="9">
        <v>1</v>
      </c>
      <c r="K1271" s="7">
        <v>42200</v>
      </c>
      <c r="L1271" s="7">
        <v>0</v>
      </c>
      <c r="M1271" s="9"/>
      <c r="N1271" s="7">
        <v>20.9</v>
      </c>
      <c r="O1271" s="7"/>
      <c r="P1271" s="7"/>
      <c r="Q1271" t="s">
        <v>45</v>
      </c>
      <c r="R1271" s="7" t="str">
        <f>TEXT(Table1[[#This Row],[Date]],"mmm yyyy")</f>
        <v>Dec 2025</v>
      </c>
      <c r="S1271" s="9">
        <f>YEAR(Table1[[#This Row],[Date]])</f>
        <v>2025</v>
      </c>
      <c r="T1271" s="9"/>
      <c r="U1271" s="9"/>
    </row>
    <row r="1272" spans="1:21" hidden="1" x14ac:dyDescent="0.3">
      <c r="A1272" t="s">
        <v>1911</v>
      </c>
      <c r="B1272" s="6">
        <v>45927</v>
      </c>
      <c r="C1272" t="s">
        <v>26</v>
      </c>
      <c r="D1272" t="s">
        <v>126</v>
      </c>
      <c r="E1272" t="s">
        <v>20</v>
      </c>
      <c r="F1272" t="s">
        <v>1129</v>
      </c>
      <c r="G1272" t="s">
        <v>22</v>
      </c>
      <c r="J1272" s="9">
        <v>0</v>
      </c>
      <c r="K1272" s="7">
        <v>0</v>
      </c>
      <c r="L1272" s="7">
        <v>0</v>
      </c>
      <c r="M1272" s="9">
        <v>1</v>
      </c>
      <c r="N1272" s="7">
        <v>3.4</v>
      </c>
      <c r="O1272" s="7">
        <v>8.6999999999999993</v>
      </c>
      <c r="P1272" s="7">
        <v>4.3</v>
      </c>
      <c r="Q1272" t="s">
        <v>39</v>
      </c>
      <c r="R1272" s="7" t="str">
        <f>TEXT(Table1[[#This Row],[Date]],"mmm yyyy")</f>
        <v>Sep 2025</v>
      </c>
      <c r="S1272" s="9">
        <f>YEAR(Table1[[#This Row],[Date]])</f>
        <v>2025</v>
      </c>
      <c r="T1272" s="9"/>
      <c r="U1272" s="9"/>
    </row>
    <row r="1273" spans="1:21" hidden="1" x14ac:dyDescent="0.3">
      <c r="A1273" t="s">
        <v>1912</v>
      </c>
      <c r="B1273" s="6">
        <v>45921</v>
      </c>
      <c r="C1273" t="s">
        <v>26</v>
      </c>
      <c r="D1273" t="s">
        <v>27</v>
      </c>
      <c r="E1273" t="s">
        <v>20</v>
      </c>
      <c r="F1273" t="s">
        <v>456</v>
      </c>
      <c r="G1273" t="s">
        <v>44</v>
      </c>
      <c r="J1273" s="9">
        <v>0</v>
      </c>
      <c r="K1273" s="7">
        <v>0</v>
      </c>
      <c r="L1273" s="7">
        <v>0</v>
      </c>
      <c r="M1273" s="9">
        <v>1</v>
      </c>
      <c r="N1273" s="7">
        <v>10.3</v>
      </c>
      <c r="O1273" s="7">
        <v>3.7</v>
      </c>
      <c r="P1273" s="7">
        <v>4.5999999999999996</v>
      </c>
      <c r="Q1273" t="s">
        <v>39</v>
      </c>
      <c r="R1273" s="7" t="str">
        <f>TEXT(Table1[[#This Row],[Date]],"mmm yyyy")</f>
        <v>Sep 2025</v>
      </c>
      <c r="S1273" s="9">
        <f>YEAR(Table1[[#This Row],[Date]])</f>
        <v>2025</v>
      </c>
      <c r="T1273" s="9"/>
      <c r="U1273" s="9"/>
    </row>
    <row r="1274" spans="1:21" hidden="1" x14ac:dyDescent="0.3">
      <c r="A1274" t="s">
        <v>1913</v>
      </c>
      <c r="B1274" s="6">
        <v>45901</v>
      </c>
      <c r="C1274" t="s">
        <v>26</v>
      </c>
      <c r="D1274" t="s">
        <v>69</v>
      </c>
      <c r="E1274" t="s">
        <v>48</v>
      </c>
      <c r="F1274" t="s">
        <v>1743</v>
      </c>
      <c r="G1274" t="s">
        <v>30</v>
      </c>
      <c r="J1274" s="9">
        <v>0</v>
      </c>
      <c r="K1274" s="7">
        <v>0</v>
      </c>
      <c r="L1274" s="7">
        <v>0</v>
      </c>
      <c r="M1274" s="9">
        <v>1</v>
      </c>
      <c r="N1274" s="7">
        <v>0.4</v>
      </c>
      <c r="O1274" s="7">
        <v>7.7</v>
      </c>
      <c r="P1274" s="7">
        <v>3.5</v>
      </c>
      <c r="Q1274" t="s">
        <v>225</v>
      </c>
      <c r="R1274" s="7" t="str">
        <f>TEXT(Table1[[#This Row],[Date]],"mmm yyyy")</f>
        <v>Sep 2025</v>
      </c>
      <c r="S1274" s="9">
        <f>YEAR(Table1[[#This Row],[Date]])</f>
        <v>2025</v>
      </c>
      <c r="T1274" s="9"/>
      <c r="U1274" s="9"/>
    </row>
    <row r="1275" spans="1:21" x14ac:dyDescent="0.3">
      <c r="A1275" t="s">
        <v>1914</v>
      </c>
      <c r="B1275" s="6">
        <v>46122</v>
      </c>
      <c r="C1275" t="s">
        <v>18</v>
      </c>
      <c r="D1275" t="s">
        <v>105</v>
      </c>
      <c r="E1275" t="s">
        <v>20</v>
      </c>
      <c r="F1275" t="s">
        <v>1129</v>
      </c>
      <c r="G1275" t="s">
        <v>30</v>
      </c>
      <c r="H1275" t="s">
        <v>86</v>
      </c>
      <c r="I1275" t="s">
        <v>79</v>
      </c>
      <c r="J1275" s="9">
        <v>1</v>
      </c>
      <c r="K1275" s="7">
        <v>12800</v>
      </c>
      <c r="L1275" s="7">
        <v>0</v>
      </c>
      <c r="M1275" s="9"/>
      <c r="N1275" s="7">
        <v>6.9</v>
      </c>
      <c r="O1275" s="7"/>
      <c r="P1275" s="7"/>
      <c r="Q1275" t="s">
        <v>79</v>
      </c>
      <c r="R1275" s="7" t="str">
        <f>TEXT(Table1[[#This Row],[Date]],"mmm yyyy")</f>
        <v>Apr 2026</v>
      </c>
      <c r="S1275" s="9">
        <f>YEAR(Table1[[#This Row],[Date]])</f>
        <v>2026</v>
      </c>
      <c r="T1275" s="9"/>
      <c r="U1275" s="9"/>
    </row>
    <row r="1276" spans="1:21" x14ac:dyDescent="0.3">
      <c r="A1276" t="s">
        <v>1915</v>
      </c>
      <c r="B1276" s="6">
        <v>45996</v>
      </c>
      <c r="C1276" t="s">
        <v>18</v>
      </c>
      <c r="D1276" t="s">
        <v>117</v>
      </c>
      <c r="E1276" t="s">
        <v>42</v>
      </c>
      <c r="F1276" t="s">
        <v>1609</v>
      </c>
      <c r="G1276" t="s">
        <v>22</v>
      </c>
      <c r="H1276" t="s">
        <v>78</v>
      </c>
      <c r="I1276" t="s">
        <v>89</v>
      </c>
      <c r="J1276" s="9">
        <v>1</v>
      </c>
      <c r="K1276" s="7">
        <v>32700</v>
      </c>
      <c r="L1276" s="7">
        <v>0</v>
      </c>
      <c r="M1276" s="9"/>
      <c r="N1276" s="7">
        <v>9.8000000000000007</v>
      </c>
      <c r="O1276" s="7"/>
      <c r="P1276" s="7"/>
      <c r="Q1276" t="s">
        <v>89</v>
      </c>
      <c r="R1276" s="7" t="str">
        <f>TEXT(Table1[[#This Row],[Date]],"mmm yyyy")</f>
        <v>Dec 2025</v>
      </c>
      <c r="S1276" s="9">
        <f>YEAR(Table1[[#This Row],[Date]])</f>
        <v>2025</v>
      </c>
      <c r="T1276" s="9"/>
      <c r="U1276" s="9"/>
    </row>
    <row r="1277" spans="1:21" x14ac:dyDescent="0.3">
      <c r="A1277" t="s">
        <v>1916</v>
      </c>
      <c r="B1277" s="6">
        <v>46213</v>
      </c>
      <c r="C1277" t="s">
        <v>18</v>
      </c>
      <c r="D1277" t="s">
        <v>95</v>
      </c>
      <c r="E1277" t="s">
        <v>20</v>
      </c>
      <c r="F1277" t="s">
        <v>820</v>
      </c>
      <c r="G1277" t="s">
        <v>22</v>
      </c>
      <c r="H1277" t="s">
        <v>23</v>
      </c>
      <c r="I1277" t="s">
        <v>24</v>
      </c>
      <c r="J1277" s="9">
        <v>1</v>
      </c>
      <c r="K1277" s="7">
        <v>26400</v>
      </c>
      <c r="L1277" s="7">
        <v>26400</v>
      </c>
      <c r="M1277" s="9"/>
      <c r="N1277" s="7">
        <v>0.7</v>
      </c>
      <c r="O1277" s="7"/>
      <c r="P1277" s="7"/>
      <c r="Q1277" t="s">
        <v>24</v>
      </c>
      <c r="R1277" s="7" t="str">
        <f>TEXT(Table1[[#This Row],[Date]],"mmm yyyy")</f>
        <v>Jul 2026</v>
      </c>
      <c r="S1277" s="9">
        <f>YEAR(Table1[[#This Row],[Date]])</f>
        <v>2026</v>
      </c>
      <c r="T1277" s="9"/>
      <c r="U1277" s="9"/>
    </row>
    <row r="1278" spans="1:21" x14ac:dyDescent="0.3">
      <c r="A1278" t="s">
        <v>1917</v>
      </c>
      <c r="B1278" s="6">
        <v>46166</v>
      </c>
      <c r="C1278" t="s">
        <v>18</v>
      </c>
      <c r="D1278" t="s">
        <v>64</v>
      </c>
      <c r="E1278" t="s">
        <v>20</v>
      </c>
      <c r="F1278" t="s">
        <v>598</v>
      </c>
      <c r="G1278" t="s">
        <v>50</v>
      </c>
      <c r="H1278" t="s">
        <v>86</v>
      </c>
      <c r="I1278" t="s">
        <v>45</v>
      </c>
      <c r="J1278" s="9">
        <v>1</v>
      </c>
      <c r="K1278" s="7">
        <v>38800</v>
      </c>
      <c r="L1278" s="7">
        <v>0</v>
      </c>
      <c r="M1278" s="9"/>
      <c r="N1278" s="7">
        <v>3</v>
      </c>
      <c r="O1278" s="7"/>
      <c r="P1278" s="7"/>
      <c r="Q1278" t="s">
        <v>45</v>
      </c>
      <c r="R1278" s="7" t="str">
        <f>TEXT(Table1[[#This Row],[Date]],"mmm yyyy")</f>
        <v>May 2026</v>
      </c>
      <c r="S1278" s="9">
        <f>YEAR(Table1[[#This Row],[Date]])</f>
        <v>2026</v>
      </c>
      <c r="T1278" s="9"/>
      <c r="U1278" s="9"/>
    </row>
    <row r="1279" spans="1:21" hidden="1" x14ac:dyDescent="0.3">
      <c r="A1279" t="s">
        <v>1918</v>
      </c>
      <c r="B1279" s="6">
        <v>45943</v>
      </c>
      <c r="C1279" t="s">
        <v>26</v>
      </c>
      <c r="D1279" t="s">
        <v>114</v>
      </c>
      <c r="E1279" t="s">
        <v>28</v>
      </c>
      <c r="F1279" t="s">
        <v>1184</v>
      </c>
      <c r="G1279" t="s">
        <v>22</v>
      </c>
      <c r="J1279" s="9">
        <v>0</v>
      </c>
      <c r="K1279" s="7">
        <v>0</v>
      </c>
      <c r="L1279" s="7">
        <v>0</v>
      </c>
      <c r="M1279" s="9">
        <v>1</v>
      </c>
      <c r="N1279" s="7">
        <v>7.3</v>
      </c>
      <c r="O1279" s="7">
        <v>1.9</v>
      </c>
      <c r="P1279" s="7">
        <v>4.0999999999999996</v>
      </c>
      <c r="Q1279" t="s">
        <v>31</v>
      </c>
      <c r="R1279" s="7" t="str">
        <f>TEXT(Table1[[#This Row],[Date]],"mmm yyyy")</f>
        <v>Oct 2025</v>
      </c>
      <c r="S1279" s="9">
        <f>YEAR(Table1[[#This Row],[Date]])</f>
        <v>2025</v>
      </c>
      <c r="T1279" s="9"/>
      <c r="U1279" s="9"/>
    </row>
    <row r="1280" spans="1:21" x14ac:dyDescent="0.3">
      <c r="A1280" t="s">
        <v>1919</v>
      </c>
      <c r="B1280" s="6">
        <v>46030</v>
      </c>
      <c r="C1280" t="s">
        <v>18</v>
      </c>
      <c r="D1280" t="s">
        <v>47</v>
      </c>
      <c r="E1280" t="s">
        <v>28</v>
      </c>
      <c r="F1280" t="s">
        <v>1920</v>
      </c>
      <c r="G1280" t="s">
        <v>22</v>
      </c>
      <c r="H1280" t="s">
        <v>86</v>
      </c>
      <c r="I1280" t="s">
        <v>24</v>
      </c>
      <c r="J1280" s="9">
        <v>1</v>
      </c>
      <c r="K1280" s="7">
        <v>46900</v>
      </c>
      <c r="L1280" s="7">
        <v>46900</v>
      </c>
      <c r="M1280" s="9"/>
      <c r="N1280" s="7">
        <v>18.100000000000001</v>
      </c>
      <c r="O1280" s="7"/>
      <c r="P1280" s="7"/>
      <c r="Q1280" t="s">
        <v>24</v>
      </c>
      <c r="R1280" s="7" t="str">
        <f>TEXT(Table1[[#This Row],[Date]],"mmm yyyy")</f>
        <v>Jan 2026</v>
      </c>
      <c r="S1280" s="9">
        <f>YEAR(Table1[[#This Row],[Date]])</f>
        <v>2026</v>
      </c>
      <c r="T1280" s="9"/>
      <c r="U1280" s="9"/>
    </row>
    <row r="1281" spans="1:21" x14ac:dyDescent="0.3">
      <c r="A1281" t="s">
        <v>1921</v>
      </c>
      <c r="B1281" s="6">
        <v>45971</v>
      </c>
      <c r="C1281" t="s">
        <v>18</v>
      </c>
      <c r="D1281" t="s">
        <v>105</v>
      </c>
      <c r="E1281" t="s">
        <v>28</v>
      </c>
      <c r="F1281" t="s">
        <v>1201</v>
      </c>
      <c r="G1281" t="s">
        <v>44</v>
      </c>
      <c r="H1281" t="s">
        <v>78</v>
      </c>
      <c r="I1281" t="s">
        <v>24</v>
      </c>
      <c r="J1281" s="9">
        <v>1</v>
      </c>
      <c r="K1281" s="7">
        <v>12200</v>
      </c>
      <c r="L1281" s="7">
        <v>12200</v>
      </c>
      <c r="M1281" s="9"/>
      <c r="N1281" s="7">
        <v>17.3</v>
      </c>
      <c r="O1281" s="7"/>
      <c r="P1281" s="7"/>
      <c r="Q1281" t="s">
        <v>24</v>
      </c>
      <c r="R1281" s="7" t="str">
        <f>TEXT(Table1[[#This Row],[Date]],"mmm yyyy")</f>
        <v>Nov 2025</v>
      </c>
      <c r="S1281" s="9">
        <f>YEAR(Table1[[#This Row],[Date]])</f>
        <v>2025</v>
      </c>
      <c r="T1281" s="9"/>
      <c r="U1281" s="9"/>
    </row>
    <row r="1282" spans="1:21" hidden="1" x14ac:dyDescent="0.3">
      <c r="A1282" t="s">
        <v>1922</v>
      </c>
      <c r="B1282" s="6">
        <v>46120</v>
      </c>
      <c r="C1282" t="s">
        <v>26</v>
      </c>
      <c r="D1282" t="s">
        <v>114</v>
      </c>
      <c r="E1282" t="s">
        <v>42</v>
      </c>
      <c r="F1282" t="s">
        <v>809</v>
      </c>
      <c r="G1282" t="s">
        <v>44</v>
      </c>
      <c r="J1282" s="9">
        <v>0</v>
      </c>
      <c r="K1282" s="7">
        <v>0</v>
      </c>
      <c r="L1282" s="7">
        <v>0</v>
      </c>
      <c r="M1282" s="9">
        <v>1</v>
      </c>
      <c r="N1282" s="7">
        <v>7.4</v>
      </c>
      <c r="O1282" s="7">
        <v>8.6999999999999993</v>
      </c>
      <c r="P1282" s="7">
        <v>4.5999999999999996</v>
      </c>
      <c r="Q1282" t="s">
        <v>31</v>
      </c>
      <c r="R1282" s="7" t="str">
        <f>TEXT(Table1[[#This Row],[Date]],"mmm yyyy")</f>
        <v>Apr 2026</v>
      </c>
      <c r="S1282" s="9">
        <f>YEAR(Table1[[#This Row],[Date]])</f>
        <v>2026</v>
      </c>
      <c r="T1282" s="9"/>
      <c r="U1282" s="9"/>
    </row>
    <row r="1283" spans="1:21" hidden="1" x14ac:dyDescent="0.3">
      <c r="A1283" t="s">
        <v>1923</v>
      </c>
      <c r="B1283" s="6">
        <v>46175</v>
      </c>
      <c r="C1283" t="s">
        <v>26</v>
      </c>
      <c r="D1283" t="s">
        <v>232</v>
      </c>
      <c r="E1283" t="s">
        <v>48</v>
      </c>
      <c r="F1283" t="s">
        <v>971</v>
      </c>
      <c r="G1283" t="s">
        <v>44</v>
      </c>
      <c r="J1283" s="9">
        <v>0</v>
      </c>
      <c r="K1283" s="7">
        <v>0</v>
      </c>
      <c r="L1283" s="7">
        <v>0</v>
      </c>
      <c r="M1283" s="9">
        <v>1</v>
      </c>
      <c r="N1283" s="7">
        <v>8.6999999999999993</v>
      </c>
      <c r="O1283" s="7">
        <v>10.3</v>
      </c>
      <c r="P1283" s="7">
        <v>3.9</v>
      </c>
      <c r="Q1283" t="s">
        <v>39</v>
      </c>
      <c r="R1283" s="7" t="str">
        <f>TEXT(Table1[[#This Row],[Date]],"mmm yyyy")</f>
        <v>Jun 2026</v>
      </c>
      <c r="S1283" s="9">
        <f>YEAR(Table1[[#This Row],[Date]])</f>
        <v>2026</v>
      </c>
      <c r="T1283" s="9"/>
      <c r="U1283" s="9"/>
    </row>
    <row r="1284" spans="1:21" hidden="1" x14ac:dyDescent="0.3">
      <c r="A1284" t="s">
        <v>1924</v>
      </c>
      <c r="B1284" s="6">
        <v>46202</v>
      </c>
      <c r="C1284" t="s">
        <v>26</v>
      </c>
      <c r="D1284" t="s">
        <v>126</v>
      </c>
      <c r="E1284" t="s">
        <v>20</v>
      </c>
      <c r="F1284" t="s">
        <v>182</v>
      </c>
      <c r="G1284" t="s">
        <v>30</v>
      </c>
      <c r="J1284" s="9">
        <v>0</v>
      </c>
      <c r="K1284" s="7">
        <v>0</v>
      </c>
      <c r="L1284" s="7">
        <v>0</v>
      </c>
      <c r="M1284" s="9">
        <v>1</v>
      </c>
      <c r="N1284" s="7">
        <v>5.3</v>
      </c>
      <c r="O1284" s="7">
        <v>4.3</v>
      </c>
      <c r="P1284" s="7">
        <v>3.7</v>
      </c>
      <c r="Q1284" t="s">
        <v>31</v>
      </c>
      <c r="R1284" s="7" t="str">
        <f>TEXT(Table1[[#This Row],[Date]],"mmm yyyy")</f>
        <v>Jun 2026</v>
      </c>
      <c r="S1284" s="9">
        <f>YEAR(Table1[[#This Row],[Date]])</f>
        <v>2026</v>
      </c>
      <c r="T1284" s="9"/>
      <c r="U1284" s="9"/>
    </row>
    <row r="1285" spans="1:21" x14ac:dyDescent="0.3">
      <c r="A1285" t="s">
        <v>1925</v>
      </c>
      <c r="B1285" s="6">
        <v>45941</v>
      </c>
      <c r="C1285" t="s">
        <v>18</v>
      </c>
      <c r="D1285" t="s">
        <v>47</v>
      </c>
      <c r="E1285" t="s">
        <v>20</v>
      </c>
      <c r="F1285" t="s">
        <v>1926</v>
      </c>
      <c r="G1285" t="s">
        <v>30</v>
      </c>
      <c r="H1285" t="s">
        <v>23</v>
      </c>
      <c r="I1285" t="s">
        <v>24</v>
      </c>
      <c r="J1285" s="9">
        <v>1</v>
      </c>
      <c r="K1285" s="7">
        <v>22900</v>
      </c>
      <c r="L1285" s="7">
        <v>22900</v>
      </c>
      <c r="M1285" s="9"/>
      <c r="N1285" s="7">
        <v>3.3</v>
      </c>
      <c r="O1285" s="7"/>
      <c r="P1285" s="7"/>
      <c r="Q1285" t="s">
        <v>24</v>
      </c>
      <c r="R1285" s="7" t="str">
        <f>TEXT(Table1[[#This Row],[Date]],"mmm yyyy")</f>
        <v>Oct 2025</v>
      </c>
      <c r="S1285" s="9">
        <f>YEAR(Table1[[#This Row],[Date]])</f>
        <v>2025</v>
      </c>
      <c r="T1285" s="9"/>
      <c r="U1285" s="9"/>
    </row>
    <row r="1286" spans="1:21" x14ac:dyDescent="0.3">
      <c r="A1286" t="s">
        <v>1927</v>
      </c>
      <c r="B1286" s="6">
        <v>46045</v>
      </c>
      <c r="C1286" t="s">
        <v>18</v>
      </c>
      <c r="D1286" t="s">
        <v>47</v>
      </c>
      <c r="E1286" t="s">
        <v>48</v>
      </c>
      <c r="F1286" t="s">
        <v>244</v>
      </c>
      <c r="G1286" t="s">
        <v>22</v>
      </c>
      <c r="H1286" t="s">
        <v>23</v>
      </c>
      <c r="I1286" t="s">
        <v>24</v>
      </c>
      <c r="J1286" s="9">
        <v>1</v>
      </c>
      <c r="K1286" s="7">
        <v>14700</v>
      </c>
      <c r="L1286" s="7">
        <v>14700</v>
      </c>
      <c r="M1286" s="9"/>
      <c r="N1286" s="7">
        <v>11.5</v>
      </c>
      <c r="O1286" s="7"/>
      <c r="P1286" s="7"/>
      <c r="Q1286" t="s">
        <v>24</v>
      </c>
      <c r="R1286" s="7" t="str">
        <f>TEXT(Table1[[#This Row],[Date]],"mmm yyyy")</f>
        <v>Jan 2026</v>
      </c>
      <c r="S1286" s="9">
        <f>YEAR(Table1[[#This Row],[Date]])</f>
        <v>2026</v>
      </c>
      <c r="T1286" s="9"/>
      <c r="U1286" s="9"/>
    </row>
    <row r="1287" spans="1:21" x14ac:dyDescent="0.3">
      <c r="A1287" t="s">
        <v>1928</v>
      </c>
      <c r="B1287" s="6">
        <v>45915</v>
      </c>
      <c r="C1287" t="s">
        <v>18</v>
      </c>
      <c r="D1287" t="s">
        <v>64</v>
      </c>
      <c r="E1287" t="s">
        <v>48</v>
      </c>
      <c r="F1287" t="s">
        <v>1342</v>
      </c>
      <c r="G1287" t="s">
        <v>30</v>
      </c>
      <c r="H1287" t="s">
        <v>54</v>
      </c>
      <c r="I1287" t="s">
        <v>45</v>
      </c>
      <c r="J1287" s="9">
        <v>1</v>
      </c>
      <c r="K1287" s="7">
        <v>12700</v>
      </c>
      <c r="L1287" s="7">
        <v>0</v>
      </c>
      <c r="M1287" s="9"/>
      <c r="N1287" s="7">
        <v>4.9000000000000004</v>
      </c>
      <c r="O1287" s="7"/>
      <c r="P1287" s="7"/>
      <c r="Q1287" t="s">
        <v>45</v>
      </c>
      <c r="R1287" s="7" t="str">
        <f>TEXT(Table1[[#This Row],[Date]],"mmm yyyy")</f>
        <v>Sep 2025</v>
      </c>
      <c r="S1287" s="9">
        <f>YEAR(Table1[[#This Row],[Date]])</f>
        <v>2025</v>
      </c>
      <c r="T1287" s="9"/>
      <c r="U1287" s="9"/>
    </row>
    <row r="1288" spans="1:21" x14ac:dyDescent="0.3">
      <c r="A1288" t="s">
        <v>1929</v>
      </c>
      <c r="B1288" s="6">
        <v>46045</v>
      </c>
      <c r="C1288" t="s">
        <v>18</v>
      </c>
      <c r="D1288" t="s">
        <v>47</v>
      </c>
      <c r="E1288" t="s">
        <v>48</v>
      </c>
      <c r="F1288" t="s">
        <v>476</v>
      </c>
      <c r="G1288" t="s">
        <v>22</v>
      </c>
      <c r="H1288" t="s">
        <v>23</v>
      </c>
      <c r="I1288" t="s">
        <v>55</v>
      </c>
      <c r="J1288" s="9">
        <v>1</v>
      </c>
      <c r="K1288" s="7">
        <v>23100</v>
      </c>
      <c r="L1288" s="7">
        <v>0</v>
      </c>
      <c r="M1288" s="9"/>
      <c r="N1288" s="7">
        <v>20</v>
      </c>
      <c r="O1288" s="7"/>
      <c r="P1288" s="7"/>
      <c r="Q1288" t="s">
        <v>55</v>
      </c>
      <c r="R1288" s="7" t="str">
        <f>TEXT(Table1[[#This Row],[Date]],"mmm yyyy")</f>
        <v>Jan 2026</v>
      </c>
      <c r="S1288" s="9">
        <f>YEAR(Table1[[#This Row],[Date]])</f>
        <v>2026</v>
      </c>
      <c r="T1288" s="9"/>
      <c r="U1288" s="9"/>
    </row>
    <row r="1289" spans="1:21" x14ac:dyDescent="0.3">
      <c r="A1289" t="s">
        <v>1930</v>
      </c>
      <c r="B1289" s="6">
        <v>46063</v>
      </c>
      <c r="C1289" t="s">
        <v>18</v>
      </c>
      <c r="D1289" t="s">
        <v>41</v>
      </c>
      <c r="E1289" t="s">
        <v>20</v>
      </c>
      <c r="F1289" t="s">
        <v>981</v>
      </c>
      <c r="G1289" t="s">
        <v>44</v>
      </c>
      <c r="H1289" t="s">
        <v>54</v>
      </c>
      <c r="I1289" t="s">
        <v>24</v>
      </c>
      <c r="J1289" s="9">
        <v>1</v>
      </c>
      <c r="K1289" s="7">
        <v>20800</v>
      </c>
      <c r="L1289" s="7">
        <v>20800</v>
      </c>
      <c r="M1289" s="9"/>
      <c r="N1289" s="7">
        <v>12.6</v>
      </c>
      <c r="O1289" s="7"/>
      <c r="P1289" s="7"/>
      <c r="Q1289" t="s">
        <v>24</v>
      </c>
      <c r="R1289" s="7" t="str">
        <f>TEXT(Table1[[#This Row],[Date]],"mmm yyyy")</f>
        <v>Feb 2026</v>
      </c>
      <c r="S1289" s="9">
        <f>YEAR(Table1[[#This Row],[Date]])</f>
        <v>2026</v>
      </c>
      <c r="T1289" s="9"/>
      <c r="U1289" s="9"/>
    </row>
    <row r="1290" spans="1:21" x14ac:dyDescent="0.3">
      <c r="A1290" t="s">
        <v>1931</v>
      </c>
      <c r="B1290" s="6">
        <v>46157</v>
      </c>
      <c r="C1290" t="s">
        <v>18</v>
      </c>
      <c r="D1290" t="s">
        <v>117</v>
      </c>
      <c r="E1290" t="s">
        <v>20</v>
      </c>
      <c r="F1290" t="s">
        <v>160</v>
      </c>
      <c r="G1290" t="s">
        <v>30</v>
      </c>
      <c r="H1290" t="s">
        <v>78</v>
      </c>
      <c r="I1290" t="s">
        <v>89</v>
      </c>
      <c r="J1290" s="9">
        <v>1</v>
      </c>
      <c r="K1290" s="7">
        <v>11400</v>
      </c>
      <c r="L1290" s="7">
        <v>0</v>
      </c>
      <c r="M1290" s="9"/>
      <c r="N1290" s="7">
        <v>19.8</v>
      </c>
      <c r="O1290" s="7"/>
      <c r="P1290" s="7"/>
      <c r="Q1290" t="s">
        <v>89</v>
      </c>
      <c r="R1290" s="7" t="str">
        <f>TEXT(Table1[[#This Row],[Date]],"mmm yyyy")</f>
        <v>May 2026</v>
      </c>
      <c r="S1290" s="9">
        <f>YEAR(Table1[[#This Row],[Date]])</f>
        <v>2026</v>
      </c>
      <c r="T1290" s="9"/>
      <c r="U1290" s="9"/>
    </row>
    <row r="1291" spans="1:21" x14ac:dyDescent="0.3">
      <c r="A1291" t="s">
        <v>1932</v>
      </c>
      <c r="B1291" s="6">
        <v>46173</v>
      </c>
      <c r="C1291" t="s">
        <v>18</v>
      </c>
      <c r="D1291" t="s">
        <v>19</v>
      </c>
      <c r="E1291" t="s">
        <v>48</v>
      </c>
      <c r="F1291" t="s">
        <v>517</v>
      </c>
      <c r="G1291" t="s">
        <v>30</v>
      </c>
      <c r="H1291" t="s">
        <v>78</v>
      </c>
      <c r="I1291" t="s">
        <v>45</v>
      </c>
      <c r="J1291" s="9">
        <v>1</v>
      </c>
      <c r="K1291" s="7">
        <v>15200</v>
      </c>
      <c r="L1291" s="7">
        <v>0</v>
      </c>
      <c r="M1291" s="9"/>
      <c r="N1291" s="7">
        <v>4.7</v>
      </c>
      <c r="O1291" s="7"/>
      <c r="P1291" s="7"/>
      <c r="Q1291" t="s">
        <v>45</v>
      </c>
      <c r="R1291" s="7" t="str">
        <f>TEXT(Table1[[#This Row],[Date]],"mmm yyyy")</f>
        <v>May 2026</v>
      </c>
      <c r="S1291" s="9">
        <f>YEAR(Table1[[#This Row],[Date]])</f>
        <v>2026</v>
      </c>
      <c r="T1291" s="9"/>
      <c r="U1291" s="9"/>
    </row>
    <row r="1292" spans="1:21" x14ac:dyDescent="0.3">
      <c r="A1292" t="s">
        <v>1933</v>
      </c>
      <c r="B1292" s="6">
        <v>46225</v>
      </c>
      <c r="C1292" t="s">
        <v>18</v>
      </c>
      <c r="D1292" t="s">
        <v>52</v>
      </c>
      <c r="E1292" t="s">
        <v>48</v>
      </c>
      <c r="F1292" t="s">
        <v>542</v>
      </c>
      <c r="G1292" t="s">
        <v>30</v>
      </c>
      <c r="H1292" t="s">
        <v>23</v>
      </c>
      <c r="I1292" t="s">
        <v>55</v>
      </c>
      <c r="J1292" s="9">
        <v>1</v>
      </c>
      <c r="K1292" s="7">
        <v>21200</v>
      </c>
      <c r="L1292" s="7">
        <v>0</v>
      </c>
      <c r="M1292" s="9"/>
      <c r="N1292" s="7">
        <v>16.7</v>
      </c>
      <c r="O1292" s="7"/>
      <c r="P1292" s="7"/>
      <c r="Q1292" t="s">
        <v>55</v>
      </c>
      <c r="R1292" s="7" t="str">
        <f>TEXT(Table1[[#This Row],[Date]],"mmm yyyy")</f>
        <v>Jul 2026</v>
      </c>
      <c r="S1292" s="9">
        <f>YEAR(Table1[[#This Row],[Date]])</f>
        <v>2026</v>
      </c>
      <c r="T1292" s="9"/>
      <c r="U1292" s="9"/>
    </row>
    <row r="1293" spans="1:21" x14ac:dyDescent="0.3">
      <c r="A1293" t="s">
        <v>1934</v>
      </c>
      <c r="B1293" s="6">
        <v>46170</v>
      </c>
      <c r="C1293" t="s">
        <v>18</v>
      </c>
      <c r="D1293" t="s">
        <v>52</v>
      </c>
      <c r="E1293" t="s">
        <v>20</v>
      </c>
      <c r="F1293" t="s">
        <v>106</v>
      </c>
      <c r="G1293" t="s">
        <v>22</v>
      </c>
      <c r="H1293" t="s">
        <v>23</v>
      </c>
      <c r="I1293" t="s">
        <v>24</v>
      </c>
      <c r="J1293" s="9">
        <v>1</v>
      </c>
      <c r="K1293" s="7">
        <v>18800</v>
      </c>
      <c r="L1293" s="7">
        <v>18800</v>
      </c>
      <c r="M1293" s="9"/>
      <c r="N1293" s="7">
        <v>23</v>
      </c>
      <c r="O1293" s="7"/>
      <c r="P1293" s="7"/>
      <c r="Q1293" t="s">
        <v>24</v>
      </c>
      <c r="R1293" s="7" t="str">
        <f>TEXT(Table1[[#This Row],[Date]],"mmm yyyy")</f>
        <v>May 2026</v>
      </c>
      <c r="S1293" s="9">
        <f>YEAR(Table1[[#This Row],[Date]])</f>
        <v>2026</v>
      </c>
      <c r="T1293" s="9"/>
      <c r="U1293" s="9"/>
    </row>
    <row r="1294" spans="1:21" hidden="1" x14ac:dyDescent="0.3">
      <c r="A1294" t="s">
        <v>1935</v>
      </c>
      <c r="B1294" s="6">
        <v>46253</v>
      </c>
      <c r="C1294" t="s">
        <v>26</v>
      </c>
      <c r="D1294" t="s">
        <v>36</v>
      </c>
      <c r="E1294" t="s">
        <v>20</v>
      </c>
      <c r="F1294" t="s">
        <v>998</v>
      </c>
      <c r="G1294" t="s">
        <v>30</v>
      </c>
      <c r="J1294" s="9">
        <v>0</v>
      </c>
      <c r="K1294" s="7">
        <v>0</v>
      </c>
      <c r="L1294" s="7">
        <v>0</v>
      </c>
      <c r="M1294" s="9">
        <v>1</v>
      </c>
      <c r="N1294" s="7">
        <v>8.1</v>
      </c>
      <c r="O1294" s="7">
        <v>2.1</v>
      </c>
      <c r="P1294" s="7">
        <v>5</v>
      </c>
      <c r="Q1294" t="s">
        <v>39</v>
      </c>
      <c r="R1294" s="7" t="str">
        <f>TEXT(Table1[[#This Row],[Date]],"mmm yyyy")</f>
        <v>Aug 2026</v>
      </c>
      <c r="S1294" s="9">
        <f>YEAR(Table1[[#This Row],[Date]])</f>
        <v>2026</v>
      </c>
      <c r="T1294" s="9"/>
      <c r="U1294" s="9"/>
    </row>
    <row r="1295" spans="1:21" hidden="1" x14ac:dyDescent="0.3">
      <c r="A1295" t="s">
        <v>1936</v>
      </c>
      <c r="B1295" s="6">
        <v>46073</v>
      </c>
      <c r="C1295" t="s">
        <v>26</v>
      </c>
      <c r="D1295" t="s">
        <v>33</v>
      </c>
      <c r="E1295" t="s">
        <v>37</v>
      </c>
      <c r="F1295" t="s">
        <v>1088</v>
      </c>
      <c r="G1295" t="s">
        <v>22</v>
      </c>
      <c r="J1295" s="9">
        <v>0</v>
      </c>
      <c r="K1295" s="7">
        <v>0</v>
      </c>
      <c r="L1295" s="7">
        <v>0</v>
      </c>
      <c r="M1295" s="9">
        <v>1</v>
      </c>
      <c r="N1295" s="7">
        <v>7.2</v>
      </c>
      <c r="O1295" s="7">
        <v>6.6</v>
      </c>
      <c r="P1295" s="7">
        <v>5</v>
      </c>
      <c r="Q1295" t="s">
        <v>62</v>
      </c>
      <c r="R1295" s="7" t="str">
        <f>TEXT(Table1[[#This Row],[Date]],"mmm yyyy")</f>
        <v>Feb 2026</v>
      </c>
      <c r="S1295" s="9">
        <f>YEAR(Table1[[#This Row],[Date]])</f>
        <v>2026</v>
      </c>
      <c r="T1295" s="9"/>
      <c r="U1295" s="9"/>
    </row>
    <row r="1296" spans="1:21" hidden="1" x14ac:dyDescent="0.3">
      <c r="A1296" t="s">
        <v>1937</v>
      </c>
      <c r="B1296" s="6">
        <v>46243</v>
      </c>
      <c r="C1296" t="s">
        <v>26</v>
      </c>
      <c r="D1296" t="s">
        <v>69</v>
      </c>
      <c r="E1296" t="s">
        <v>20</v>
      </c>
      <c r="F1296" t="s">
        <v>1254</v>
      </c>
      <c r="G1296" t="s">
        <v>22</v>
      </c>
      <c r="J1296" s="9">
        <v>0</v>
      </c>
      <c r="K1296" s="7">
        <v>0</v>
      </c>
      <c r="L1296" s="7">
        <v>0</v>
      </c>
      <c r="M1296" s="9">
        <v>1</v>
      </c>
      <c r="N1296" s="7">
        <v>9.5</v>
      </c>
      <c r="O1296" s="7">
        <v>10.3</v>
      </c>
      <c r="P1296" s="7">
        <v>4</v>
      </c>
      <c r="Q1296" t="s">
        <v>62</v>
      </c>
      <c r="R1296" s="7" t="str">
        <f>TEXT(Table1[[#This Row],[Date]],"mmm yyyy")</f>
        <v>Aug 2026</v>
      </c>
      <c r="S1296" s="9">
        <f>YEAR(Table1[[#This Row],[Date]])</f>
        <v>2026</v>
      </c>
      <c r="T1296" s="9"/>
      <c r="U1296" s="9"/>
    </row>
    <row r="1297" spans="1:21" x14ac:dyDescent="0.3">
      <c r="A1297" t="s">
        <v>1938</v>
      </c>
      <c r="B1297" s="6">
        <v>46124</v>
      </c>
      <c r="C1297" t="s">
        <v>18</v>
      </c>
      <c r="D1297" t="s">
        <v>19</v>
      </c>
      <c r="E1297" t="s">
        <v>48</v>
      </c>
      <c r="F1297" t="s">
        <v>939</v>
      </c>
      <c r="G1297" t="s">
        <v>50</v>
      </c>
      <c r="H1297" t="s">
        <v>54</v>
      </c>
      <c r="I1297" t="s">
        <v>89</v>
      </c>
      <c r="J1297" s="9">
        <v>1</v>
      </c>
      <c r="K1297" s="7">
        <v>11600</v>
      </c>
      <c r="L1297" s="7">
        <v>0</v>
      </c>
      <c r="M1297" s="9"/>
      <c r="N1297" s="7">
        <v>8.8000000000000007</v>
      </c>
      <c r="O1297" s="7"/>
      <c r="P1297" s="7"/>
      <c r="Q1297" t="s">
        <v>89</v>
      </c>
      <c r="R1297" s="7" t="str">
        <f>TEXT(Table1[[#This Row],[Date]],"mmm yyyy")</f>
        <v>Apr 2026</v>
      </c>
      <c r="S1297" s="9">
        <f>YEAR(Table1[[#This Row],[Date]])</f>
        <v>2026</v>
      </c>
      <c r="T1297" s="9"/>
      <c r="U1297" s="9"/>
    </row>
    <row r="1298" spans="1:21" x14ac:dyDescent="0.3">
      <c r="A1298" t="s">
        <v>1939</v>
      </c>
      <c r="B1298" s="6">
        <v>46009</v>
      </c>
      <c r="C1298" t="s">
        <v>18</v>
      </c>
      <c r="D1298" t="s">
        <v>47</v>
      </c>
      <c r="E1298" t="s">
        <v>20</v>
      </c>
      <c r="F1298" t="s">
        <v>1940</v>
      </c>
      <c r="G1298" t="s">
        <v>44</v>
      </c>
      <c r="H1298" t="s">
        <v>78</v>
      </c>
      <c r="I1298" t="s">
        <v>79</v>
      </c>
      <c r="J1298" s="9">
        <v>1</v>
      </c>
      <c r="K1298" s="7">
        <v>17900</v>
      </c>
      <c r="L1298" s="7">
        <v>0</v>
      </c>
      <c r="M1298" s="9"/>
      <c r="N1298" s="7">
        <v>9.9</v>
      </c>
      <c r="O1298" s="7"/>
      <c r="P1298" s="7"/>
      <c r="Q1298" t="s">
        <v>79</v>
      </c>
      <c r="R1298" s="7" t="str">
        <f>TEXT(Table1[[#This Row],[Date]],"mmm yyyy")</f>
        <v>Dec 2025</v>
      </c>
      <c r="S1298" s="9">
        <f>YEAR(Table1[[#This Row],[Date]])</f>
        <v>2025</v>
      </c>
      <c r="T1298" s="9"/>
      <c r="U1298" s="9"/>
    </row>
    <row r="1299" spans="1:21" x14ac:dyDescent="0.3">
      <c r="A1299" t="s">
        <v>1941</v>
      </c>
      <c r="B1299" s="6">
        <v>46079</v>
      </c>
      <c r="C1299" t="s">
        <v>18</v>
      </c>
      <c r="D1299" t="s">
        <v>41</v>
      </c>
      <c r="E1299" t="s">
        <v>20</v>
      </c>
      <c r="F1299" t="s">
        <v>771</v>
      </c>
      <c r="G1299" t="s">
        <v>30</v>
      </c>
      <c r="H1299" t="s">
        <v>54</v>
      </c>
      <c r="I1299" t="s">
        <v>55</v>
      </c>
      <c r="J1299" s="9">
        <v>1</v>
      </c>
      <c r="K1299" s="7">
        <v>6000</v>
      </c>
      <c r="L1299" s="7">
        <v>0</v>
      </c>
      <c r="M1299" s="9"/>
      <c r="N1299" s="7">
        <v>22.7</v>
      </c>
      <c r="O1299" s="7"/>
      <c r="P1299" s="7"/>
      <c r="Q1299" t="s">
        <v>55</v>
      </c>
      <c r="R1299" s="7" t="str">
        <f>TEXT(Table1[[#This Row],[Date]],"mmm yyyy")</f>
        <v>Feb 2026</v>
      </c>
      <c r="S1299" s="9">
        <f>YEAR(Table1[[#This Row],[Date]])</f>
        <v>2026</v>
      </c>
      <c r="T1299" s="9"/>
      <c r="U1299" s="9"/>
    </row>
    <row r="1300" spans="1:21" hidden="1" x14ac:dyDescent="0.3">
      <c r="A1300" t="s">
        <v>1942</v>
      </c>
      <c r="B1300" s="6">
        <v>46209</v>
      </c>
      <c r="C1300" t="s">
        <v>26</v>
      </c>
      <c r="D1300" t="s">
        <v>114</v>
      </c>
      <c r="E1300" t="s">
        <v>20</v>
      </c>
      <c r="F1300" t="s">
        <v>499</v>
      </c>
      <c r="G1300" t="s">
        <v>44</v>
      </c>
      <c r="J1300" s="9">
        <v>0</v>
      </c>
      <c r="K1300" s="7">
        <v>0</v>
      </c>
      <c r="L1300" s="7">
        <v>0</v>
      </c>
      <c r="M1300" s="9">
        <v>1</v>
      </c>
      <c r="N1300" s="7">
        <v>8.1</v>
      </c>
      <c r="O1300" s="7">
        <v>5.9</v>
      </c>
      <c r="P1300" s="7">
        <v>3.8</v>
      </c>
      <c r="Q1300" t="s">
        <v>39</v>
      </c>
      <c r="R1300" s="7" t="str">
        <f>TEXT(Table1[[#This Row],[Date]],"mmm yyyy")</f>
        <v>Jul 2026</v>
      </c>
      <c r="S1300" s="9">
        <f>YEAR(Table1[[#This Row],[Date]])</f>
        <v>2026</v>
      </c>
      <c r="T1300" s="9"/>
      <c r="U1300" s="9"/>
    </row>
    <row r="1301" spans="1:21" hidden="1" x14ac:dyDescent="0.3">
      <c r="A1301" t="s">
        <v>1943</v>
      </c>
      <c r="B1301" s="6">
        <v>46258</v>
      </c>
      <c r="C1301" t="s">
        <v>26</v>
      </c>
      <c r="D1301" t="s">
        <v>126</v>
      </c>
      <c r="E1301" t="s">
        <v>28</v>
      </c>
      <c r="F1301" t="s">
        <v>554</v>
      </c>
      <c r="G1301" t="s">
        <v>30</v>
      </c>
      <c r="J1301" s="9">
        <v>0</v>
      </c>
      <c r="K1301" s="7">
        <v>0</v>
      </c>
      <c r="L1301" s="7">
        <v>0</v>
      </c>
      <c r="M1301" s="9">
        <v>1</v>
      </c>
      <c r="N1301" s="7">
        <v>2.7</v>
      </c>
      <c r="O1301" s="7">
        <v>8.9</v>
      </c>
      <c r="P1301" s="7">
        <v>3.5</v>
      </c>
      <c r="Q1301" t="s">
        <v>62</v>
      </c>
      <c r="R1301" s="7" t="str">
        <f>TEXT(Table1[[#This Row],[Date]],"mmm yyyy")</f>
        <v>Aug 2026</v>
      </c>
      <c r="S1301" s="9">
        <f>YEAR(Table1[[#This Row],[Date]])</f>
        <v>2026</v>
      </c>
      <c r="T1301" s="9"/>
      <c r="U1301" s="9"/>
    </row>
    <row r="1302" spans="1:21" x14ac:dyDescent="0.3">
      <c r="A1302" t="s">
        <v>1944</v>
      </c>
      <c r="B1302" s="6">
        <v>46015</v>
      </c>
      <c r="C1302" t="s">
        <v>18</v>
      </c>
      <c r="D1302" t="s">
        <v>95</v>
      </c>
      <c r="E1302" t="s">
        <v>20</v>
      </c>
      <c r="F1302" t="s">
        <v>154</v>
      </c>
      <c r="G1302" t="s">
        <v>44</v>
      </c>
      <c r="H1302" t="s">
        <v>78</v>
      </c>
      <c r="I1302" t="s">
        <v>67</v>
      </c>
      <c r="J1302" s="9">
        <v>1</v>
      </c>
      <c r="K1302" s="7">
        <v>20400</v>
      </c>
      <c r="L1302" s="7">
        <v>0</v>
      </c>
      <c r="M1302" s="9"/>
      <c r="N1302" s="7">
        <v>20</v>
      </c>
      <c r="O1302" s="7"/>
      <c r="P1302" s="7"/>
      <c r="Q1302" t="s">
        <v>67</v>
      </c>
      <c r="R1302" s="7" t="str">
        <f>TEXT(Table1[[#This Row],[Date]],"mmm yyyy")</f>
        <v>Dec 2025</v>
      </c>
      <c r="S1302" s="9">
        <f>YEAR(Table1[[#This Row],[Date]])</f>
        <v>2025</v>
      </c>
      <c r="T1302" s="9"/>
      <c r="U1302" s="9"/>
    </row>
    <row r="1303" spans="1:21" hidden="1" x14ac:dyDescent="0.3">
      <c r="A1303" t="s">
        <v>1945</v>
      </c>
      <c r="B1303" s="6">
        <v>45927</v>
      </c>
      <c r="C1303" t="s">
        <v>26</v>
      </c>
      <c r="D1303" t="s">
        <v>114</v>
      </c>
      <c r="E1303" t="s">
        <v>28</v>
      </c>
      <c r="F1303" t="s">
        <v>663</v>
      </c>
      <c r="G1303" t="s">
        <v>22</v>
      </c>
      <c r="J1303" s="9">
        <v>0</v>
      </c>
      <c r="K1303" s="7">
        <v>0</v>
      </c>
      <c r="L1303" s="7">
        <v>0</v>
      </c>
      <c r="M1303" s="9">
        <v>1</v>
      </c>
      <c r="N1303" s="7">
        <v>11.5</v>
      </c>
      <c r="O1303" s="7">
        <v>3.7</v>
      </c>
      <c r="P1303" s="7">
        <v>5</v>
      </c>
      <c r="Q1303" t="s">
        <v>225</v>
      </c>
      <c r="R1303" s="7" t="str">
        <f>TEXT(Table1[[#This Row],[Date]],"mmm yyyy")</f>
        <v>Sep 2025</v>
      </c>
      <c r="S1303" s="9">
        <f>YEAR(Table1[[#This Row],[Date]])</f>
        <v>2025</v>
      </c>
      <c r="T1303" s="9"/>
      <c r="U1303" s="9"/>
    </row>
    <row r="1304" spans="1:21" x14ac:dyDescent="0.3">
      <c r="A1304" t="s">
        <v>1946</v>
      </c>
      <c r="B1304" s="6">
        <v>46043</v>
      </c>
      <c r="C1304" t="s">
        <v>18</v>
      </c>
      <c r="D1304" t="s">
        <v>47</v>
      </c>
      <c r="E1304" t="s">
        <v>20</v>
      </c>
      <c r="F1304" t="s">
        <v>694</v>
      </c>
      <c r="G1304" t="s">
        <v>30</v>
      </c>
      <c r="H1304" t="s">
        <v>86</v>
      </c>
      <c r="I1304" t="s">
        <v>45</v>
      </c>
      <c r="J1304" s="9">
        <v>1</v>
      </c>
      <c r="K1304" s="7">
        <v>8500</v>
      </c>
      <c r="L1304" s="7">
        <v>0</v>
      </c>
      <c r="M1304" s="9"/>
      <c r="N1304" s="7">
        <v>22.9</v>
      </c>
      <c r="O1304" s="7"/>
      <c r="P1304" s="7"/>
      <c r="Q1304" t="s">
        <v>45</v>
      </c>
      <c r="R1304" s="7" t="str">
        <f>TEXT(Table1[[#This Row],[Date]],"mmm yyyy")</f>
        <v>Jan 2026</v>
      </c>
      <c r="S1304" s="9">
        <f>YEAR(Table1[[#This Row],[Date]])</f>
        <v>2026</v>
      </c>
      <c r="T1304" s="9"/>
      <c r="U1304" s="9"/>
    </row>
    <row r="1305" spans="1:21" x14ac:dyDescent="0.3">
      <c r="A1305" t="s">
        <v>1947</v>
      </c>
      <c r="B1305" s="6">
        <v>45919</v>
      </c>
      <c r="C1305" t="s">
        <v>18</v>
      </c>
      <c r="D1305" t="s">
        <v>52</v>
      </c>
      <c r="E1305" t="s">
        <v>20</v>
      </c>
      <c r="F1305" t="s">
        <v>386</v>
      </c>
      <c r="G1305" t="s">
        <v>50</v>
      </c>
      <c r="H1305" t="s">
        <v>23</v>
      </c>
      <c r="I1305" t="s">
        <v>45</v>
      </c>
      <c r="J1305" s="9">
        <v>1</v>
      </c>
      <c r="K1305" s="7">
        <v>9800</v>
      </c>
      <c r="L1305" s="7">
        <v>0</v>
      </c>
      <c r="M1305" s="9"/>
      <c r="N1305" s="7">
        <v>3</v>
      </c>
      <c r="O1305" s="7"/>
      <c r="P1305" s="7"/>
      <c r="Q1305" t="s">
        <v>45</v>
      </c>
      <c r="R1305" s="7" t="str">
        <f>TEXT(Table1[[#This Row],[Date]],"mmm yyyy")</f>
        <v>Sep 2025</v>
      </c>
      <c r="S1305" s="9">
        <f>YEAR(Table1[[#This Row],[Date]])</f>
        <v>2025</v>
      </c>
      <c r="T1305" s="9"/>
      <c r="U1305" s="9"/>
    </row>
    <row r="1306" spans="1:21" hidden="1" x14ac:dyDescent="0.3">
      <c r="A1306" t="s">
        <v>1948</v>
      </c>
      <c r="B1306" s="6">
        <v>46078</v>
      </c>
      <c r="C1306" t="s">
        <v>26</v>
      </c>
      <c r="D1306" t="s">
        <v>72</v>
      </c>
      <c r="E1306" t="s">
        <v>28</v>
      </c>
      <c r="F1306" t="s">
        <v>1949</v>
      </c>
      <c r="G1306" t="s">
        <v>22</v>
      </c>
      <c r="J1306" s="9">
        <v>0</v>
      </c>
      <c r="K1306" s="7">
        <v>0</v>
      </c>
      <c r="L1306" s="7">
        <v>0</v>
      </c>
      <c r="M1306" s="9">
        <v>1</v>
      </c>
      <c r="N1306" s="7">
        <v>4.0999999999999996</v>
      </c>
      <c r="O1306" s="7">
        <v>6</v>
      </c>
      <c r="P1306" s="7">
        <v>4.4000000000000004</v>
      </c>
      <c r="Q1306" t="s">
        <v>39</v>
      </c>
      <c r="R1306" s="7" t="str">
        <f>TEXT(Table1[[#This Row],[Date]],"mmm yyyy")</f>
        <v>Feb 2026</v>
      </c>
      <c r="S1306" s="9">
        <f>YEAR(Table1[[#This Row],[Date]])</f>
        <v>2026</v>
      </c>
      <c r="T1306" s="9"/>
      <c r="U1306" s="9"/>
    </row>
    <row r="1307" spans="1:21" hidden="1" x14ac:dyDescent="0.3">
      <c r="A1307" t="s">
        <v>1950</v>
      </c>
      <c r="B1307" s="6">
        <v>46037</v>
      </c>
      <c r="C1307" t="s">
        <v>26</v>
      </c>
      <c r="D1307" t="s">
        <v>114</v>
      </c>
      <c r="E1307" t="s">
        <v>28</v>
      </c>
      <c r="F1307" t="s">
        <v>1392</v>
      </c>
      <c r="G1307" t="s">
        <v>30</v>
      </c>
      <c r="J1307" s="9">
        <v>0</v>
      </c>
      <c r="K1307" s="7">
        <v>0</v>
      </c>
      <c r="L1307" s="7">
        <v>0</v>
      </c>
      <c r="M1307" s="9">
        <v>1</v>
      </c>
      <c r="N1307" s="7">
        <v>9.8000000000000007</v>
      </c>
      <c r="O1307" s="7">
        <v>8.5</v>
      </c>
      <c r="P1307" s="7">
        <v>4.3</v>
      </c>
      <c r="Q1307" t="s">
        <v>62</v>
      </c>
      <c r="R1307" s="7" t="str">
        <f>TEXT(Table1[[#This Row],[Date]],"mmm yyyy")</f>
        <v>Jan 2026</v>
      </c>
      <c r="S1307" s="9">
        <f>YEAR(Table1[[#This Row],[Date]])</f>
        <v>2026</v>
      </c>
      <c r="T1307" s="9"/>
      <c r="U1307" s="9"/>
    </row>
    <row r="1308" spans="1:21" hidden="1" x14ac:dyDescent="0.3">
      <c r="A1308" t="s">
        <v>1951</v>
      </c>
      <c r="B1308" s="6">
        <v>45976</v>
      </c>
      <c r="C1308" t="s">
        <v>26</v>
      </c>
      <c r="D1308" t="s">
        <v>232</v>
      </c>
      <c r="E1308" t="s">
        <v>20</v>
      </c>
      <c r="F1308" t="s">
        <v>268</v>
      </c>
      <c r="G1308" t="s">
        <v>44</v>
      </c>
      <c r="J1308" s="9">
        <v>0</v>
      </c>
      <c r="K1308" s="7">
        <v>0</v>
      </c>
      <c r="L1308" s="7">
        <v>0</v>
      </c>
      <c r="M1308" s="9">
        <v>1</v>
      </c>
      <c r="N1308" s="7">
        <v>3</v>
      </c>
      <c r="O1308" s="7">
        <v>14.8</v>
      </c>
      <c r="P1308" s="7">
        <v>3.8</v>
      </c>
      <c r="Q1308" t="s">
        <v>62</v>
      </c>
      <c r="R1308" s="7" t="str">
        <f>TEXT(Table1[[#This Row],[Date]],"mmm yyyy")</f>
        <v>Nov 2025</v>
      </c>
      <c r="S1308" s="9">
        <f>YEAR(Table1[[#This Row],[Date]])</f>
        <v>2025</v>
      </c>
      <c r="T1308" s="9"/>
      <c r="U1308" s="9"/>
    </row>
    <row r="1309" spans="1:21" hidden="1" x14ac:dyDescent="0.3">
      <c r="A1309" t="s">
        <v>1952</v>
      </c>
      <c r="B1309" s="6">
        <v>46034</v>
      </c>
      <c r="C1309" t="s">
        <v>26</v>
      </c>
      <c r="D1309" t="s">
        <v>36</v>
      </c>
      <c r="E1309" t="s">
        <v>48</v>
      </c>
      <c r="F1309" t="s">
        <v>893</v>
      </c>
      <c r="G1309" t="s">
        <v>30</v>
      </c>
      <c r="J1309" s="9">
        <v>0</v>
      </c>
      <c r="K1309" s="7">
        <v>0</v>
      </c>
      <c r="L1309" s="7">
        <v>0</v>
      </c>
      <c r="M1309" s="9">
        <v>1</v>
      </c>
      <c r="N1309" s="7">
        <v>11.3</v>
      </c>
      <c r="O1309" s="7">
        <v>3.9</v>
      </c>
      <c r="P1309" s="7">
        <v>2.7</v>
      </c>
      <c r="Q1309" t="s">
        <v>39</v>
      </c>
      <c r="R1309" s="7" t="str">
        <f>TEXT(Table1[[#This Row],[Date]],"mmm yyyy")</f>
        <v>Jan 2026</v>
      </c>
      <c r="S1309" s="9">
        <f>YEAR(Table1[[#This Row],[Date]])</f>
        <v>2026</v>
      </c>
      <c r="T1309" s="9"/>
      <c r="U1309" s="9"/>
    </row>
    <row r="1310" spans="1:21" x14ac:dyDescent="0.3">
      <c r="A1310" t="s">
        <v>1953</v>
      </c>
      <c r="B1310" s="6">
        <v>46240</v>
      </c>
      <c r="C1310" t="s">
        <v>18</v>
      </c>
      <c r="D1310" t="s">
        <v>41</v>
      </c>
      <c r="E1310" t="s">
        <v>20</v>
      </c>
      <c r="F1310" t="s">
        <v>626</v>
      </c>
      <c r="G1310" t="s">
        <v>44</v>
      </c>
      <c r="H1310" t="s">
        <v>78</v>
      </c>
      <c r="I1310" t="s">
        <v>67</v>
      </c>
      <c r="J1310" s="9">
        <v>1</v>
      </c>
      <c r="K1310" s="7">
        <v>56100</v>
      </c>
      <c r="L1310" s="7">
        <v>0</v>
      </c>
      <c r="M1310" s="9"/>
      <c r="N1310" s="7">
        <v>17.399999999999999</v>
      </c>
      <c r="O1310" s="7"/>
      <c r="P1310" s="7"/>
      <c r="Q1310" t="s">
        <v>67</v>
      </c>
      <c r="R1310" s="7" t="str">
        <f>TEXT(Table1[[#This Row],[Date]],"mmm yyyy")</f>
        <v>Aug 2026</v>
      </c>
      <c r="S1310" s="9">
        <f>YEAR(Table1[[#This Row],[Date]])</f>
        <v>2026</v>
      </c>
      <c r="T1310" s="9"/>
      <c r="U1310" s="9"/>
    </row>
    <row r="1311" spans="1:21" hidden="1" x14ac:dyDescent="0.3">
      <c r="A1311" t="s">
        <v>1954</v>
      </c>
      <c r="B1311" s="6">
        <v>45959</v>
      </c>
      <c r="C1311" t="s">
        <v>26</v>
      </c>
      <c r="D1311" t="s">
        <v>232</v>
      </c>
      <c r="E1311" t="s">
        <v>48</v>
      </c>
      <c r="F1311" t="s">
        <v>1074</v>
      </c>
      <c r="G1311" t="s">
        <v>30</v>
      </c>
      <c r="J1311" s="9">
        <v>0</v>
      </c>
      <c r="K1311" s="7">
        <v>0</v>
      </c>
      <c r="L1311" s="7">
        <v>0</v>
      </c>
      <c r="M1311" s="9">
        <v>1</v>
      </c>
      <c r="N1311" s="7">
        <v>10.8</v>
      </c>
      <c r="O1311" s="7">
        <v>13.6</v>
      </c>
      <c r="P1311" s="7">
        <v>3.1</v>
      </c>
      <c r="Q1311" t="s">
        <v>225</v>
      </c>
      <c r="R1311" s="7" t="str">
        <f>TEXT(Table1[[#This Row],[Date]],"mmm yyyy")</f>
        <v>Oct 2025</v>
      </c>
      <c r="S1311" s="9">
        <f>YEAR(Table1[[#This Row],[Date]])</f>
        <v>2025</v>
      </c>
      <c r="T1311" s="9"/>
      <c r="U1311" s="9"/>
    </row>
    <row r="1312" spans="1:21" x14ac:dyDescent="0.3">
      <c r="A1312" t="s">
        <v>1955</v>
      </c>
      <c r="B1312" s="6">
        <v>45944</v>
      </c>
      <c r="C1312" t="s">
        <v>18</v>
      </c>
      <c r="D1312" t="s">
        <v>117</v>
      </c>
      <c r="E1312" t="s">
        <v>20</v>
      </c>
      <c r="F1312" t="s">
        <v>990</v>
      </c>
      <c r="G1312" t="s">
        <v>30</v>
      </c>
      <c r="H1312" t="s">
        <v>54</v>
      </c>
      <c r="I1312" t="s">
        <v>89</v>
      </c>
      <c r="J1312" s="9">
        <v>1</v>
      </c>
      <c r="K1312" s="7">
        <v>35800</v>
      </c>
      <c r="L1312" s="7">
        <v>0</v>
      </c>
      <c r="M1312" s="9"/>
      <c r="N1312" s="7">
        <v>14.7</v>
      </c>
      <c r="O1312" s="7"/>
      <c r="P1312" s="7"/>
      <c r="Q1312" t="s">
        <v>89</v>
      </c>
      <c r="R1312" s="7" t="str">
        <f>TEXT(Table1[[#This Row],[Date]],"mmm yyyy")</f>
        <v>Oct 2025</v>
      </c>
      <c r="S1312" s="9">
        <f>YEAR(Table1[[#This Row],[Date]])</f>
        <v>2025</v>
      </c>
      <c r="T1312" s="9"/>
      <c r="U1312" s="9"/>
    </row>
    <row r="1313" spans="1:21" hidden="1" x14ac:dyDescent="0.3">
      <c r="A1313" t="s">
        <v>1956</v>
      </c>
      <c r="B1313" s="6">
        <v>45970</v>
      </c>
      <c r="C1313" t="s">
        <v>26</v>
      </c>
      <c r="D1313" t="s">
        <v>27</v>
      </c>
      <c r="E1313" t="s">
        <v>28</v>
      </c>
      <c r="F1313" t="s">
        <v>81</v>
      </c>
      <c r="G1313" t="s">
        <v>22</v>
      </c>
      <c r="J1313" s="9">
        <v>0</v>
      </c>
      <c r="K1313" s="7">
        <v>0</v>
      </c>
      <c r="L1313" s="7">
        <v>0</v>
      </c>
      <c r="M1313" s="9">
        <v>1</v>
      </c>
      <c r="N1313" s="7">
        <v>5.0999999999999996</v>
      </c>
      <c r="O1313" s="7">
        <v>12.1</v>
      </c>
      <c r="P1313" s="7">
        <v>3.9</v>
      </c>
      <c r="Q1313" t="s">
        <v>31</v>
      </c>
      <c r="R1313" s="7" t="str">
        <f>TEXT(Table1[[#This Row],[Date]],"mmm yyyy")</f>
        <v>Nov 2025</v>
      </c>
      <c r="S1313" s="9">
        <f>YEAR(Table1[[#This Row],[Date]])</f>
        <v>2025</v>
      </c>
      <c r="T1313" s="9"/>
      <c r="U1313" s="9"/>
    </row>
    <row r="1314" spans="1:21" x14ac:dyDescent="0.3">
      <c r="A1314" t="s">
        <v>1957</v>
      </c>
      <c r="B1314" s="6">
        <v>46012</v>
      </c>
      <c r="C1314" t="s">
        <v>18</v>
      </c>
      <c r="D1314" t="s">
        <v>47</v>
      </c>
      <c r="E1314" t="s">
        <v>42</v>
      </c>
      <c r="F1314" t="s">
        <v>650</v>
      </c>
      <c r="G1314" t="s">
        <v>30</v>
      </c>
      <c r="H1314" t="s">
        <v>23</v>
      </c>
      <c r="I1314" t="s">
        <v>55</v>
      </c>
      <c r="J1314" s="9">
        <v>1</v>
      </c>
      <c r="K1314" s="7">
        <v>66700</v>
      </c>
      <c r="L1314" s="7">
        <v>0</v>
      </c>
      <c r="M1314" s="9"/>
      <c r="N1314" s="7">
        <v>23.3</v>
      </c>
      <c r="O1314" s="7"/>
      <c r="P1314" s="7"/>
      <c r="Q1314" t="s">
        <v>55</v>
      </c>
      <c r="R1314" s="7" t="str">
        <f>TEXT(Table1[[#This Row],[Date]],"mmm yyyy")</f>
        <v>Dec 2025</v>
      </c>
      <c r="S1314" s="9">
        <f>YEAR(Table1[[#This Row],[Date]])</f>
        <v>2025</v>
      </c>
      <c r="T1314" s="9"/>
      <c r="U1314" s="9"/>
    </row>
    <row r="1315" spans="1:21" hidden="1" x14ac:dyDescent="0.3">
      <c r="A1315" t="s">
        <v>1958</v>
      </c>
      <c r="B1315" s="6">
        <v>46011</v>
      </c>
      <c r="C1315" t="s">
        <v>26</v>
      </c>
      <c r="D1315" t="s">
        <v>36</v>
      </c>
      <c r="E1315" t="s">
        <v>42</v>
      </c>
      <c r="F1315" t="s">
        <v>368</v>
      </c>
      <c r="G1315" t="s">
        <v>44</v>
      </c>
      <c r="J1315" s="9">
        <v>0</v>
      </c>
      <c r="K1315" s="7">
        <v>0</v>
      </c>
      <c r="L1315" s="7">
        <v>0</v>
      </c>
      <c r="M1315" s="9">
        <v>1</v>
      </c>
      <c r="N1315" s="7">
        <v>3.9</v>
      </c>
      <c r="O1315" s="7">
        <v>10.4</v>
      </c>
      <c r="P1315" s="7">
        <v>5</v>
      </c>
      <c r="Q1315" t="s">
        <v>39</v>
      </c>
      <c r="R1315" s="7" t="str">
        <f>TEXT(Table1[[#This Row],[Date]],"mmm yyyy")</f>
        <v>Dec 2025</v>
      </c>
      <c r="S1315" s="9">
        <f>YEAR(Table1[[#This Row],[Date]])</f>
        <v>2025</v>
      </c>
      <c r="T1315" s="9"/>
      <c r="U1315" s="9"/>
    </row>
    <row r="1316" spans="1:21" x14ac:dyDescent="0.3">
      <c r="A1316" t="s">
        <v>1959</v>
      </c>
      <c r="B1316" s="6">
        <v>45920</v>
      </c>
      <c r="C1316" t="s">
        <v>18</v>
      </c>
      <c r="D1316" t="s">
        <v>47</v>
      </c>
      <c r="E1316" t="s">
        <v>20</v>
      </c>
      <c r="F1316" t="s">
        <v>342</v>
      </c>
      <c r="G1316" t="s">
        <v>22</v>
      </c>
      <c r="H1316" t="s">
        <v>86</v>
      </c>
      <c r="I1316" t="s">
        <v>45</v>
      </c>
      <c r="J1316" s="9">
        <v>1</v>
      </c>
      <c r="K1316" s="7">
        <v>12400</v>
      </c>
      <c r="L1316" s="7">
        <v>0</v>
      </c>
      <c r="M1316" s="9"/>
      <c r="N1316" s="7">
        <v>21.6</v>
      </c>
      <c r="O1316" s="7"/>
      <c r="P1316" s="7"/>
      <c r="Q1316" t="s">
        <v>45</v>
      </c>
      <c r="R1316" s="7" t="str">
        <f>TEXT(Table1[[#This Row],[Date]],"mmm yyyy")</f>
        <v>Sep 2025</v>
      </c>
      <c r="S1316" s="9">
        <f>YEAR(Table1[[#This Row],[Date]])</f>
        <v>2025</v>
      </c>
      <c r="T1316" s="9"/>
      <c r="U1316" s="9"/>
    </row>
    <row r="1317" spans="1:21" hidden="1" x14ac:dyDescent="0.3">
      <c r="A1317" t="s">
        <v>1960</v>
      </c>
      <c r="B1317" s="6">
        <v>46213</v>
      </c>
      <c r="C1317" t="s">
        <v>26</v>
      </c>
      <c r="D1317" t="s">
        <v>232</v>
      </c>
      <c r="E1317" t="s">
        <v>20</v>
      </c>
      <c r="F1317" t="s">
        <v>1223</v>
      </c>
      <c r="G1317" t="s">
        <v>30</v>
      </c>
      <c r="J1317" s="9">
        <v>0</v>
      </c>
      <c r="K1317" s="7">
        <v>0</v>
      </c>
      <c r="L1317" s="7">
        <v>0</v>
      </c>
      <c r="M1317" s="9">
        <v>1</v>
      </c>
      <c r="N1317" s="7">
        <v>10</v>
      </c>
      <c r="O1317" s="7">
        <v>4.8</v>
      </c>
      <c r="P1317" s="7">
        <v>5</v>
      </c>
      <c r="Q1317" t="s">
        <v>62</v>
      </c>
      <c r="R1317" s="7" t="str">
        <f>TEXT(Table1[[#This Row],[Date]],"mmm yyyy")</f>
        <v>Jul 2026</v>
      </c>
      <c r="S1317" s="9">
        <f>YEAR(Table1[[#This Row],[Date]])</f>
        <v>2026</v>
      </c>
      <c r="T1317" s="9"/>
      <c r="U1317" s="9"/>
    </row>
    <row r="1318" spans="1:21" x14ac:dyDescent="0.3">
      <c r="A1318" t="s">
        <v>1961</v>
      </c>
      <c r="B1318" s="6">
        <v>45967</v>
      </c>
      <c r="C1318" t="s">
        <v>18</v>
      </c>
      <c r="D1318" t="s">
        <v>47</v>
      </c>
      <c r="E1318" t="s">
        <v>42</v>
      </c>
      <c r="F1318" t="s">
        <v>270</v>
      </c>
      <c r="G1318" t="s">
        <v>44</v>
      </c>
      <c r="H1318" t="s">
        <v>23</v>
      </c>
      <c r="I1318" t="s">
        <v>79</v>
      </c>
      <c r="J1318" s="9">
        <v>1</v>
      </c>
      <c r="K1318" s="7">
        <v>26800</v>
      </c>
      <c r="L1318" s="7">
        <v>0</v>
      </c>
      <c r="M1318" s="9"/>
      <c r="N1318" s="7">
        <v>15.5</v>
      </c>
      <c r="O1318" s="7"/>
      <c r="P1318" s="7"/>
      <c r="Q1318" t="s">
        <v>79</v>
      </c>
      <c r="R1318" s="7" t="str">
        <f>TEXT(Table1[[#This Row],[Date]],"mmm yyyy")</f>
        <v>Nov 2025</v>
      </c>
      <c r="S1318" s="9">
        <f>YEAR(Table1[[#This Row],[Date]])</f>
        <v>2025</v>
      </c>
      <c r="T1318" s="9"/>
      <c r="U1318" s="9"/>
    </row>
    <row r="1319" spans="1:21" hidden="1" x14ac:dyDescent="0.3">
      <c r="A1319" t="s">
        <v>1962</v>
      </c>
      <c r="B1319" s="6">
        <v>45904</v>
      </c>
      <c r="C1319" t="s">
        <v>26</v>
      </c>
      <c r="D1319" t="s">
        <v>36</v>
      </c>
      <c r="E1319" t="s">
        <v>20</v>
      </c>
      <c r="F1319" t="s">
        <v>1297</v>
      </c>
      <c r="G1319" t="s">
        <v>22</v>
      </c>
      <c r="J1319" s="9">
        <v>0</v>
      </c>
      <c r="K1319" s="7">
        <v>0</v>
      </c>
      <c r="L1319" s="7">
        <v>0</v>
      </c>
      <c r="M1319" s="9">
        <v>1</v>
      </c>
      <c r="N1319" s="7">
        <v>9.1999999999999993</v>
      </c>
      <c r="O1319" s="7">
        <v>9.5</v>
      </c>
      <c r="P1319" s="7">
        <v>3.1</v>
      </c>
      <c r="Q1319" t="s">
        <v>31</v>
      </c>
      <c r="R1319" s="7" t="str">
        <f>TEXT(Table1[[#This Row],[Date]],"mmm yyyy")</f>
        <v>Sep 2025</v>
      </c>
      <c r="S1319" s="9">
        <f>YEAR(Table1[[#This Row],[Date]])</f>
        <v>2025</v>
      </c>
      <c r="T1319" s="9"/>
      <c r="U1319" s="9"/>
    </row>
    <row r="1320" spans="1:21" x14ac:dyDescent="0.3">
      <c r="A1320" t="s">
        <v>1963</v>
      </c>
      <c r="B1320" s="6">
        <v>46046</v>
      </c>
      <c r="C1320" t="s">
        <v>18</v>
      </c>
      <c r="D1320" t="s">
        <v>95</v>
      </c>
      <c r="E1320" t="s">
        <v>42</v>
      </c>
      <c r="F1320" t="s">
        <v>1964</v>
      </c>
      <c r="G1320" t="s">
        <v>22</v>
      </c>
      <c r="H1320" t="s">
        <v>78</v>
      </c>
      <c r="I1320" t="s">
        <v>55</v>
      </c>
      <c r="J1320" s="9">
        <v>1</v>
      </c>
      <c r="K1320" s="7">
        <v>6800</v>
      </c>
      <c r="L1320" s="7">
        <v>0</v>
      </c>
      <c r="M1320" s="9"/>
      <c r="N1320" s="7">
        <v>5.2</v>
      </c>
      <c r="O1320" s="7"/>
      <c r="P1320" s="7"/>
      <c r="Q1320" t="s">
        <v>55</v>
      </c>
      <c r="R1320" s="7" t="str">
        <f>TEXT(Table1[[#This Row],[Date]],"mmm yyyy")</f>
        <v>Jan 2026</v>
      </c>
      <c r="S1320" s="9">
        <f>YEAR(Table1[[#This Row],[Date]])</f>
        <v>2026</v>
      </c>
      <c r="T1320" s="9"/>
      <c r="U1320" s="9"/>
    </row>
    <row r="1321" spans="1:21" x14ac:dyDescent="0.3">
      <c r="A1321" t="s">
        <v>1965</v>
      </c>
      <c r="B1321" s="6">
        <v>46243</v>
      </c>
      <c r="C1321" t="s">
        <v>18</v>
      </c>
      <c r="D1321" t="s">
        <v>117</v>
      </c>
      <c r="E1321" t="s">
        <v>20</v>
      </c>
      <c r="F1321" t="s">
        <v>366</v>
      </c>
      <c r="G1321" t="s">
        <v>30</v>
      </c>
      <c r="H1321" t="s">
        <v>78</v>
      </c>
      <c r="I1321" t="s">
        <v>55</v>
      </c>
      <c r="J1321" s="9">
        <v>1</v>
      </c>
      <c r="K1321" s="7">
        <v>23800</v>
      </c>
      <c r="L1321" s="7">
        <v>0</v>
      </c>
      <c r="M1321" s="9"/>
      <c r="N1321" s="7">
        <v>13.1</v>
      </c>
      <c r="O1321" s="7"/>
      <c r="P1321" s="7"/>
      <c r="Q1321" t="s">
        <v>55</v>
      </c>
      <c r="R1321" s="7" t="str">
        <f>TEXT(Table1[[#This Row],[Date]],"mmm yyyy")</f>
        <v>Aug 2026</v>
      </c>
      <c r="S1321" s="9">
        <f>YEAR(Table1[[#This Row],[Date]])</f>
        <v>2026</v>
      </c>
      <c r="T1321" s="9"/>
      <c r="U1321" s="9"/>
    </row>
    <row r="1322" spans="1:21" x14ac:dyDescent="0.3">
      <c r="A1322" t="s">
        <v>1966</v>
      </c>
      <c r="B1322" s="6">
        <v>46208</v>
      </c>
      <c r="C1322" t="s">
        <v>18</v>
      </c>
      <c r="D1322" t="s">
        <v>95</v>
      </c>
      <c r="E1322" t="s">
        <v>37</v>
      </c>
      <c r="F1322" t="s">
        <v>220</v>
      </c>
      <c r="G1322" t="s">
        <v>30</v>
      </c>
      <c r="H1322" t="s">
        <v>78</v>
      </c>
      <c r="I1322" t="s">
        <v>79</v>
      </c>
      <c r="J1322" s="9">
        <v>1</v>
      </c>
      <c r="K1322" s="7">
        <v>18000</v>
      </c>
      <c r="L1322" s="7">
        <v>0</v>
      </c>
      <c r="M1322" s="9"/>
      <c r="N1322" s="7">
        <v>20.2</v>
      </c>
      <c r="O1322" s="7"/>
      <c r="P1322" s="7"/>
      <c r="Q1322" t="s">
        <v>79</v>
      </c>
      <c r="R1322" s="7" t="str">
        <f>TEXT(Table1[[#This Row],[Date]],"mmm yyyy")</f>
        <v>Jul 2026</v>
      </c>
      <c r="S1322" s="9">
        <f>YEAR(Table1[[#This Row],[Date]])</f>
        <v>2026</v>
      </c>
      <c r="T1322" s="9"/>
      <c r="U1322" s="9"/>
    </row>
    <row r="1323" spans="1:21" x14ac:dyDescent="0.3">
      <c r="A1323" t="s">
        <v>1967</v>
      </c>
      <c r="B1323" s="6">
        <v>45976</v>
      </c>
      <c r="C1323" t="s">
        <v>18</v>
      </c>
      <c r="D1323" t="s">
        <v>41</v>
      </c>
      <c r="E1323" t="s">
        <v>37</v>
      </c>
      <c r="F1323" t="s">
        <v>805</v>
      </c>
      <c r="G1323" t="s">
        <v>50</v>
      </c>
      <c r="H1323" t="s">
        <v>54</v>
      </c>
      <c r="I1323" t="s">
        <v>67</v>
      </c>
      <c r="J1323" s="9">
        <v>1</v>
      </c>
      <c r="K1323" s="7">
        <v>19600</v>
      </c>
      <c r="L1323" s="7">
        <v>0</v>
      </c>
      <c r="M1323" s="9"/>
      <c r="N1323" s="7">
        <v>24</v>
      </c>
      <c r="O1323" s="7"/>
      <c r="P1323" s="7"/>
      <c r="Q1323" t="s">
        <v>67</v>
      </c>
      <c r="R1323" s="7" t="str">
        <f>TEXT(Table1[[#This Row],[Date]],"mmm yyyy")</f>
        <v>Nov 2025</v>
      </c>
      <c r="S1323" s="9">
        <f>YEAR(Table1[[#This Row],[Date]])</f>
        <v>2025</v>
      </c>
      <c r="T1323" s="9"/>
      <c r="U1323" s="9"/>
    </row>
    <row r="1324" spans="1:21" hidden="1" x14ac:dyDescent="0.3">
      <c r="A1324" t="s">
        <v>1968</v>
      </c>
      <c r="B1324" s="6">
        <v>45926</v>
      </c>
      <c r="C1324" t="s">
        <v>26</v>
      </c>
      <c r="D1324" t="s">
        <v>72</v>
      </c>
      <c r="E1324" t="s">
        <v>20</v>
      </c>
      <c r="F1324" t="s">
        <v>1969</v>
      </c>
      <c r="G1324" t="s">
        <v>30</v>
      </c>
      <c r="J1324" s="9">
        <v>0</v>
      </c>
      <c r="K1324" s="7">
        <v>0</v>
      </c>
      <c r="L1324" s="7">
        <v>0</v>
      </c>
      <c r="M1324" s="9">
        <v>1</v>
      </c>
      <c r="N1324" s="7">
        <v>3</v>
      </c>
      <c r="O1324" s="7">
        <v>2.2999999999999998</v>
      </c>
      <c r="P1324" s="7">
        <v>4.5999999999999996</v>
      </c>
      <c r="Q1324" t="s">
        <v>39</v>
      </c>
      <c r="R1324" s="7" t="str">
        <f>TEXT(Table1[[#This Row],[Date]],"mmm yyyy")</f>
        <v>Sep 2025</v>
      </c>
      <c r="S1324" s="9">
        <f>YEAR(Table1[[#This Row],[Date]])</f>
        <v>2025</v>
      </c>
      <c r="T1324" s="9"/>
      <c r="U1324" s="9"/>
    </row>
    <row r="1325" spans="1:21" x14ac:dyDescent="0.3">
      <c r="A1325" t="s">
        <v>1970</v>
      </c>
      <c r="B1325" s="6">
        <v>46192</v>
      </c>
      <c r="C1325" t="s">
        <v>18</v>
      </c>
      <c r="D1325" t="s">
        <v>52</v>
      </c>
      <c r="E1325" t="s">
        <v>37</v>
      </c>
      <c r="F1325" t="s">
        <v>1481</v>
      </c>
      <c r="G1325" t="s">
        <v>44</v>
      </c>
      <c r="H1325" t="s">
        <v>23</v>
      </c>
      <c r="I1325" t="s">
        <v>55</v>
      </c>
      <c r="J1325" s="9">
        <v>1</v>
      </c>
      <c r="K1325" s="7">
        <v>77200</v>
      </c>
      <c r="L1325" s="7">
        <v>0</v>
      </c>
      <c r="M1325" s="9"/>
      <c r="N1325" s="7">
        <v>9.5</v>
      </c>
      <c r="O1325" s="7"/>
      <c r="P1325" s="7"/>
      <c r="Q1325" t="s">
        <v>55</v>
      </c>
      <c r="R1325" s="7" t="str">
        <f>TEXT(Table1[[#This Row],[Date]],"mmm yyyy")</f>
        <v>Jun 2026</v>
      </c>
      <c r="S1325" s="9">
        <f>YEAR(Table1[[#This Row],[Date]])</f>
        <v>2026</v>
      </c>
      <c r="T1325" s="9"/>
      <c r="U1325" s="9"/>
    </row>
    <row r="1326" spans="1:21" hidden="1" x14ac:dyDescent="0.3">
      <c r="A1326" t="s">
        <v>1971</v>
      </c>
      <c r="B1326" s="6">
        <v>46036</v>
      </c>
      <c r="C1326" t="s">
        <v>26</v>
      </c>
      <c r="D1326" t="s">
        <v>114</v>
      </c>
      <c r="E1326" t="s">
        <v>37</v>
      </c>
      <c r="F1326" t="s">
        <v>1972</v>
      </c>
      <c r="G1326" t="s">
        <v>22</v>
      </c>
      <c r="J1326" s="9">
        <v>0</v>
      </c>
      <c r="K1326" s="7">
        <v>0</v>
      </c>
      <c r="L1326" s="7">
        <v>0</v>
      </c>
      <c r="M1326" s="9">
        <v>1</v>
      </c>
      <c r="N1326" s="7">
        <v>6.6</v>
      </c>
      <c r="O1326" s="7">
        <v>10.199999999999999</v>
      </c>
      <c r="P1326" s="7">
        <v>4.2</v>
      </c>
      <c r="Q1326" t="s">
        <v>31</v>
      </c>
      <c r="R1326" s="7" t="str">
        <f>TEXT(Table1[[#This Row],[Date]],"mmm yyyy")</f>
        <v>Jan 2026</v>
      </c>
      <c r="S1326" s="9">
        <f>YEAR(Table1[[#This Row],[Date]])</f>
        <v>2026</v>
      </c>
      <c r="T1326" s="9"/>
      <c r="U1326" s="9"/>
    </row>
    <row r="1327" spans="1:21" x14ac:dyDescent="0.3">
      <c r="A1327" t="s">
        <v>1973</v>
      </c>
      <c r="B1327" s="6">
        <v>46262</v>
      </c>
      <c r="C1327" t="s">
        <v>18</v>
      </c>
      <c r="D1327" t="s">
        <v>105</v>
      </c>
      <c r="E1327" t="s">
        <v>37</v>
      </c>
      <c r="F1327" t="s">
        <v>417</v>
      </c>
      <c r="G1327" t="s">
        <v>22</v>
      </c>
      <c r="H1327" t="s">
        <v>23</v>
      </c>
      <c r="I1327" t="s">
        <v>45</v>
      </c>
      <c r="J1327" s="9">
        <v>1</v>
      </c>
      <c r="K1327" s="7">
        <v>10400</v>
      </c>
      <c r="L1327" s="7">
        <v>0</v>
      </c>
      <c r="M1327" s="9"/>
      <c r="N1327" s="7">
        <v>0.6</v>
      </c>
      <c r="O1327" s="7"/>
      <c r="P1327" s="7"/>
      <c r="Q1327" t="s">
        <v>45</v>
      </c>
      <c r="R1327" s="7" t="str">
        <f>TEXT(Table1[[#This Row],[Date]],"mmm yyyy")</f>
        <v>Aug 2026</v>
      </c>
      <c r="S1327" s="9">
        <f>YEAR(Table1[[#This Row],[Date]])</f>
        <v>2026</v>
      </c>
      <c r="T1327" s="9"/>
      <c r="U1327" s="9"/>
    </row>
    <row r="1328" spans="1:21" x14ac:dyDescent="0.3">
      <c r="A1328" t="s">
        <v>1974</v>
      </c>
      <c r="B1328" s="6">
        <v>46031</v>
      </c>
      <c r="C1328" t="s">
        <v>18</v>
      </c>
      <c r="D1328" t="s">
        <v>95</v>
      </c>
      <c r="E1328" t="s">
        <v>20</v>
      </c>
      <c r="F1328" t="s">
        <v>807</v>
      </c>
      <c r="G1328" t="s">
        <v>50</v>
      </c>
      <c r="H1328" t="s">
        <v>23</v>
      </c>
      <c r="I1328" t="s">
        <v>79</v>
      </c>
      <c r="J1328" s="9">
        <v>1</v>
      </c>
      <c r="K1328" s="7">
        <v>38400</v>
      </c>
      <c r="L1328" s="7">
        <v>0</v>
      </c>
      <c r="M1328" s="9"/>
      <c r="N1328" s="7">
        <v>19.5</v>
      </c>
      <c r="O1328" s="7"/>
      <c r="P1328" s="7"/>
      <c r="Q1328" t="s">
        <v>79</v>
      </c>
      <c r="R1328" s="7" t="str">
        <f>TEXT(Table1[[#This Row],[Date]],"mmm yyyy")</f>
        <v>Jan 2026</v>
      </c>
      <c r="S1328" s="9">
        <f>YEAR(Table1[[#This Row],[Date]])</f>
        <v>2026</v>
      </c>
      <c r="T1328" s="9"/>
      <c r="U1328" s="9"/>
    </row>
    <row r="1329" spans="1:21" hidden="1" x14ac:dyDescent="0.3">
      <c r="A1329" t="s">
        <v>1975</v>
      </c>
      <c r="B1329" s="6">
        <v>46089</v>
      </c>
      <c r="C1329" t="s">
        <v>26</v>
      </c>
      <c r="D1329" t="s">
        <v>33</v>
      </c>
      <c r="E1329" t="s">
        <v>42</v>
      </c>
      <c r="F1329" t="s">
        <v>282</v>
      </c>
      <c r="G1329" t="s">
        <v>22</v>
      </c>
      <c r="J1329" s="9">
        <v>0</v>
      </c>
      <c r="K1329" s="7">
        <v>0</v>
      </c>
      <c r="L1329" s="7">
        <v>0</v>
      </c>
      <c r="M1329" s="9">
        <v>1</v>
      </c>
      <c r="N1329" s="7">
        <v>5.6</v>
      </c>
      <c r="O1329" s="7">
        <v>3.9</v>
      </c>
      <c r="P1329" s="7">
        <v>3.6</v>
      </c>
      <c r="Q1329" t="s">
        <v>39</v>
      </c>
      <c r="R1329" s="7" t="str">
        <f>TEXT(Table1[[#This Row],[Date]],"mmm yyyy")</f>
        <v>Mar 2026</v>
      </c>
      <c r="S1329" s="9">
        <f>YEAR(Table1[[#This Row],[Date]])</f>
        <v>2026</v>
      </c>
      <c r="T1329" s="9"/>
      <c r="U1329" s="9"/>
    </row>
    <row r="1330" spans="1:21" hidden="1" x14ac:dyDescent="0.3">
      <c r="A1330" t="s">
        <v>1976</v>
      </c>
      <c r="B1330" s="6">
        <v>46107</v>
      </c>
      <c r="C1330" t="s">
        <v>26</v>
      </c>
      <c r="D1330" t="s">
        <v>114</v>
      </c>
      <c r="E1330" t="s">
        <v>20</v>
      </c>
      <c r="F1330" t="s">
        <v>1977</v>
      </c>
      <c r="G1330" t="s">
        <v>30</v>
      </c>
      <c r="J1330" s="9">
        <v>0</v>
      </c>
      <c r="K1330" s="7">
        <v>0</v>
      </c>
      <c r="L1330" s="7">
        <v>0</v>
      </c>
      <c r="M1330" s="9">
        <v>1</v>
      </c>
      <c r="N1330" s="7">
        <v>10.9</v>
      </c>
      <c r="O1330" s="7">
        <v>2.7</v>
      </c>
      <c r="P1330" s="7">
        <v>4.2</v>
      </c>
      <c r="Q1330" t="s">
        <v>39</v>
      </c>
      <c r="R1330" s="7" t="str">
        <f>TEXT(Table1[[#This Row],[Date]],"mmm yyyy")</f>
        <v>Mar 2026</v>
      </c>
      <c r="S1330" s="9">
        <f>YEAR(Table1[[#This Row],[Date]])</f>
        <v>2026</v>
      </c>
      <c r="T1330" s="9"/>
      <c r="U1330" s="9"/>
    </row>
    <row r="1331" spans="1:21" x14ac:dyDescent="0.3">
      <c r="A1331" t="s">
        <v>1978</v>
      </c>
      <c r="B1331" s="6">
        <v>46180</v>
      </c>
      <c r="C1331" t="s">
        <v>18</v>
      </c>
      <c r="D1331" t="s">
        <v>117</v>
      </c>
      <c r="E1331" t="s">
        <v>20</v>
      </c>
      <c r="F1331" t="s">
        <v>505</v>
      </c>
      <c r="G1331" t="s">
        <v>22</v>
      </c>
      <c r="H1331" t="s">
        <v>54</v>
      </c>
      <c r="I1331" t="s">
        <v>24</v>
      </c>
      <c r="J1331" s="9">
        <v>1</v>
      </c>
      <c r="K1331" s="7">
        <v>31000</v>
      </c>
      <c r="L1331" s="7">
        <v>31000</v>
      </c>
      <c r="M1331" s="9"/>
      <c r="N1331" s="7">
        <v>3.9</v>
      </c>
      <c r="O1331" s="7"/>
      <c r="P1331" s="7"/>
      <c r="Q1331" t="s">
        <v>24</v>
      </c>
      <c r="R1331" s="7" t="str">
        <f>TEXT(Table1[[#This Row],[Date]],"mmm yyyy")</f>
        <v>Jun 2026</v>
      </c>
      <c r="S1331" s="9">
        <f>YEAR(Table1[[#This Row],[Date]])</f>
        <v>2026</v>
      </c>
      <c r="T1331" s="9"/>
      <c r="U1331" s="9"/>
    </row>
    <row r="1332" spans="1:21" hidden="1" x14ac:dyDescent="0.3">
      <c r="A1332" t="s">
        <v>1979</v>
      </c>
      <c r="B1332" s="6">
        <v>46255</v>
      </c>
      <c r="C1332" t="s">
        <v>26</v>
      </c>
      <c r="D1332" t="s">
        <v>72</v>
      </c>
      <c r="E1332" t="s">
        <v>20</v>
      </c>
      <c r="F1332" t="s">
        <v>1059</v>
      </c>
      <c r="G1332" t="s">
        <v>22</v>
      </c>
      <c r="J1332" s="9">
        <v>0</v>
      </c>
      <c r="K1332" s="7">
        <v>0</v>
      </c>
      <c r="L1332" s="7">
        <v>0</v>
      </c>
      <c r="M1332" s="9">
        <v>1</v>
      </c>
      <c r="N1332" s="7">
        <v>0.4</v>
      </c>
      <c r="O1332" s="7">
        <v>8.6999999999999993</v>
      </c>
      <c r="P1332" s="7">
        <v>4.2</v>
      </c>
      <c r="Q1332" t="s">
        <v>225</v>
      </c>
      <c r="R1332" s="7" t="str">
        <f>TEXT(Table1[[#This Row],[Date]],"mmm yyyy")</f>
        <v>Aug 2026</v>
      </c>
      <c r="S1332" s="9">
        <f>YEAR(Table1[[#This Row],[Date]])</f>
        <v>2026</v>
      </c>
      <c r="T1332" s="9"/>
      <c r="U1332" s="9"/>
    </row>
    <row r="1333" spans="1:21" hidden="1" x14ac:dyDescent="0.3">
      <c r="A1333" t="s">
        <v>1980</v>
      </c>
      <c r="B1333" s="6">
        <v>46051</v>
      </c>
      <c r="C1333" t="s">
        <v>26</v>
      </c>
      <c r="D1333" t="s">
        <v>232</v>
      </c>
      <c r="E1333" t="s">
        <v>28</v>
      </c>
      <c r="F1333" t="s">
        <v>168</v>
      </c>
      <c r="G1333" t="s">
        <v>30</v>
      </c>
      <c r="J1333" s="9">
        <v>0</v>
      </c>
      <c r="K1333" s="7">
        <v>0</v>
      </c>
      <c r="L1333" s="7">
        <v>0</v>
      </c>
      <c r="M1333" s="9">
        <v>1</v>
      </c>
      <c r="N1333" s="7">
        <v>0.4</v>
      </c>
      <c r="O1333" s="7">
        <v>13.2</v>
      </c>
      <c r="P1333" s="7">
        <v>3.2</v>
      </c>
      <c r="Q1333" t="s">
        <v>225</v>
      </c>
      <c r="R1333" s="7" t="str">
        <f>TEXT(Table1[[#This Row],[Date]],"mmm yyyy")</f>
        <v>Jan 2026</v>
      </c>
      <c r="S1333" s="9">
        <f>YEAR(Table1[[#This Row],[Date]])</f>
        <v>2026</v>
      </c>
      <c r="T1333" s="9"/>
      <c r="U1333" s="9"/>
    </row>
    <row r="1334" spans="1:21" x14ac:dyDescent="0.3">
      <c r="A1334" t="s">
        <v>1981</v>
      </c>
      <c r="B1334" s="6">
        <v>46007</v>
      </c>
      <c r="C1334" t="s">
        <v>18</v>
      </c>
      <c r="D1334" t="s">
        <v>117</v>
      </c>
      <c r="E1334" t="s">
        <v>20</v>
      </c>
      <c r="F1334" t="s">
        <v>1982</v>
      </c>
      <c r="G1334" t="s">
        <v>30</v>
      </c>
      <c r="H1334" t="s">
        <v>23</v>
      </c>
      <c r="I1334" t="s">
        <v>55</v>
      </c>
      <c r="J1334" s="9">
        <v>1</v>
      </c>
      <c r="K1334" s="7">
        <v>10300</v>
      </c>
      <c r="L1334" s="7">
        <v>0</v>
      </c>
      <c r="M1334" s="9"/>
      <c r="N1334" s="7">
        <v>3.1</v>
      </c>
      <c r="O1334" s="7"/>
      <c r="P1334" s="7"/>
      <c r="Q1334" t="s">
        <v>55</v>
      </c>
      <c r="R1334" s="7" t="str">
        <f>TEXT(Table1[[#This Row],[Date]],"mmm yyyy")</f>
        <v>Dec 2025</v>
      </c>
      <c r="S1334" s="9">
        <f>YEAR(Table1[[#This Row],[Date]])</f>
        <v>2025</v>
      </c>
      <c r="T1334" s="9"/>
      <c r="U1334" s="9"/>
    </row>
    <row r="1335" spans="1:21" hidden="1" x14ac:dyDescent="0.3">
      <c r="A1335" t="s">
        <v>1983</v>
      </c>
      <c r="B1335" s="6">
        <v>46150</v>
      </c>
      <c r="C1335" t="s">
        <v>26</v>
      </c>
      <c r="D1335" t="s">
        <v>33</v>
      </c>
      <c r="E1335" t="s">
        <v>48</v>
      </c>
      <c r="F1335" t="s">
        <v>638</v>
      </c>
      <c r="G1335" t="s">
        <v>44</v>
      </c>
      <c r="J1335" s="9">
        <v>0</v>
      </c>
      <c r="K1335" s="7">
        <v>0</v>
      </c>
      <c r="L1335" s="7">
        <v>0</v>
      </c>
      <c r="M1335" s="9">
        <v>1</v>
      </c>
      <c r="N1335" s="7">
        <v>3.2</v>
      </c>
      <c r="O1335" s="7">
        <v>4.5999999999999996</v>
      </c>
      <c r="P1335" s="7">
        <v>3.2</v>
      </c>
      <c r="Q1335" t="s">
        <v>39</v>
      </c>
      <c r="R1335" s="7" t="str">
        <f>TEXT(Table1[[#This Row],[Date]],"mmm yyyy")</f>
        <v>May 2026</v>
      </c>
      <c r="S1335" s="9">
        <f>YEAR(Table1[[#This Row],[Date]])</f>
        <v>2026</v>
      </c>
      <c r="T1335" s="9"/>
      <c r="U1335" s="9"/>
    </row>
    <row r="1336" spans="1:21" hidden="1" x14ac:dyDescent="0.3">
      <c r="A1336" t="s">
        <v>1984</v>
      </c>
      <c r="B1336" s="6">
        <v>46134</v>
      </c>
      <c r="C1336" t="s">
        <v>26</v>
      </c>
      <c r="D1336" t="s">
        <v>72</v>
      </c>
      <c r="E1336" t="s">
        <v>48</v>
      </c>
      <c r="F1336" t="s">
        <v>1304</v>
      </c>
      <c r="G1336" t="s">
        <v>22</v>
      </c>
      <c r="J1336" s="9">
        <v>0</v>
      </c>
      <c r="K1336" s="7">
        <v>0</v>
      </c>
      <c r="L1336" s="7">
        <v>0</v>
      </c>
      <c r="M1336" s="9">
        <v>1</v>
      </c>
      <c r="N1336" s="7">
        <v>6.5</v>
      </c>
      <c r="O1336" s="7">
        <v>32.5</v>
      </c>
      <c r="P1336" s="7">
        <v>4.9000000000000004</v>
      </c>
      <c r="Q1336" t="s">
        <v>39</v>
      </c>
      <c r="R1336" s="7" t="str">
        <f>TEXT(Table1[[#This Row],[Date]],"mmm yyyy")</f>
        <v>Apr 2026</v>
      </c>
      <c r="S1336" s="9">
        <f>YEAR(Table1[[#This Row],[Date]])</f>
        <v>2026</v>
      </c>
      <c r="T1336" s="9"/>
      <c r="U1336" s="9"/>
    </row>
    <row r="1337" spans="1:21" hidden="1" x14ac:dyDescent="0.3">
      <c r="A1337" t="s">
        <v>1985</v>
      </c>
      <c r="B1337" s="6">
        <v>46145</v>
      </c>
      <c r="C1337" t="s">
        <v>26</v>
      </c>
      <c r="D1337" t="s">
        <v>232</v>
      </c>
      <c r="E1337" t="s">
        <v>28</v>
      </c>
      <c r="F1337" t="s">
        <v>308</v>
      </c>
      <c r="G1337" t="s">
        <v>50</v>
      </c>
      <c r="J1337" s="9">
        <v>0</v>
      </c>
      <c r="K1337" s="7">
        <v>0</v>
      </c>
      <c r="L1337" s="7">
        <v>0</v>
      </c>
      <c r="M1337" s="9">
        <v>1</v>
      </c>
      <c r="N1337" s="7">
        <v>0.8</v>
      </c>
      <c r="O1337" s="7">
        <v>27.7</v>
      </c>
      <c r="P1337" s="7">
        <v>5</v>
      </c>
      <c r="Q1337" t="s">
        <v>225</v>
      </c>
      <c r="R1337" s="7" t="str">
        <f>TEXT(Table1[[#This Row],[Date]],"mmm yyyy")</f>
        <v>May 2026</v>
      </c>
      <c r="S1337" s="9">
        <f>YEAR(Table1[[#This Row],[Date]])</f>
        <v>2026</v>
      </c>
      <c r="T1337" s="9"/>
      <c r="U1337" s="9"/>
    </row>
    <row r="1338" spans="1:21" x14ac:dyDescent="0.3">
      <c r="A1338" t="s">
        <v>1986</v>
      </c>
      <c r="B1338" s="6">
        <v>46041</v>
      </c>
      <c r="C1338" t="s">
        <v>18</v>
      </c>
      <c r="D1338" t="s">
        <v>41</v>
      </c>
      <c r="E1338" t="s">
        <v>20</v>
      </c>
      <c r="F1338" t="s">
        <v>1706</v>
      </c>
      <c r="G1338" t="s">
        <v>44</v>
      </c>
      <c r="H1338" t="s">
        <v>23</v>
      </c>
      <c r="I1338" t="s">
        <v>24</v>
      </c>
      <c r="J1338" s="9">
        <v>1</v>
      </c>
      <c r="K1338" s="7">
        <v>6200</v>
      </c>
      <c r="L1338" s="7">
        <v>6200</v>
      </c>
      <c r="M1338" s="9"/>
      <c r="N1338" s="7">
        <v>11.6</v>
      </c>
      <c r="O1338" s="7"/>
      <c r="P1338" s="7"/>
      <c r="Q1338" t="s">
        <v>24</v>
      </c>
      <c r="R1338" s="7" t="str">
        <f>TEXT(Table1[[#This Row],[Date]],"mmm yyyy")</f>
        <v>Jan 2026</v>
      </c>
      <c r="S1338" s="9">
        <f>YEAR(Table1[[#This Row],[Date]])</f>
        <v>2026</v>
      </c>
      <c r="T1338" s="9"/>
      <c r="U1338" s="9"/>
    </row>
    <row r="1339" spans="1:21" hidden="1" x14ac:dyDescent="0.3">
      <c r="A1339" t="s">
        <v>1987</v>
      </c>
      <c r="B1339" s="6">
        <v>45938</v>
      </c>
      <c r="C1339" t="s">
        <v>26</v>
      </c>
      <c r="D1339" t="s">
        <v>114</v>
      </c>
      <c r="E1339" t="s">
        <v>20</v>
      </c>
      <c r="F1339" t="s">
        <v>1988</v>
      </c>
      <c r="G1339" t="s">
        <v>50</v>
      </c>
      <c r="J1339" s="9">
        <v>0</v>
      </c>
      <c r="K1339" s="7">
        <v>0</v>
      </c>
      <c r="L1339" s="7">
        <v>0</v>
      </c>
      <c r="M1339" s="9">
        <v>1</v>
      </c>
      <c r="N1339" s="7">
        <v>11.2</v>
      </c>
      <c r="O1339" s="7">
        <v>5.3</v>
      </c>
      <c r="P1339" s="7">
        <v>3.6</v>
      </c>
      <c r="Q1339" t="s">
        <v>39</v>
      </c>
      <c r="R1339" s="7" t="str">
        <f>TEXT(Table1[[#This Row],[Date]],"mmm yyyy")</f>
        <v>Oct 2025</v>
      </c>
      <c r="S1339" s="9">
        <f>YEAR(Table1[[#This Row],[Date]])</f>
        <v>2025</v>
      </c>
      <c r="T1339" s="9"/>
      <c r="U1339" s="9"/>
    </row>
    <row r="1340" spans="1:21" x14ac:dyDescent="0.3">
      <c r="A1340" t="s">
        <v>1989</v>
      </c>
      <c r="B1340" s="6">
        <v>46120</v>
      </c>
      <c r="C1340" t="s">
        <v>18</v>
      </c>
      <c r="D1340" t="s">
        <v>19</v>
      </c>
      <c r="E1340" t="s">
        <v>42</v>
      </c>
      <c r="F1340" t="s">
        <v>1108</v>
      </c>
      <c r="G1340" t="s">
        <v>30</v>
      </c>
      <c r="H1340" t="s">
        <v>86</v>
      </c>
      <c r="I1340" t="s">
        <v>55</v>
      </c>
      <c r="J1340" s="9">
        <v>1</v>
      </c>
      <c r="K1340" s="7">
        <v>19000</v>
      </c>
      <c r="L1340" s="7">
        <v>0</v>
      </c>
      <c r="M1340" s="9"/>
      <c r="N1340" s="7">
        <v>13.9</v>
      </c>
      <c r="O1340" s="7"/>
      <c r="P1340" s="7"/>
      <c r="Q1340" t="s">
        <v>55</v>
      </c>
      <c r="R1340" s="7" t="str">
        <f>TEXT(Table1[[#This Row],[Date]],"mmm yyyy")</f>
        <v>Apr 2026</v>
      </c>
      <c r="S1340" s="9">
        <f>YEAR(Table1[[#This Row],[Date]])</f>
        <v>2026</v>
      </c>
      <c r="T1340" s="9"/>
      <c r="U1340" s="9"/>
    </row>
    <row r="1341" spans="1:21" x14ac:dyDescent="0.3">
      <c r="A1341" t="s">
        <v>1990</v>
      </c>
      <c r="B1341" s="6">
        <v>46226</v>
      </c>
      <c r="C1341" t="s">
        <v>18</v>
      </c>
      <c r="D1341" t="s">
        <v>105</v>
      </c>
      <c r="E1341" t="s">
        <v>20</v>
      </c>
      <c r="F1341" t="s">
        <v>1097</v>
      </c>
      <c r="G1341" t="s">
        <v>22</v>
      </c>
      <c r="H1341" t="s">
        <v>78</v>
      </c>
      <c r="I1341" t="s">
        <v>89</v>
      </c>
      <c r="J1341" s="9">
        <v>1</v>
      </c>
      <c r="K1341" s="7">
        <v>22100</v>
      </c>
      <c r="L1341" s="7">
        <v>0</v>
      </c>
      <c r="M1341" s="9"/>
      <c r="N1341" s="7">
        <v>13.6</v>
      </c>
      <c r="O1341" s="7"/>
      <c r="P1341" s="7"/>
      <c r="Q1341" t="s">
        <v>89</v>
      </c>
      <c r="R1341" s="7" t="str">
        <f>TEXT(Table1[[#This Row],[Date]],"mmm yyyy")</f>
        <v>Jul 2026</v>
      </c>
      <c r="S1341" s="9">
        <f>YEAR(Table1[[#This Row],[Date]])</f>
        <v>2026</v>
      </c>
      <c r="T1341" s="9"/>
      <c r="U1341" s="9"/>
    </row>
    <row r="1342" spans="1:21" x14ac:dyDescent="0.3">
      <c r="A1342" t="s">
        <v>1991</v>
      </c>
      <c r="B1342" s="6">
        <v>46157</v>
      </c>
      <c r="C1342" t="s">
        <v>18</v>
      </c>
      <c r="D1342" t="s">
        <v>95</v>
      </c>
      <c r="E1342" t="s">
        <v>48</v>
      </c>
      <c r="F1342" t="s">
        <v>540</v>
      </c>
      <c r="G1342" t="s">
        <v>44</v>
      </c>
      <c r="H1342" t="s">
        <v>23</v>
      </c>
      <c r="I1342" t="s">
        <v>79</v>
      </c>
      <c r="J1342" s="9">
        <v>1</v>
      </c>
      <c r="K1342" s="7">
        <v>19000</v>
      </c>
      <c r="L1342" s="7">
        <v>0</v>
      </c>
      <c r="M1342" s="9"/>
      <c r="N1342" s="7">
        <v>2.5</v>
      </c>
      <c r="O1342" s="7"/>
      <c r="P1342" s="7"/>
      <c r="Q1342" t="s">
        <v>79</v>
      </c>
      <c r="R1342" s="7" t="str">
        <f>TEXT(Table1[[#This Row],[Date]],"mmm yyyy")</f>
        <v>May 2026</v>
      </c>
      <c r="S1342" s="9">
        <f>YEAR(Table1[[#This Row],[Date]])</f>
        <v>2026</v>
      </c>
      <c r="T1342" s="9"/>
      <c r="U1342" s="9"/>
    </row>
    <row r="1343" spans="1:21" x14ac:dyDescent="0.3">
      <c r="A1343" t="s">
        <v>1992</v>
      </c>
      <c r="B1343" s="6">
        <v>45927</v>
      </c>
      <c r="C1343" t="s">
        <v>18</v>
      </c>
      <c r="D1343" t="s">
        <v>47</v>
      </c>
      <c r="E1343" t="s">
        <v>20</v>
      </c>
      <c r="F1343" t="s">
        <v>91</v>
      </c>
      <c r="G1343" t="s">
        <v>22</v>
      </c>
      <c r="H1343" t="s">
        <v>66</v>
      </c>
      <c r="I1343" t="s">
        <v>45</v>
      </c>
      <c r="J1343" s="9">
        <v>1</v>
      </c>
      <c r="K1343" s="7">
        <v>50500</v>
      </c>
      <c r="L1343" s="7">
        <v>0</v>
      </c>
      <c r="M1343" s="9"/>
      <c r="N1343" s="7">
        <v>20.2</v>
      </c>
      <c r="O1343" s="7"/>
      <c r="P1343" s="7"/>
      <c r="Q1343" t="s">
        <v>45</v>
      </c>
      <c r="R1343" s="7" t="str">
        <f>TEXT(Table1[[#This Row],[Date]],"mmm yyyy")</f>
        <v>Sep 2025</v>
      </c>
      <c r="S1343" s="9">
        <f>YEAR(Table1[[#This Row],[Date]])</f>
        <v>2025</v>
      </c>
      <c r="T1343" s="9"/>
      <c r="U1343" s="9"/>
    </row>
    <row r="1344" spans="1:21" hidden="1" x14ac:dyDescent="0.3">
      <c r="A1344" t="s">
        <v>1993</v>
      </c>
      <c r="B1344" s="6">
        <v>46172</v>
      </c>
      <c r="C1344" t="s">
        <v>26</v>
      </c>
      <c r="D1344" t="s">
        <v>232</v>
      </c>
      <c r="E1344" t="s">
        <v>20</v>
      </c>
      <c r="F1344" t="s">
        <v>246</v>
      </c>
      <c r="G1344" t="s">
        <v>50</v>
      </c>
      <c r="J1344" s="9">
        <v>0</v>
      </c>
      <c r="K1344" s="7">
        <v>0</v>
      </c>
      <c r="L1344" s="7">
        <v>0</v>
      </c>
      <c r="M1344" s="9">
        <v>1</v>
      </c>
      <c r="N1344" s="7">
        <v>0.2</v>
      </c>
      <c r="O1344" s="7">
        <v>2.8</v>
      </c>
      <c r="P1344" s="7">
        <v>3.2</v>
      </c>
      <c r="Q1344" t="s">
        <v>62</v>
      </c>
      <c r="R1344" s="7" t="str">
        <f>TEXT(Table1[[#This Row],[Date]],"mmm yyyy")</f>
        <v>May 2026</v>
      </c>
      <c r="S1344" s="9">
        <f>YEAR(Table1[[#This Row],[Date]])</f>
        <v>2026</v>
      </c>
      <c r="T1344" s="9"/>
      <c r="U1344" s="9"/>
    </row>
    <row r="1345" spans="1:21" hidden="1" x14ac:dyDescent="0.3">
      <c r="A1345" t="s">
        <v>1994</v>
      </c>
      <c r="B1345" s="6">
        <v>45942</v>
      </c>
      <c r="C1345" t="s">
        <v>26</v>
      </c>
      <c r="D1345" t="s">
        <v>27</v>
      </c>
      <c r="E1345" t="s">
        <v>20</v>
      </c>
      <c r="F1345" t="s">
        <v>451</v>
      </c>
      <c r="G1345" t="s">
        <v>22</v>
      </c>
      <c r="J1345" s="9">
        <v>0</v>
      </c>
      <c r="K1345" s="7">
        <v>0</v>
      </c>
      <c r="L1345" s="7">
        <v>0</v>
      </c>
      <c r="M1345" s="9">
        <v>1</v>
      </c>
      <c r="N1345" s="7">
        <v>5.2</v>
      </c>
      <c r="O1345" s="7">
        <v>10.1</v>
      </c>
      <c r="P1345" s="7">
        <v>3.5</v>
      </c>
      <c r="Q1345" t="s">
        <v>39</v>
      </c>
      <c r="R1345" s="7" t="str">
        <f>TEXT(Table1[[#This Row],[Date]],"mmm yyyy")</f>
        <v>Oct 2025</v>
      </c>
      <c r="S1345" s="9">
        <f>YEAR(Table1[[#This Row],[Date]])</f>
        <v>2025</v>
      </c>
      <c r="T1345" s="9"/>
      <c r="U1345" s="9"/>
    </row>
    <row r="1346" spans="1:21" hidden="1" x14ac:dyDescent="0.3">
      <c r="A1346" t="s">
        <v>1995</v>
      </c>
      <c r="B1346" s="6">
        <v>46128</v>
      </c>
      <c r="C1346" t="s">
        <v>26</v>
      </c>
      <c r="D1346" t="s">
        <v>114</v>
      </c>
      <c r="E1346" t="s">
        <v>42</v>
      </c>
      <c r="F1346" t="s">
        <v>732</v>
      </c>
      <c r="G1346" t="s">
        <v>30</v>
      </c>
      <c r="J1346" s="9">
        <v>0</v>
      </c>
      <c r="K1346" s="7">
        <v>0</v>
      </c>
      <c r="L1346" s="7">
        <v>0</v>
      </c>
      <c r="M1346" s="9">
        <v>1</v>
      </c>
      <c r="N1346" s="7">
        <v>0.2</v>
      </c>
      <c r="O1346" s="7">
        <v>3.7</v>
      </c>
      <c r="P1346" s="7">
        <v>4.2</v>
      </c>
      <c r="Q1346" t="s">
        <v>39</v>
      </c>
      <c r="R1346" s="7" t="str">
        <f>TEXT(Table1[[#This Row],[Date]],"mmm yyyy")</f>
        <v>Apr 2026</v>
      </c>
      <c r="S1346" s="9">
        <f>YEAR(Table1[[#This Row],[Date]])</f>
        <v>2026</v>
      </c>
      <c r="T1346" s="9"/>
      <c r="U1346" s="9"/>
    </row>
    <row r="1347" spans="1:21" x14ac:dyDescent="0.3">
      <c r="A1347" t="s">
        <v>1996</v>
      </c>
      <c r="B1347" s="6">
        <v>46131</v>
      </c>
      <c r="C1347" t="s">
        <v>18</v>
      </c>
      <c r="D1347" t="s">
        <v>47</v>
      </c>
      <c r="E1347" t="s">
        <v>20</v>
      </c>
      <c r="F1347" t="s">
        <v>621</v>
      </c>
      <c r="G1347" t="s">
        <v>30</v>
      </c>
      <c r="H1347" t="s">
        <v>54</v>
      </c>
      <c r="I1347" t="s">
        <v>24</v>
      </c>
      <c r="J1347" s="9">
        <v>1</v>
      </c>
      <c r="K1347" s="7">
        <v>6300</v>
      </c>
      <c r="L1347" s="7">
        <v>6300</v>
      </c>
      <c r="M1347" s="9"/>
      <c r="N1347" s="7">
        <v>10.9</v>
      </c>
      <c r="O1347" s="7"/>
      <c r="P1347" s="7"/>
      <c r="Q1347" t="s">
        <v>24</v>
      </c>
      <c r="R1347" s="7" t="str">
        <f>TEXT(Table1[[#This Row],[Date]],"mmm yyyy")</f>
        <v>Apr 2026</v>
      </c>
      <c r="S1347" s="9">
        <f>YEAR(Table1[[#This Row],[Date]])</f>
        <v>2026</v>
      </c>
      <c r="T1347" s="9"/>
      <c r="U1347" s="9"/>
    </row>
    <row r="1348" spans="1:21" x14ac:dyDescent="0.3">
      <c r="A1348" t="s">
        <v>1997</v>
      </c>
      <c r="B1348" s="6">
        <v>46252</v>
      </c>
      <c r="C1348" t="s">
        <v>18</v>
      </c>
      <c r="D1348" t="s">
        <v>19</v>
      </c>
      <c r="E1348" t="s">
        <v>20</v>
      </c>
      <c r="F1348" t="s">
        <v>761</v>
      </c>
      <c r="G1348" t="s">
        <v>44</v>
      </c>
      <c r="H1348" t="s">
        <v>86</v>
      </c>
      <c r="I1348" t="s">
        <v>55</v>
      </c>
      <c r="J1348" s="9">
        <v>1</v>
      </c>
      <c r="K1348" s="7">
        <v>20700</v>
      </c>
      <c r="L1348" s="7">
        <v>0</v>
      </c>
      <c r="M1348" s="9"/>
      <c r="N1348" s="7">
        <v>5.0999999999999996</v>
      </c>
      <c r="O1348" s="7"/>
      <c r="P1348" s="7"/>
      <c r="Q1348" t="s">
        <v>55</v>
      </c>
      <c r="R1348" s="7" t="str">
        <f>TEXT(Table1[[#This Row],[Date]],"mmm yyyy")</f>
        <v>Aug 2026</v>
      </c>
      <c r="S1348" s="9">
        <f>YEAR(Table1[[#This Row],[Date]])</f>
        <v>2026</v>
      </c>
      <c r="T1348" s="9"/>
      <c r="U1348" s="9"/>
    </row>
    <row r="1349" spans="1:21" x14ac:dyDescent="0.3">
      <c r="A1349" t="s">
        <v>1998</v>
      </c>
      <c r="B1349" s="6">
        <v>46126</v>
      </c>
      <c r="C1349" t="s">
        <v>18</v>
      </c>
      <c r="D1349" t="s">
        <v>19</v>
      </c>
      <c r="E1349" t="s">
        <v>37</v>
      </c>
      <c r="F1349" t="s">
        <v>838</v>
      </c>
      <c r="G1349" t="s">
        <v>22</v>
      </c>
      <c r="H1349" t="s">
        <v>66</v>
      </c>
      <c r="I1349" t="s">
        <v>24</v>
      </c>
      <c r="J1349" s="9">
        <v>1</v>
      </c>
      <c r="K1349" s="7">
        <v>15600</v>
      </c>
      <c r="L1349" s="7">
        <v>15600</v>
      </c>
      <c r="M1349" s="9"/>
      <c r="N1349" s="7">
        <v>23</v>
      </c>
      <c r="O1349" s="7"/>
      <c r="P1349" s="7"/>
      <c r="Q1349" t="s">
        <v>24</v>
      </c>
      <c r="R1349" s="7" t="str">
        <f>TEXT(Table1[[#This Row],[Date]],"mmm yyyy")</f>
        <v>Apr 2026</v>
      </c>
      <c r="S1349" s="9">
        <f>YEAR(Table1[[#This Row],[Date]])</f>
        <v>2026</v>
      </c>
      <c r="T1349" s="9"/>
      <c r="U1349" s="9"/>
    </row>
    <row r="1350" spans="1:21" hidden="1" x14ac:dyDescent="0.3">
      <c r="A1350" t="s">
        <v>1999</v>
      </c>
      <c r="B1350" s="6">
        <v>46186</v>
      </c>
      <c r="C1350" t="s">
        <v>26</v>
      </c>
      <c r="D1350" t="s">
        <v>114</v>
      </c>
      <c r="E1350" t="s">
        <v>20</v>
      </c>
      <c r="F1350" t="s">
        <v>1028</v>
      </c>
      <c r="G1350" t="s">
        <v>22</v>
      </c>
      <c r="J1350" s="9">
        <v>0</v>
      </c>
      <c r="K1350" s="7">
        <v>0</v>
      </c>
      <c r="L1350" s="7">
        <v>0</v>
      </c>
      <c r="M1350" s="9">
        <v>1</v>
      </c>
      <c r="N1350" s="7">
        <v>5.0999999999999996</v>
      </c>
      <c r="O1350" s="7">
        <v>9</v>
      </c>
      <c r="P1350" s="7">
        <v>3.3</v>
      </c>
      <c r="Q1350" t="s">
        <v>31</v>
      </c>
      <c r="R1350" s="7" t="str">
        <f>TEXT(Table1[[#This Row],[Date]],"mmm yyyy")</f>
        <v>Jun 2026</v>
      </c>
      <c r="S1350" s="9">
        <f>YEAR(Table1[[#This Row],[Date]])</f>
        <v>2026</v>
      </c>
      <c r="T1350" s="9"/>
      <c r="U1350" s="9"/>
    </row>
    <row r="1351" spans="1:21" x14ac:dyDescent="0.3">
      <c r="A1351" t="s">
        <v>2000</v>
      </c>
      <c r="B1351" s="6">
        <v>46021</v>
      </c>
      <c r="C1351" t="s">
        <v>18</v>
      </c>
      <c r="D1351" t="s">
        <v>19</v>
      </c>
      <c r="E1351" t="s">
        <v>48</v>
      </c>
      <c r="F1351" t="s">
        <v>2001</v>
      </c>
      <c r="G1351" t="s">
        <v>44</v>
      </c>
      <c r="H1351" t="s">
        <v>86</v>
      </c>
      <c r="I1351" t="s">
        <v>55</v>
      </c>
      <c r="J1351" s="9">
        <v>1</v>
      </c>
      <c r="K1351" s="7">
        <v>72200</v>
      </c>
      <c r="L1351" s="7">
        <v>0</v>
      </c>
      <c r="M1351" s="9"/>
      <c r="N1351" s="7">
        <v>10.9</v>
      </c>
      <c r="O1351" s="7"/>
      <c r="P1351" s="7"/>
      <c r="Q1351" t="s">
        <v>55</v>
      </c>
      <c r="R1351" s="7" t="str">
        <f>TEXT(Table1[[#This Row],[Date]],"mmm yyyy")</f>
        <v>Dec 2025</v>
      </c>
      <c r="S1351" s="9">
        <f>YEAR(Table1[[#This Row],[Date]])</f>
        <v>2025</v>
      </c>
      <c r="T1351" s="9"/>
      <c r="U1351" s="9"/>
    </row>
    <row r="1352" spans="1:21" hidden="1" x14ac:dyDescent="0.3">
      <c r="A1352" t="s">
        <v>2002</v>
      </c>
      <c r="B1352" s="6">
        <v>45951</v>
      </c>
      <c r="C1352" t="s">
        <v>26</v>
      </c>
      <c r="D1352" t="s">
        <v>72</v>
      </c>
      <c r="E1352" t="s">
        <v>20</v>
      </c>
      <c r="F1352" t="s">
        <v>1429</v>
      </c>
      <c r="G1352" t="s">
        <v>22</v>
      </c>
      <c r="J1352" s="9">
        <v>0</v>
      </c>
      <c r="K1352" s="7">
        <v>0</v>
      </c>
      <c r="L1352" s="7">
        <v>0</v>
      </c>
      <c r="M1352" s="9">
        <v>1</v>
      </c>
      <c r="N1352" s="7">
        <v>4</v>
      </c>
      <c r="O1352" s="7">
        <v>4.2</v>
      </c>
      <c r="P1352" s="7">
        <v>4.4000000000000004</v>
      </c>
      <c r="Q1352" t="s">
        <v>39</v>
      </c>
      <c r="R1352" s="7" t="str">
        <f>TEXT(Table1[[#This Row],[Date]],"mmm yyyy")</f>
        <v>Oct 2025</v>
      </c>
      <c r="S1352" s="9">
        <f>YEAR(Table1[[#This Row],[Date]])</f>
        <v>2025</v>
      </c>
      <c r="T1352" s="9"/>
      <c r="U1352" s="9"/>
    </row>
    <row r="1353" spans="1:21" hidden="1" x14ac:dyDescent="0.3">
      <c r="A1353" t="s">
        <v>2003</v>
      </c>
      <c r="B1353" s="6">
        <v>46213</v>
      </c>
      <c r="C1353" t="s">
        <v>26</v>
      </c>
      <c r="D1353" t="s">
        <v>126</v>
      </c>
      <c r="E1353" t="s">
        <v>37</v>
      </c>
      <c r="F1353" t="s">
        <v>1723</v>
      </c>
      <c r="G1353" t="s">
        <v>50</v>
      </c>
      <c r="J1353" s="9">
        <v>0</v>
      </c>
      <c r="K1353" s="7">
        <v>0</v>
      </c>
      <c r="L1353" s="7">
        <v>0</v>
      </c>
      <c r="M1353" s="9">
        <v>1</v>
      </c>
      <c r="N1353" s="7">
        <v>2.9</v>
      </c>
      <c r="O1353" s="7">
        <v>13.2</v>
      </c>
      <c r="P1353" s="7">
        <v>5</v>
      </c>
      <c r="Q1353" t="s">
        <v>39</v>
      </c>
      <c r="R1353" s="7" t="str">
        <f>TEXT(Table1[[#This Row],[Date]],"mmm yyyy")</f>
        <v>Jul 2026</v>
      </c>
      <c r="S1353" s="9">
        <f>YEAR(Table1[[#This Row],[Date]])</f>
        <v>2026</v>
      </c>
      <c r="T1353" s="9"/>
      <c r="U1353" s="9"/>
    </row>
    <row r="1354" spans="1:21" x14ac:dyDescent="0.3">
      <c r="A1354" t="s">
        <v>2004</v>
      </c>
      <c r="B1354" s="6">
        <v>46121</v>
      </c>
      <c r="C1354" t="s">
        <v>18</v>
      </c>
      <c r="D1354" t="s">
        <v>117</v>
      </c>
      <c r="E1354" t="s">
        <v>42</v>
      </c>
      <c r="F1354" t="s">
        <v>2005</v>
      </c>
      <c r="G1354" t="s">
        <v>44</v>
      </c>
      <c r="H1354" t="s">
        <v>54</v>
      </c>
      <c r="I1354" t="s">
        <v>55</v>
      </c>
      <c r="J1354" s="9">
        <v>1</v>
      </c>
      <c r="K1354" s="7">
        <v>10100</v>
      </c>
      <c r="L1354" s="7">
        <v>0</v>
      </c>
      <c r="M1354" s="9"/>
      <c r="N1354" s="7">
        <v>5.9</v>
      </c>
      <c r="O1354" s="7"/>
      <c r="P1354" s="7"/>
      <c r="Q1354" t="s">
        <v>55</v>
      </c>
      <c r="R1354" s="7" t="str">
        <f>TEXT(Table1[[#This Row],[Date]],"mmm yyyy")</f>
        <v>Apr 2026</v>
      </c>
      <c r="S1354" s="9">
        <f>YEAR(Table1[[#This Row],[Date]])</f>
        <v>2026</v>
      </c>
      <c r="T1354" s="9"/>
      <c r="U1354" s="9"/>
    </row>
    <row r="1355" spans="1:21" hidden="1" x14ac:dyDescent="0.3">
      <c r="A1355" t="s">
        <v>2006</v>
      </c>
      <c r="B1355" s="6">
        <v>46246</v>
      </c>
      <c r="C1355" t="s">
        <v>26</v>
      </c>
      <c r="D1355" t="s">
        <v>72</v>
      </c>
      <c r="E1355" t="s">
        <v>20</v>
      </c>
      <c r="F1355" t="s">
        <v>328</v>
      </c>
      <c r="G1355" t="s">
        <v>30</v>
      </c>
      <c r="J1355" s="9">
        <v>0</v>
      </c>
      <c r="K1355" s="7">
        <v>0</v>
      </c>
      <c r="L1355" s="7">
        <v>0</v>
      </c>
      <c r="M1355" s="9">
        <v>1</v>
      </c>
      <c r="N1355" s="7">
        <v>8.8000000000000007</v>
      </c>
      <c r="O1355" s="7">
        <v>13.8</v>
      </c>
      <c r="P1355" s="7">
        <v>3.2</v>
      </c>
      <c r="Q1355" t="s">
        <v>225</v>
      </c>
      <c r="R1355" s="7" t="str">
        <f>TEXT(Table1[[#This Row],[Date]],"mmm yyyy")</f>
        <v>Aug 2026</v>
      </c>
      <c r="S1355" s="9">
        <f>YEAR(Table1[[#This Row],[Date]])</f>
        <v>2026</v>
      </c>
      <c r="T1355" s="9"/>
      <c r="U1355" s="9"/>
    </row>
    <row r="1356" spans="1:21" x14ac:dyDescent="0.3">
      <c r="A1356" t="s">
        <v>2007</v>
      </c>
      <c r="B1356" s="6">
        <v>46118</v>
      </c>
      <c r="C1356" t="s">
        <v>18</v>
      </c>
      <c r="D1356" t="s">
        <v>52</v>
      </c>
      <c r="E1356" t="s">
        <v>20</v>
      </c>
      <c r="F1356" t="s">
        <v>981</v>
      </c>
      <c r="G1356" t="s">
        <v>30</v>
      </c>
      <c r="H1356" t="s">
        <v>23</v>
      </c>
      <c r="I1356" t="s">
        <v>89</v>
      </c>
      <c r="J1356" s="9">
        <v>1</v>
      </c>
      <c r="K1356" s="7">
        <v>26100</v>
      </c>
      <c r="L1356" s="7">
        <v>0</v>
      </c>
      <c r="M1356" s="9"/>
      <c r="N1356" s="7">
        <v>4.8</v>
      </c>
      <c r="O1356" s="7"/>
      <c r="P1356" s="7"/>
      <c r="Q1356" t="s">
        <v>89</v>
      </c>
      <c r="R1356" s="7" t="str">
        <f>TEXT(Table1[[#This Row],[Date]],"mmm yyyy")</f>
        <v>Apr 2026</v>
      </c>
      <c r="S1356" s="9">
        <f>YEAR(Table1[[#This Row],[Date]])</f>
        <v>2026</v>
      </c>
      <c r="T1356" s="9"/>
      <c r="U1356" s="9"/>
    </row>
    <row r="1357" spans="1:21" hidden="1" x14ac:dyDescent="0.3">
      <c r="A1357" t="s">
        <v>2008</v>
      </c>
      <c r="B1357" s="6">
        <v>46099</v>
      </c>
      <c r="C1357" t="s">
        <v>26</v>
      </c>
      <c r="D1357" t="s">
        <v>114</v>
      </c>
      <c r="E1357" t="s">
        <v>37</v>
      </c>
      <c r="F1357" t="s">
        <v>611</v>
      </c>
      <c r="G1357" t="s">
        <v>22</v>
      </c>
      <c r="J1357" s="9">
        <v>0</v>
      </c>
      <c r="K1357" s="7">
        <v>0</v>
      </c>
      <c r="L1357" s="7">
        <v>0</v>
      </c>
      <c r="M1357" s="9">
        <v>1</v>
      </c>
      <c r="N1357" s="7">
        <v>10.7</v>
      </c>
      <c r="O1357" s="7">
        <v>6.4</v>
      </c>
      <c r="P1357" s="7">
        <v>4</v>
      </c>
      <c r="Q1357" t="s">
        <v>39</v>
      </c>
      <c r="R1357" s="7" t="str">
        <f>TEXT(Table1[[#This Row],[Date]],"mmm yyyy")</f>
        <v>Mar 2026</v>
      </c>
      <c r="S1357" s="9">
        <f>YEAR(Table1[[#This Row],[Date]])</f>
        <v>2026</v>
      </c>
      <c r="T1357" s="9"/>
      <c r="U1357" s="9"/>
    </row>
    <row r="1358" spans="1:21" hidden="1" x14ac:dyDescent="0.3">
      <c r="A1358" t="s">
        <v>2009</v>
      </c>
      <c r="B1358" s="6">
        <v>46229</v>
      </c>
      <c r="C1358" t="s">
        <v>26</v>
      </c>
      <c r="D1358" t="s">
        <v>27</v>
      </c>
      <c r="E1358" t="s">
        <v>20</v>
      </c>
      <c r="F1358" t="s">
        <v>1473</v>
      </c>
      <c r="G1358" t="s">
        <v>30</v>
      </c>
      <c r="J1358" s="9">
        <v>0</v>
      </c>
      <c r="K1358" s="7">
        <v>0</v>
      </c>
      <c r="L1358" s="7">
        <v>0</v>
      </c>
      <c r="M1358" s="9">
        <v>1</v>
      </c>
      <c r="N1358" s="7">
        <v>5.3</v>
      </c>
      <c r="O1358" s="7">
        <v>3</v>
      </c>
      <c r="P1358" s="7">
        <v>4.5</v>
      </c>
      <c r="Q1358" t="s">
        <v>39</v>
      </c>
      <c r="R1358" s="7" t="str">
        <f>TEXT(Table1[[#This Row],[Date]],"mmm yyyy")</f>
        <v>Jul 2026</v>
      </c>
      <c r="S1358" s="9">
        <f>YEAR(Table1[[#This Row],[Date]])</f>
        <v>2026</v>
      </c>
      <c r="T1358" s="9"/>
      <c r="U1358" s="9"/>
    </row>
    <row r="1359" spans="1:21" x14ac:dyDescent="0.3">
      <c r="A1359" t="s">
        <v>2010</v>
      </c>
      <c r="B1359" s="6">
        <v>46238</v>
      </c>
      <c r="C1359" t="s">
        <v>18</v>
      </c>
      <c r="D1359" t="s">
        <v>117</v>
      </c>
      <c r="E1359" t="s">
        <v>37</v>
      </c>
      <c r="F1359" t="s">
        <v>887</v>
      </c>
      <c r="G1359" t="s">
        <v>50</v>
      </c>
      <c r="H1359" t="s">
        <v>66</v>
      </c>
      <c r="I1359" t="s">
        <v>55</v>
      </c>
      <c r="J1359" s="9">
        <v>1</v>
      </c>
      <c r="K1359" s="7">
        <v>25300</v>
      </c>
      <c r="L1359" s="7">
        <v>0</v>
      </c>
      <c r="M1359" s="9"/>
      <c r="N1359" s="7">
        <v>3.6</v>
      </c>
      <c r="O1359" s="7"/>
      <c r="P1359" s="7"/>
      <c r="Q1359" t="s">
        <v>55</v>
      </c>
      <c r="R1359" s="7" t="str">
        <f>TEXT(Table1[[#This Row],[Date]],"mmm yyyy")</f>
        <v>Aug 2026</v>
      </c>
      <c r="S1359" s="9">
        <f>YEAR(Table1[[#This Row],[Date]])</f>
        <v>2026</v>
      </c>
      <c r="T1359" s="9"/>
      <c r="U1359" s="9"/>
    </row>
    <row r="1360" spans="1:21" x14ac:dyDescent="0.3">
      <c r="A1360" t="s">
        <v>2011</v>
      </c>
      <c r="B1360" s="6">
        <v>46154</v>
      </c>
      <c r="C1360" t="s">
        <v>18</v>
      </c>
      <c r="D1360" t="s">
        <v>52</v>
      </c>
      <c r="E1360" t="s">
        <v>20</v>
      </c>
      <c r="F1360" t="s">
        <v>222</v>
      </c>
      <c r="G1360" t="s">
        <v>22</v>
      </c>
      <c r="H1360" t="s">
        <v>86</v>
      </c>
      <c r="I1360" t="s">
        <v>89</v>
      </c>
      <c r="J1360" s="9">
        <v>1</v>
      </c>
      <c r="K1360" s="7">
        <v>7000</v>
      </c>
      <c r="L1360" s="7">
        <v>0</v>
      </c>
      <c r="M1360" s="9"/>
      <c r="N1360" s="7">
        <v>9.1999999999999993</v>
      </c>
      <c r="O1360" s="7"/>
      <c r="P1360" s="7"/>
      <c r="Q1360" t="s">
        <v>89</v>
      </c>
      <c r="R1360" s="7" t="str">
        <f>TEXT(Table1[[#This Row],[Date]],"mmm yyyy")</f>
        <v>May 2026</v>
      </c>
      <c r="S1360" s="9">
        <f>YEAR(Table1[[#This Row],[Date]])</f>
        <v>2026</v>
      </c>
      <c r="T1360" s="9"/>
      <c r="U1360" s="9"/>
    </row>
    <row r="1361" spans="1:21" hidden="1" x14ac:dyDescent="0.3">
      <c r="A1361" t="s">
        <v>2012</v>
      </c>
      <c r="B1361" s="6">
        <v>45968</v>
      </c>
      <c r="C1361" t="s">
        <v>26</v>
      </c>
      <c r="D1361" t="s">
        <v>36</v>
      </c>
      <c r="E1361" t="s">
        <v>28</v>
      </c>
      <c r="F1361" t="s">
        <v>626</v>
      </c>
      <c r="G1361" t="s">
        <v>44</v>
      </c>
      <c r="J1361" s="9">
        <v>0</v>
      </c>
      <c r="K1361" s="7">
        <v>0</v>
      </c>
      <c r="L1361" s="7">
        <v>0</v>
      </c>
      <c r="M1361" s="9">
        <v>1</v>
      </c>
      <c r="N1361" s="7">
        <v>0.1</v>
      </c>
      <c r="O1361" s="7">
        <v>16.399999999999999</v>
      </c>
      <c r="P1361" s="7">
        <v>3.2</v>
      </c>
      <c r="Q1361" t="s">
        <v>62</v>
      </c>
      <c r="R1361" s="7" t="str">
        <f>TEXT(Table1[[#This Row],[Date]],"mmm yyyy")</f>
        <v>Nov 2025</v>
      </c>
      <c r="S1361" s="9">
        <f>YEAR(Table1[[#This Row],[Date]])</f>
        <v>2025</v>
      </c>
      <c r="T1361" s="9"/>
      <c r="U1361" s="9"/>
    </row>
    <row r="1362" spans="1:21" hidden="1" x14ac:dyDescent="0.3">
      <c r="A1362" t="s">
        <v>2013</v>
      </c>
      <c r="B1362" s="6">
        <v>45902</v>
      </c>
      <c r="C1362" t="s">
        <v>26</v>
      </c>
      <c r="D1362" t="s">
        <v>114</v>
      </c>
      <c r="E1362" t="s">
        <v>20</v>
      </c>
      <c r="F1362" t="s">
        <v>600</v>
      </c>
      <c r="G1362" t="s">
        <v>30</v>
      </c>
      <c r="J1362" s="9">
        <v>0</v>
      </c>
      <c r="K1362" s="7">
        <v>0</v>
      </c>
      <c r="L1362" s="7">
        <v>0</v>
      </c>
      <c r="M1362" s="9">
        <v>1</v>
      </c>
      <c r="N1362" s="7">
        <v>6.8</v>
      </c>
      <c r="O1362" s="7">
        <v>17.100000000000001</v>
      </c>
      <c r="P1362" s="7">
        <v>5</v>
      </c>
      <c r="Q1362" t="s">
        <v>39</v>
      </c>
      <c r="R1362" s="7" t="str">
        <f>TEXT(Table1[[#This Row],[Date]],"mmm yyyy")</f>
        <v>Sep 2025</v>
      </c>
      <c r="S1362" s="9">
        <f>YEAR(Table1[[#This Row],[Date]])</f>
        <v>2025</v>
      </c>
      <c r="T1362" s="9"/>
      <c r="U1362" s="9"/>
    </row>
    <row r="1363" spans="1:21" x14ac:dyDescent="0.3">
      <c r="A1363" t="s">
        <v>2014</v>
      </c>
      <c r="B1363" s="6">
        <v>45918</v>
      </c>
      <c r="C1363" t="s">
        <v>18</v>
      </c>
      <c r="D1363" t="s">
        <v>19</v>
      </c>
      <c r="E1363" t="s">
        <v>37</v>
      </c>
      <c r="F1363" t="s">
        <v>2015</v>
      </c>
      <c r="G1363" t="s">
        <v>30</v>
      </c>
      <c r="H1363" t="s">
        <v>78</v>
      </c>
      <c r="I1363" t="s">
        <v>79</v>
      </c>
      <c r="J1363" s="9">
        <v>1</v>
      </c>
      <c r="K1363" s="7">
        <v>36000</v>
      </c>
      <c r="L1363" s="7">
        <v>0</v>
      </c>
      <c r="M1363" s="9"/>
      <c r="N1363" s="7">
        <v>21.1</v>
      </c>
      <c r="O1363" s="7"/>
      <c r="P1363" s="7"/>
      <c r="Q1363" t="s">
        <v>79</v>
      </c>
      <c r="R1363" s="7" t="str">
        <f>TEXT(Table1[[#This Row],[Date]],"mmm yyyy")</f>
        <v>Sep 2025</v>
      </c>
      <c r="S1363" s="9">
        <f>YEAR(Table1[[#This Row],[Date]])</f>
        <v>2025</v>
      </c>
      <c r="T1363" s="9"/>
      <c r="U1363" s="9"/>
    </row>
    <row r="1364" spans="1:21" hidden="1" x14ac:dyDescent="0.3">
      <c r="A1364" t="s">
        <v>2016</v>
      </c>
      <c r="B1364" s="6">
        <v>46220</v>
      </c>
      <c r="C1364" t="s">
        <v>26</v>
      </c>
      <c r="D1364" t="s">
        <v>72</v>
      </c>
      <c r="E1364" t="s">
        <v>20</v>
      </c>
      <c r="F1364" t="s">
        <v>1590</v>
      </c>
      <c r="G1364" t="s">
        <v>30</v>
      </c>
      <c r="J1364" s="9">
        <v>0</v>
      </c>
      <c r="K1364" s="7">
        <v>0</v>
      </c>
      <c r="L1364" s="7">
        <v>0</v>
      </c>
      <c r="M1364" s="9">
        <v>1</v>
      </c>
      <c r="N1364" s="7">
        <v>6.7</v>
      </c>
      <c r="O1364" s="7">
        <v>8.6</v>
      </c>
      <c r="P1364" s="7">
        <v>4.2</v>
      </c>
      <c r="Q1364" t="s">
        <v>62</v>
      </c>
      <c r="R1364" s="7" t="str">
        <f>TEXT(Table1[[#This Row],[Date]],"mmm yyyy")</f>
        <v>Jul 2026</v>
      </c>
      <c r="S1364" s="9">
        <f>YEAR(Table1[[#This Row],[Date]])</f>
        <v>2026</v>
      </c>
      <c r="T1364" s="9"/>
      <c r="U1364" s="9"/>
    </row>
    <row r="1365" spans="1:21" hidden="1" x14ac:dyDescent="0.3">
      <c r="A1365" t="s">
        <v>2017</v>
      </c>
      <c r="B1365" s="6">
        <v>45950</v>
      </c>
      <c r="C1365" t="s">
        <v>26</v>
      </c>
      <c r="D1365" t="s">
        <v>232</v>
      </c>
      <c r="E1365" t="s">
        <v>20</v>
      </c>
      <c r="F1365" t="s">
        <v>295</v>
      </c>
      <c r="G1365" t="s">
        <v>30</v>
      </c>
      <c r="J1365" s="9">
        <v>0</v>
      </c>
      <c r="K1365" s="7">
        <v>0</v>
      </c>
      <c r="L1365" s="7">
        <v>0</v>
      </c>
      <c r="M1365" s="9">
        <v>1</v>
      </c>
      <c r="N1365" s="7">
        <v>3.4</v>
      </c>
      <c r="O1365" s="7">
        <v>13.5</v>
      </c>
      <c r="P1365" s="7">
        <v>5</v>
      </c>
      <c r="Q1365" t="s">
        <v>39</v>
      </c>
      <c r="R1365" s="7" t="str">
        <f>TEXT(Table1[[#This Row],[Date]],"mmm yyyy")</f>
        <v>Oct 2025</v>
      </c>
      <c r="S1365" s="9">
        <f>YEAR(Table1[[#This Row],[Date]])</f>
        <v>2025</v>
      </c>
      <c r="T1365" s="9"/>
      <c r="U1365" s="9"/>
    </row>
    <row r="1366" spans="1:21" hidden="1" x14ac:dyDescent="0.3">
      <c r="A1366" t="s">
        <v>2018</v>
      </c>
      <c r="B1366" s="6">
        <v>45998</v>
      </c>
      <c r="C1366" t="s">
        <v>26</v>
      </c>
      <c r="D1366" t="s">
        <v>126</v>
      </c>
      <c r="E1366" t="s">
        <v>37</v>
      </c>
      <c r="F1366" t="s">
        <v>825</v>
      </c>
      <c r="G1366" t="s">
        <v>22</v>
      </c>
      <c r="J1366" s="9">
        <v>0</v>
      </c>
      <c r="K1366" s="7">
        <v>0</v>
      </c>
      <c r="L1366" s="7">
        <v>0</v>
      </c>
      <c r="M1366" s="9">
        <v>1</v>
      </c>
      <c r="N1366" s="7">
        <v>10.1</v>
      </c>
      <c r="O1366" s="7">
        <v>5.8</v>
      </c>
      <c r="P1366" s="7">
        <v>3.9</v>
      </c>
      <c r="Q1366" t="s">
        <v>39</v>
      </c>
      <c r="R1366" s="7" t="str">
        <f>TEXT(Table1[[#This Row],[Date]],"mmm yyyy")</f>
        <v>Dec 2025</v>
      </c>
      <c r="S1366" s="9">
        <f>YEAR(Table1[[#This Row],[Date]])</f>
        <v>2025</v>
      </c>
      <c r="T1366" s="9"/>
      <c r="U1366" s="9"/>
    </row>
    <row r="1367" spans="1:21" x14ac:dyDescent="0.3">
      <c r="A1367" t="s">
        <v>2019</v>
      </c>
      <c r="B1367" s="6">
        <v>46157</v>
      </c>
      <c r="C1367" t="s">
        <v>18</v>
      </c>
      <c r="D1367" t="s">
        <v>52</v>
      </c>
      <c r="E1367" t="s">
        <v>20</v>
      </c>
      <c r="F1367" t="s">
        <v>1254</v>
      </c>
      <c r="G1367" t="s">
        <v>30</v>
      </c>
      <c r="H1367" t="s">
        <v>86</v>
      </c>
      <c r="I1367" t="s">
        <v>24</v>
      </c>
      <c r="J1367" s="9">
        <v>1</v>
      </c>
      <c r="K1367" s="7">
        <v>5100</v>
      </c>
      <c r="L1367" s="7">
        <v>5100</v>
      </c>
      <c r="M1367" s="9"/>
      <c r="N1367" s="7">
        <v>7.2</v>
      </c>
      <c r="O1367" s="7"/>
      <c r="P1367" s="7"/>
      <c r="Q1367" t="s">
        <v>24</v>
      </c>
      <c r="R1367" s="7" t="str">
        <f>TEXT(Table1[[#This Row],[Date]],"mmm yyyy")</f>
        <v>May 2026</v>
      </c>
      <c r="S1367" s="9">
        <f>YEAR(Table1[[#This Row],[Date]])</f>
        <v>2026</v>
      </c>
      <c r="T1367" s="9"/>
      <c r="U1367" s="9"/>
    </row>
    <row r="1368" spans="1:21" hidden="1" x14ac:dyDescent="0.3">
      <c r="A1368" t="s">
        <v>2020</v>
      </c>
      <c r="B1368" s="6">
        <v>46225</v>
      </c>
      <c r="C1368" t="s">
        <v>26</v>
      </c>
      <c r="D1368" t="s">
        <v>69</v>
      </c>
      <c r="E1368" t="s">
        <v>28</v>
      </c>
      <c r="F1368" t="s">
        <v>2021</v>
      </c>
      <c r="G1368" t="s">
        <v>30</v>
      </c>
      <c r="J1368" s="9">
        <v>0</v>
      </c>
      <c r="K1368" s="7">
        <v>0</v>
      </c>
      <c r="L1368" s="7">
        <v>0</v>
      </c>
      <c r="M1368" s="9">
        <v>1</v>
      </c>
      <c r="N1368" s="7">
        <v>9.3000000000000007</v>
      </c>
      <c r="O1368" s="7">
        <v>5.9</v>
      </c>
      <c r="P1368" s="7">
        <v>3.9</v>
      </c>
      <c r="Q1368" t="s">
        <v>225</v>
      </c>
      <c r="R1368" s="7" t="str">
        <f>TEXT(Table1[[#This Row],[Date]],"mmm yyyy")</f>
        <v>Jul 2026</v>
      </c>
      <c r="S1368" s="9">
        <f>YEAR(Table1[[#This Row],[Date]])</f>
        <v>2026</v>
      </c>
      <c r="T1368" s="9"/>
      <c r="U1368" s="9"/>
    </row>
    <row r="1369" spans="1:21" hidden="1" x14ac:dyDescent="0.3">
      <c r="A1369" t="s">
        <v>2022</v>
      </c>
      <c r="B1369" s="6">
        <v>46038</v>
      </c>
      <c r="C1369" t="s">
        <v>26</v>
      </c>
      <c r="D1369" t="s">
        <v>72</v>
      </c>
      <c r="E1369" t="s">
        <v>20</v>
      </c>
      <c r="F1369" t="s">
        <v>529</v>
      </c>
      <c r="G1369" t="s">
        <v>22</v>
      </c>
      <c r="J1369" s="9">
        <v>0</v>
      </c>
      <c r="K1369" s="7">
        <v>0</v>
      </c>
      <c r="L1369" s="7">
        <v>0</v>
      </c>
      <c r="M1369" s="9">
        <v>1</v>
      </c>
      <c r="N1369" s="7">
        <v>6.3</v>
      </c>
      <c r="O1369" s="7">
        <v>10</v>
      </c>
      <c r="P1369" s="7">
        <v>3.8</v>
      </c>
      <c r="Q1369" t="s">
        <v>39</v>
      </c>
      <c r="R1369" s="7" t="str">
        <f>TEXT(Table1[[#This Row],[Date]],"mmm yyyy")</f>
        <v>Jan 2026</v>
      </c>
      <c r="S1369" s="9">
        <f>YEAR(Table1[[#This Row],[Date]])</f>
        <v>2026</v>
      </c>
      <c r="T1369" s="9"/>
      <c r="U1369" s="9"/>
    </row>
    <row r="1370" spans="1:21" x14ac:dyDescent="0.3">
      <c r="A1370" t="s">
        <v>2023</v>
      </c>
      <c r="B1370" s="6">
        <v>46090</v>
      </c>
      <c r="C1370" t="s">
        <v>18</v>
      </c>
      <c r="D1370" t="s">
        <v>52</v>
      </c>
      <c r="E1370" t="s">
        <v>20</v>
      </c>
      <c r="F1370" t="s">
        <v>101</v>
      </c>
      <c r="G1370" t="s">
        <v>50</v>
      </c>
      <c r="H1370" t="s">
        <v>86</v>
      </c>
      <c r="I1370" t="s">
        <v>24</v>
      </c>
      <c r="J1370" s="9">
        <v>1</v>
      </c>
      <c r="K1370" s="7">
        <v>20300</v>
      </c>
      <c r="L1370" s="7">
        <v>20300</v>
      </c>
      <c r="M1370" s="9"/>
      <c r="N1370" s="7">
        <v>5.8</v>
      </c>
      <c r="O1370" s="7"/>
      <c r="P1370" s="7"/>
      <c r="Q1370" t="s">
        <v>24</v>
      </c>
      <c r="R1370" s="7" t="str">
        <f>TEXT(Table1[[#This Row],[Date]],"mmm yyyy")</f>
        <v>Mar 2026</v>
      </c>
      <c r="S1370" s="9">
        <f>YEAR(Table1[[#This Row],[Date]])</f>
        <v>2026</v>
      </c>
      <c r="T1370" s="9"/>
      <c r="U1370" s="9"/>
    </row>
    <row r="1371" spans="1:21" x14ac:dyDescent="0.3">
      <c r="A1371" t="s">
        <v>2024</v>
      </c>
      <c r="B1371" s="6">
        <v>46148</v>
      </c>
      <c r="C1371" t="s">
        <v>18</v>
      </c>
      <c r="D1371" t="s">
        <v>19</v>
      </c>
      <c r="E1371" t="s">
        <v>48</v>
      </c>
      <c r="F1371" t="s">
        <v>136</v>
      </c>
      <c r="G1371" t="s">
        <v>44</v>
      </c>
      <c r="H1371" t="s">
        <v>78</v>
      </c>
      <c r="I1371" t="s">
        <v>24</v>
      </c>
      <c r="J1371" s="9">
        <v>1</v>
      </c>
      <c r="K1371" s="7">
        <v>132700</v>
      </c>
      <c r="L1371" s="7">
        <v>132700</v>
      </c>
      <c r="M1371" s="9"/>
      <c r="N1371" s="7">
        <v>2</v>
      </c>
      <c r="O1371" s="7"/>
      <c r="P1371" s="7"/>
      <c r="Q1371" t="s">
        <v>24</v>
      </c>
      <c r="R1371" s="7" t="str">
        <f>TEXT(Table1[[#This Row],[Date]],"mmm yyyy")</f>
        <v>May 2026</v>
      </c>
      <c r="S1371" s="9">
        <f>YEAR(Table1[[#This Row],[Date]])</f>
        <v>2026</v>
      </c>
      <c r="T1371" s="9"/>
      <c r="U1371" s="9"/>
    </row>
    <row r="1372" spans="1:21" hidden="1" x14ac:dyDescent="0.3">
      <c r="A1372" t="s">
        <v>2025</v>
      </c>
      <c r="B1372" s="6">
        <v>45970</v>
      </c>
      <c r="C1372" t="s">
        <v>26</v>
      </c>
      <c r="D1372" t="s">
        <v>33</v>
      </c>
      <c r="E1372" t="s">
        <v>20</v>
      </c>
      <c r="F1372" t="s">
        <v>34</v>
      </c>
      <c r="G1372" t="s">
        <v>50</v>
      </c>
      <c r="J1372" s="9">
        <v>0</v>
      </c>
      <c r="K1372" s="7">
        <v>0</v>
      </c>
      <c r="L1372" s="7">
        <v>0</v>
      </c>
      <c r="M1372" s="9">
        <v>1</v>
      </c>
      <c r="N1372" s="7">
        <v>3.4</v>
      </c>
      <c r="O1372" s="7">
        <v>17.2</v>
      </c>
      <c r="P1372" s="7">
        <v>4</v>
      </c>
      <c r="Q1372" t="s">
        <v>225</v>
      </c>
      <c r="R1372" s="7" t="str">
        <f>TEXT(Table1[[#This Row],[Date]],"mmm yyyy")</f>
        <v>Nov 2025</v>
      </c>
      <c r="S1372" s="9">
        <f>YEAR(Table1[[#This Row],[Date]])</f>
        <v>2025</v>
      </c>
      <c r="T1372" s="9"/>
      <c r="U1372" s="9"/>
    </row>
    <row r="1373" spans="1:21" x14ac:dyDescent="0.3">
      <c r="A1373" t="s">
        <v>2026</v>
      </c>
      <c r="B1373" s="6">
        <v>45917</v>
      </c>
      <c r="C1373" t="s">
        <v>18</v>
      </c>
      <c r="D1373" t="s">
        <v>47</v>
      </c>
      <c r="E1373" t="s">
        <v>20</v>
      </c>
      <c r="F1373" t="s">
        <v>2027</v>
      </c>
      <c r="G1373" t="s">
        <v>22</v>
      </c>
      <c r="H1373" t="s">
        <v>23</v>
      </c>
      <c r="I1373" t="s">
        <v>67</v>
      </c>
      <c r="J1373" s="9">
        <v>1</v>
      </c>
      <c r="K1373" s="7">
        <v>12900</v>
      </c>
      <c r="L1373" s="7">
        <v>0</v>
      </c>
      <c r="M1373" s="9"/>
      <c r="N1373" s="7">
        <v>11.4</v>
      </c>
      <c r="O1373" s="7"/>
      <c r="P1373" s="7"/>
      <c r="Q1373" t="s">
        <v>67</v>
      </c>
      <c r="R1373" s="7" t="str">
        <f>TEXT(Table1[[#This Row],[Date]],"mmm yyyy")</f>
        <v>Sep 2025</v>
      </c>
      <c r="S1373" s="9">
        <f>YEAR(Table1[[#This Row],[Date]])</f>
        <v>2025</v>
      </c>
      <c r="T1373" s="9"/>
      <c r="U1373" s="9"/>
    </row>
    <row r="1374" spans="1:21" hidden="1" x14ac:dyDescent="0.3">
      <c r="A1374" t="s">
        <v>2028</v>
      </c>
      <c r="B1374" s="6">
        <v>46053</v>
      </c>
      <c r="C1374" t="s">
        <v>26</v>
      </c>
      <c r="D1374" t="s">
        <v>36</v>
      </c>
      <c r="E1374" t="s">
        <v>20</v>
      </c>
      <c r="F1374" t="s">
        <v>996</v>
      </c>
      <c r="G1374" t="s">
        <v>22</v>
      </c>
      <c r="J1374" s="9">
        <v>0</v>
      </c>
      <c r="K1374" s="7">
        <v>0</v>
      </c>
      <c r="L1374" s="7">
        <v>0</v>
      </c>
      <c r="M1374" s="9">
        <v>1</v>
      </c>
      <c r="N1374" s="7">
        <v>10.5</v>
      </c>
      <c r="O1374" s="7">
        <v>9</v>
      </c>
      <c r="P1374" s="7">
        <v>3.1</v>
      </c>
      <c r="Q1374" t="s">
        <v>31</v>
      </c>
      <c r="R1374" s="7" t="str">
        <f>TEXT(Table1[[#This Row],[Date]],"mmm yyyy")</f>
        <v>Jan 2026</v>
      </c>
      <c r="S1374" s="9">
        <f>YEAR(Table1[[#This Row],[Date]])</f>
        <v>2026</v>
      </c>
      <c r="T1374" s="9"/>
      <c r="U1374" s="9"/>
    </row>
    <row r="1375" spans="1:21" x14ac:dyDescent="0.3">
      <c r="A1375" t="s">
        <v>2029</v>
      </c>
      <c r="B1375" s="6">
        <v>45995</v>
      </c>
      <c r="C1375" t="s">
        <v>18</v>
      </c>
      <c r="D1375" t="s">
        <v>19</v>
      </c>
      <c r="E1375" t="s">
        <v>20</v>
      </c>
      <c r="F1375" t="s">
        <v>1673</v>
      </c>
      <c r="G1375" t="s">
        <v>22</v>
      </c>
      <c r="H1375" t="s">
        <v>54</v>
      </c>
      <c r="I1375" t="s">
        <v>89</v>
      </c>
      <c r="J1375" s="9">
        <v>1</v>
      </c>
      <c r="K1375" s="7">
        <v>10800</v>
      </c>
      <c r="L1375" s="7">
        <v>0</v>
      </c>
      <c r="M1375" s="9"/>
      <c r="N1375" s="7">
        <v>12.2</v>
      </c>
      <c r="O1375" s="7"/>
      <c r="P1375" s="7"/>
      <c r="Q1375" t="s">
        <v>89</v>
      </c>
      <c r="R1375" s="7" t="str">
        <f>TEXT(Table1[[#This Row],[Date]],"mmm yyyy")</f>
        <v>Dec 2025</v>
      </c>
      <c r="S1375" s="9">
        <f>YEAR(Table1[[#This Row],[Date]])</f>
        <v>2025</v>
      </c>
      <c r="T1375" s="9"/>
      <c r="U1375" s="9"/>
    </row>
    <row r="1376" spans="1:21" x14ac:dyDescent="0.3">
      <c r="A1376" t="s">
        <v>2030</v>
      </c>
      <c r="B1376" s="6">
        <v>46229</v>
      </c>
      <c r="C1376" t="s">
        <v>18</v>
      </c>
      <c r="D1376" t="s">
        <v>41</v>
      </c>
      <c r="E1376" t="s">
        <v>28</v>
      </c>
      <c r="F1376" t="s">
        <v>1050</v>
      </c>
      <c r="G1376" t="s">
        <v>44</v>
      </c>
      <c r="H1376" t="s">
        <v>78</v>
      </c>
      <c r="I1376" t="s">
        <v>45</v>
      </c>
      <c r="J1376" s="9">
        <v>1</v>
      </c>
      <c r="K1376" s="7">
        <v>12000</v>
      </c>
      <c r="L1376" s="7">
        <v>0</v>
      </c>
      <c r="M1376" s="9"/>
      <c r="N1376" s="7">
        <v>22.3</v>
      </c>
      <c r="O1376" s="7"/>
      <c r="P1376" s="7"/>
      <c r="Q1376" t="s">
        <v>45</v>
      </c>
      <c r="R1376" s="7" t="str">
        <f>TEXT(Table1[[#This Row],[Date]],"mmm yyyy")</f>
        <v>Jul 2026</v>
      </c>
      <c r="S1376" s="9">
        <f>YEAR(Table1[[#This Row],[Date]])</f>
        <v>2026</v>
      </c>
      <c r="T1376" s="9"/>
      <c r="U1376" s="9"/>
    </row>
    <row r="1377" spans="1:21" hidden="1" x14ac:dyDescent="0.3">
      <c r="A1377" t="s">
        <v>2031</v>
      </c>
      <c r="B1377" s="6">
        <v>45982</v>
      </c>
      <c r="C1377" t="s">
        <v>26</v>
      </c>
      <c r="D1377" t="s">
        <v>69</v>
      </c>
      <c r="E1377" t="s">
        <v>28</v>
      </c>
      <c r="F1377" t="s">
        <v>280</v>
      </c>
      <c r="G1377" t="s">
        <v>22</v>
      </c>
      <c r="J1377" s="9">
        <v>0</v>
      </c>
      <c r="K1377" s="7">
        <v>0</v>
      </c>
      <c r="L1377" s="7">
        <v>0</v>
      </c>
      <c r="M1377" s="9">
        <v>1</v>
      </c>
      <c r="N1377" s="7">
        <v>7.9</v>
      </c>
      <c r="O1377" s="7">
        <v>8.6999999999999993</v>
      </c>
      <c r="P1377" s="7">
        <v>5</v>
      </c>
      <c r="Q1377" t="s">
        <v>39</v>
      </c>
      <c r="R1377" s="7" t="str">
        <f>TEXT(Table1[[#This Row],[Date]],"mmm yyyy")</f>
        <v>Nov 2025</v>
      </c>
      <c r="S1377" s="9">
        <f>YEAR(Table1[[#This Row],[Date]])</f>
        <v>2025</v>
      </c>
      <c r="T1377" s="9"/>
      <c r="U1377" s="9"/>
    </row>
    <row r="1378" spans="1:21" x14ac:dyDescent="0.3">
      <c r="A1378" t="s">
        <v>2032</v>
      </c>
      <c r="B1378" s="6">
        <v>45944</v>
      </c>
      <c r="C1378" t="s">
        <v>18</v>
      </c>
      <c r="D1378" t="s">
        <v>64</v>
      </c>
      <c r="E1378" t="s">
        <v>20</v>
      </c>
      <c r="F1378" t="s">
        <v>2033</v>
      </c>
      <c r="G1378" t="s">
        <v>22</v>
      </c>
      <c r="H1378" t="s">
        <v>23</v>
      </c>
      <c r="I1378" t="s">
        <v>89</v>
      </c>
      <c r="J1378" s="9">
        <v>1</v>
      </c>
      <c r="K1378" s="7">
        <v>9900</v>
      </c>
      <c r="L1378" s="7">
        <v>0</v>
      </c>
      <c r="M1378" s="9"/>
      <c r="N1378" s="7">
        <v>22.5</v>
      </c>
      <c r="O1378" s="7"/>
      <c r="P1378" s="7"/>
      <c r="Q1378" t="s">
        <v>89</v>
      </c>
      <c r="R1378" s="7" t="str">
        <f>TEXT(Table1[[#This Row],[Date]],"mmm yyyy")</f>
        <v>Oct 2025</v>
      </c>
      <c r="S1378" s="9">
        <f>YEAR(Table1[[#This Row],[Date]])</f>
        <v>2025</v>
      </c>
      <c r="T1378" s="9"/>
      <c r="U1378" s="9"/>
    </row>
    <row r="1379" spans="1:21" x14ac:dyDescent="0.3">
      <c r="A1379" t="s">
        <v>2034</v>
      </c>
      <c r="B1379" s="6">
        <v>46197</v>
      </c>
      <c r="C1379" t="s">
        <v>18</v>
      </c>
      <c r="D1379" t="s">
        <v>95</v>
      </c>
      <c r="E1379" t="s">
        <v>20</v>
      </c>
      <c r="F1379" t="s">
        <v>1555</v>
      </c>
      <c r="G1379" t="s">
        <v>22</v>
      </c>
      <c r="H1379" t="s">
        <v>78</v>
      </c>
      <c r="I1379" t="s">
        <v>55</v>
      </c>
      <c r="J1379" s="9">
        <v>1</v>
      </c>
      <c r="K1379" s="7">
        <v>22400</v>
      </c>
      <c r="L1379" s="7">
        <v>0</v>
      </c>
      <c r="M1379" s="9"/>
      <c r="N1379" s="7">
        <v>20.6</v>
      </c>
      <c r="O1379" s="7"/>
      <c r="P1379" s="7"/>
      <c r="Q1379" t="s">
        <v>55</v>
      </c>
      <c r="R1379" s="7" t="str">
        <f>TEXT(Table1[[#This Row],[Date]],"mmm yyyy")</f>
        <v>Jun 2026</v>
      </c>
      <c r="S1379" s="9">
        <f>YEAR(Table1[[#This Row],[Date]])</f>
        <v>2026</v>
      </c>
      <c r="T1379" s="9"/>
      <c r="U1379" s="9"/>
    </row>
    <row r="1380" spans="1:21" x14ac:dyDescent="0.3">
      <c r="A1380" t="s">
        <v>2035</v>
      </c>
      <c r="B1380" s="6">
        <v>46000</v>
      </c>
      <c r="C1380" t="s">
        <v>18</v>
      </c>
      <c r="D1380" t="s">
        <v>47</v>
      </c>
      <c r="E1380" t="s">
        <v>20</v>
      </c>
      <c r="F1380" t="s">
        <v>896</v>
      </c>
      <c r="G1380" t="s">
        <v>22</v>
      </c>
      <c r="H1380" t="s">
        <v>78</v>
      </c>
      <c r="I1380" t="s">
        <v>79</v>
      </c>
      <c r="J1380" s="9">
        <v>1</v>
      </c>
      <c r="K1380" s="7">
        <v>6300</v>
      </c>
      <c r="L1380" s="7">
        <v>0</v>
      </c>
      <c r="M1380" s="9"/>
      <c r="N1380" s="7">
        <v>7.6</v>
      </c>
      <c r="O1380" s="7"/>
      <c r="P1380" s="7"/>
      <c r="Q1380" t="s">
        <v>79</v>
      </c>
      <c r="R1380" s="7" t="str">
        <f>TEXT(Table1[[#This Row],[Date]],"mmm yyyy")</f>
        <v>Dec 2025</v>
      </c>
      <c r="S1380" s="9">
        <f>YEAR(Table1[[#This Row],[Date]])</f>
        <v>2025</v>
      </c>
      <c r="T1380" s="9"/>
      <c r="U1380" s="9"/>
    </row>
    <row r="1381" spans="1:21" hidden="1" x14ac:dyDescent="0.3">
      <c r="A1381" t="s">
        <v>2036</v>
      </c>
      <c r="B1381" s="6">
        <v>46195</v>
      </c>
      <c r="C1381" t="s">
        <v>26</v>
      </c>
      <c r="D1381" t="s">
        <v>232</v>
      </c>
      <c r="E1381" t="s">
        <v>20</v>
      </c>
      <c r="F1381" t="s">
        <v>1543</v>
      </c>
      <c r="G1381" t="s">
        <v>30</v>
      </c>
      <c r="J1381" s="9">
        <v>0</v>
      </c>
      <c r="K1381" s="7">
        <v>0</v>
      </c>
      <c r="L1381" s="7">
        <v>0</v>
      </c>
      <c r="M1381" s="9">
        <v>1</v>
      </c>
      <c r="N1381" s="7">
        <v>4.5999999999999996</v>
      </c>
      <c r="O1381" s="7">
        <v>8.5</v>
      </c>
      <c r="P1381" s="7">
        <v>3</v>
      </c>
      <c r="Q1381" t="s">
        <v>31</v>
      </c>
      <c r="R1381" s="7" t="str">
        <f>TEXT(Table1[[#This Row],[Date]],"mmm yyyy")</f>
        <v>Jun 2026</v>
      </c>
      <c r="S1381" s="9">
        <f>YEAR(Table1[[#This Row],[Date]])</f>
        <v>2026</v>
      </c>
      <c r="T1381" s="9"/>
      <c r="U1381" s="9"/>
    </row>
    <row r="1382" spans="1:21" x14ac:dyDescent="0.3">
      <c r="A1382" t="s">
        <v>2037</v>
      </c>
      <c r="B1382" s="6">
        <v>46080</v>
      </c>
      <c r="C1382" t="s">
        <v>18</v>
      </c>
      <c r="D1382" t="s">
        <v>41</v>
      </c>
      <c r="E1382" t="s">
        <v>48</v>
      </c>
      <c r="F1382" t="s">
        <v>638</v>
      </c>
      <c r="G1382" t="s">
        <v>22</v>
      </c>
      <c r="H1382" t="s">
        <v>86</v>
      </c>
      <c r="I1382" t="s">
        <v>45</v>
      </c>
      <c r="J1382" s="9">
        <v>1</v>
      </c>
      <c r="K1382" s="7">
        <v>34000</v>
      </c>
      <c r="L1382" s="7">
        <v>0</v>
      </c>
      <c r="M1382" s="9"/>
      <c r="N1382" s="7">
        <v>13.1</v>
      </c>
      <c r="O1382" s="7"/>
      <c r="P1382" s="7"/>
      <c r="Q1382" t="s">
        <v>45</v>
      </c>
      <c r="R1382" s="7" t="str">
        <f>TEXT(Table1[[#This Row],[Date]],"mmm yyyy")</f>
        <v>Feb 2026</v>
      </c>
      <c r="S1382" s="9">
        <f>YEAR(Table1[[#This Row],[Date]])</f>
        <v>2026</v>
      </c>
      <c r="T1382" s="9"/>
      <c r="U1382" s="9"/>
    </row>
    <row r="1383" spans="1:21" x14ac:dyDescent="0.3">
      <c r="A1383" t="s">
        <v>2038</v>
      </c>
      <c r="B1383" s="6">
        <v>45982</v>
      </c>
      <c r="C1383" t="s">
        <v>18</v>
      </c>
      <c r="D1383" t="s">
        <v>41</v>
      </c>
      <c r="E1383" t="s">
        <v>37</v>
      </c>
      <c r="F1383" t="s">
        <v>334</v>
      </c>
      <c r="G1383" t="s">
        <v>22</v>
      </c>
      <c r="H1383" t="s">
        <v>23</v>
      </c>
      <c r="I1383" t="s">
        <v>67</v>
      </c>
      <c r="J1383" s="9">
        <v>1</v>
      </c>
      <c r="K1383" s="7">
        <v>16600</v>
      </c>
      <c r="L1383" s="7">
        <v>0</v>
      </c>
      <c r="M1383" s="9"/>
      <c r="N1383" s="7">
        <v>9.8000000000000007</v>
      </c>
      <c r="O1383" s="7"/>
      <c r="P1383" s="7"/>
      <c r="Q1383" t="s">
        <v>67</v>
      </c>
      <c r="R1383" s="7" t="str">
        <f>TEXT(Table1[[#This Row],[Date]],"mmm yyyy")</f>
        <v>Nov 2025</v>
      </c>
      <c r="S1383" s="9">
        <f>YEAR(Table1[[#This Row],[Date]])</f>
        <v>2025</v>
      </c>
      <c r="T1383" s="9"/>
      <c r="U1383" s="9"/>
    </row>
    <row r="1384" spans="1:21" hidden="1" x14ac:dyDescent="0.3">
      <c r="A1384" t="s">
        <v>2039</v>
      </c>
      <c r="B1384" s="6">
        <v>46241</v>
      </c>
      <c r="C1384" t="s">
        <v>26</v>
      </c>
      <c r="D1384" t="s">
        <v>232</v>
      </c>
      <c r="E1384" t="s">
        <v>37</v>
      </c>
      <c r="F1384" t="s">
        <v>814</v>
      </c>
      <c r="G1384" t="s">
        <v>30</v>
      </c>
      <c r="J1384" s="9">
        <v>0</v>
      </c>
      <c r="K1384" s="7">
        <v>0</v>
      </c>
      <c r="L1384" s="7">
        <v>0</v>
      </c>
      <c r="M1384" s="9">
        <v>1</v>
      </c>
      <c r="N1384" s="7">
        <v>9.8000000000000007</v>
      </c>
      <c r="O1384" s="7">
        <v>20.100000000000001</v>
      </c>
      <c r="P1384" s="7">
        <v>4.2</v>
      </c>
      <c r="Q1384" t="s">
        <v>62</v>
      </c>
      <c r="R1384" s="7" t="str">
        <f>TEXT(Table1[[#This Row],[Date]],"mmm yyyy")</f>
        <v>Aug 2026</v>
      </c>
      <c r="S1384" s="9">
        <f>YEAR(Table1[[#This Row],[Date]])</f>
        <v>2026</v>
      </c>
      <c r="T1384" s="9"/>
      <c r="U1384" s="9"/>
    </row>
    <row r="1385" spans="1:21" x14ac:dyDescent="0.3">
      <c r="A1385" t="s">
        <v>2040</v>
      </c>
      <c r="B1385" s="6">
        <v>45951</v>
      </c>
      <c r="C1385" t="s">
        <v>18</v>
      </c>
      <c r="D1385" t="s">
        <v>95</v>
      </c>
      <c r="E1385" t="s">
        <v>48</v>
      </c>
      <c r="F1385" t="s">
        <v>266</v>
      </c>
      <c r="G1385" t="s">
        <v>22</v>
      </c>
      <c r="H1385" t="s">
        <v>86</v>
      </c>
      <c r="I1385" t="s">
        <v>45</v>
      </c>
      <c r="J1385" s="9">
        <v>1</v>
      </c>
      <c r="K1385" s="7">
        <v>12700</v>
      </c>
      <c r="L1385" s="7">
        <v>0</v>
      </c>
      <c r="M1385" s="9"/>
      <c r="N1385" s="7">
        <v>23.3</v>
      </c>
      <c r="O1385" s="7"/>
      <c r="P1385" s="7"/>
      <c r="Q1385" t="s">
        <v>45</v>
      </c>
      <c r="R1385" s="7" t="str">
        <f>TEXT(Table1[[#This Row],[Date]],"mmm yyyy")</f>
        <v>Oct 2025</v>
      </c>
      <c r="S1385" s="9">
        <f>YEAR(Table1[[#This Row],[Date]])</f>
        <v>2025</v>
      </c>
      <c r="T1385" s="9"/>
      <c r="U1385" s="9"/>
    </row>
    <row r="1386" spans="1:21" hidden="1" x14ac:dyDescent="0.3">
      <c r="A1386" t="s">
        <v>2041</v>
      </c>
      <c r="B1386" s="6">
        <v>46080</v>
      </c>
      <c r="C1386" t="s">
        <v>26</v>
      </c>
      <c r="D1386" t="s">
        <v>126</v>
      </c>
      <c r="E1386" t="s">
        <v>20</v>
      </c>
      <c r="F1386" t="s">
        <v>485</v>
      </c>
      <c r="G1386" t="s">
        <v>22</v>
      </c>
      <c r="J1386" s="9">
        <v>0</v>
      </c>
      <c r="K1386" s="7">
        <v>0</v>
      </c>
      <c r="L1386" s="7">
        <v>0</v>
      </c>
      <c r="M1386" s="9">
        <v>1</v>
      </c>
      <c r="N1386" s="7">
        <v>9.1999999999999993</v>
      </c>
      <c r="O1386" s="7">
        <v>2.8</v>
      </c>
      <c r="P1386" s="7">
        <v>3.8</v>
      </c>
      <c r="Q1386" t="s">
        <v>31</v>
      </c>
      <c r="R1386" s="7" t="str">
        <f>TEXT(Table1[[#This Row],[Date]],"mmm yyyy")</f>
        <v>Feb 2026</v>
      </c>
      <c r="S1386" s="9">
        <f>YEAR(Table1[[#This Row],[Date]])</f>
        <v>2026</v>
      </c>
      <c r="T1386" s="9"/>
      <c r="U1386" s="9"/>
    </row>
    <row r="1387" spans="1:21" x14ac:dyDescent="0.3">
      <c r="A1387" t="s">
        <v>2042</v>
      </c>
      <c r="B1387" s="6">
        <v>46243</v>
      </c>
      <c r="C1387" t="s">
        <v>18</v>
      </c>
      <c r="D1387" t="s">
        <v>19</v>
      </c>
      <c r="E1387" t="s">
        <v>20</v>
      </c>
      <c r="F1387" t="s">
        <v>1085</v>
      </c>
      <c r="G1387" t="s">
        <v>22</v>
      </c>
      <c r="H1387" t="s">
        <v>54</v>
      </c>
      <c r="I1387" t="s">
        <v>55</v>
      </c>
      <c r="J1387" s="9">
        <v>1</v>
      </c>
      <c r="K1387" s="7">
        <v>20000</v>
      </c>
      <c r="L1387" s="7">
        <v>0</v>
      </c>
      <c r="M1387" s="9"/>
      <c r="N1387" s="7">
        <v>12.1</v>
      </c>
      <c r="O1387" s="7"/>
      <c r="P1387" s="7"/>
      <c r="Q1387" t="s">
        <v>55</v>
      </c>
      <c r="R1387" s="7" t="str">
        <f>TEXT(Table1[[#This Row],[Date]],"mmm yyyy")</f>
        <v>Aug 2026</v>
      </c>
      <c r="S1387" s="9">
        <f>YEAR(Table1[[#This Row],[Date]])</f>
        <v>2026</v>
      </c>
      <c r="T1387" s="9"/>
      <c r="U1387" s="9"/>
    </row>
    <row r="1388" spans="1:21" hidden="1" x14ac:dyDescent="0.3">
      <c r="A1388" t="s">
        <v>2043</v>
      </c>
      <c r="B1388" s="6">
        <v>46091</v>
      </c>
      <c r="C1388" t="s">
        <v>26</v>
      </c>
      <c r="D1388" t="s">
        <v>72</v>
      </c>
      <c r="E1388" t="s">
        <v>37</v>
      </c>
      <c r="F1388" t="s">
        <v>306</v>
      </c>
      <c r="G1388" t="s">
        <v>30</v>
      </c>
      <c r="J1388" s="9">
        <v>0</v>
      </c>
      <c r="K1388" s="7">
        <v>0</v>
      </c>
      <c r="L1388" s="7">
        <v>0</v>
      </c>
      <c r="M1388" s="9">
        <v>1</v>
      </c>
      <c r="N1388" s="7">
        <v>3</v>
      </c>
      <c r="O1388" s="7">
        <v>11.6</v>
      </c>
      <c r="P1388" s="7">
        <v>3</v>
      </c>
      <c r="Q1388" t="s">
        <v>39</v>
      </c>
      <c r="R1388" s="7" t="str">
        <f>TEXT(Table1[[#This Row],[Date]],"mmm yyyy")</f>
        <v>Mar 2026</v>
      </c>
      <c r="S1388" s="9">
        <f>YEAR(Table1[[#This Row],[Date]])</f>
        <v>2026</v>
      </c>
      <c r="T1388" s="9"/>
      <c r="U1388" s="9"/>
    </row>
    <row r="1389" spans="1:21" x14ac:dyDescent="0.3">
      <c r="A1389" t="s">
        <v>2044</v>
      </c>
      <c r="B1389" s="6">
        <v>46143</v>
      </c>
      <c r="C1389" t="s">
        <v>18</v>
      </c>
      <c r="D1389" t="s">
        <v>95</v>
      </c>
      <c r="E1389" t="s">
        <v>20</v>
      </c>
      <c r="F1389" t="s">
        <v>430</v>
      </c>
      <c r="G1389" t="s">
        <v>44</v>
      </c>
      <c r="H1389" t="s">
        <v>78</v>
      </c>
      <c r="I1389" t="s">
        <v>79</v>
      </c>
      <c r="J1389" s="9">
        <v>1</v>
      </c>
      <c r="K1389" s="7">
        <v>17000</v>
      </c>
      <c r="L1389" s="7">
        <v>0</v>
      </c>
      <c r="M1389" s="9"/>
      <c r="N1389" s="7">
        <v>9.3000000000000007</v>
      </c>
      <c r="O1389" s="7"/>
      <c r="P1389" s="7"/>
      <c r="Q1389" t="s">
        <v>79</v>
      </c>
      <c r="R1389" s="7" t="str">
        <f>TEXT(Table1[[#This Row],[Date]],"mmm yyyy")</f>
        <v>May 2026</v>
      </c>
      <c r="S1389" s="9">
        <f>YEAR(Table1[[#This Row],[Date]])</f>
        <v>2026</v>
      </c>
      <c r="T1389" s="9"/>
      <c r="U1389" s="9"/>
    </row>
    <row r="1390" spans="1:21" hidden="1" x14ac:dyDescent="0.3">
      <c r="A1390" t="s">
        <v>2045</v>
      </c>
      <c r="B1390" s="6">
        <v>45952</v>
      </c>
      <c r="C1390" t="s">
        <v>26</v>
      </c>
      <c r="D1390" t="s">
        <v>114</v>
      </c>
      <c r="E1390" t="s">
        <v>20</v>
      </c>
      <c r="F1390" t="s">
        <v>1481</v>
      </c>
      <c r="G1390" t="s">
        <v>22</v>
      </c>
      <c r="J1390" s="9">
        <v>0</v>
      </c>
      <c r="K1390" s="7">
        <v>0</v>
      </c>
      <c r="L1390" s="7">
        <v>0</v>
      </c>
      <c r="M1390" s="9">
        <v>1</v>
      </c>
      <c r="N1390" s="7">
        <v>10.199999999999999</v>
      </c>
      <c r="O1390" s="7">
        <v>31.5</v>
      </c>
      <c r="P1390" s="7">
        <v>3.3</v>
      </c>
      <c r="Q1390" t="s">
        <v>39</v>
      </c>
      <c r="R1390" s="7" t="str">
        <f>TEXT(Table1[[#This Row],[Date]],"mmm yyyy")</f>
        <v>Oct 2025</v>
      </c>
      <c r="S1390" s="9">
        <f>YEAR(Table1[[#This Row],[Date]])</f>
        <v>2025</v>
      </c>
      <c r="T1390" s="9"/>
      <c r="U1390" s="9"/>
    </row>
    <row r="1391" spans="1:21" x14ac:dyDescent="0.3">
      <c r="A1391" t="s">
        <v>2046</v>
      </c>
      <c r="B1391" s="6">
        <v>46118</v>
      </c>
      <c r="C1391" t="s">
        <v>18</v>
      </c>
      <c r="D1391" t="s">
        <v>47</v>
      </c>
      <c r="E1391" t="s">
        <v>48</v>
      </c>
      <c r="F1391" t="s">
        <v>360</v>
      </c>
      <c r="G1391" t="s">
        <v>30</v>
      </c>
      <c r="H1391" t="s">
        <v>86</v>
      </c>
      <c r="I1391" t="s">
        <v>67</v>
      </c>
      <c r="J1391" s="9">
        <v>1</v>
      </c>
      <c r="K1391" s="7">
        <v>23700</v>
      </c>
      <c r="L1391" s="7">
        <v>0</v>
      </c>
      <c r="M1391" s="9"/>
      <c r="N1391" s="7">
        <v>14.1</v>
      </c>
      <c r="O1391" s="7"/>
      <c r="P1391" s="7"/>
      <c r="Q1391" t="s">
        <v>67</v>
      </c>
      <c r="R1391" s="7" t="str">
        <f>TEXT(Table1[[#This Row],[Date]],"mmm yyyy")</f>
        <v>Apr 2026</v>
      </c>
      <c r="S1391" s="9">
        <f>YEAR(Table1[[#This Row],[Date]])</f>
        <v>2026</v>
      </c>
      <c r="T1391" s="9"/>
      <c r="U1391" s="9"/>
    </row>
    <row r="1392" spans="1:21" x14ac:dyDescent="0.3">
      <c r="A1392" t="s">
        <v>2047</v>
      </c>
      <c r="B1392" s="6">
        <v>45916</v>
      </c>
      <c r="C1392" t="s">
        <v>18</v>
      </c>
      <c r="D1392" t="s">
        <v>117</v>
      </c>
      <c r="E1392" t="s">
        <v>20</v>
      </c>
      <c r="F1392" t="s">
        <v>1852</v>
      </c>
      <c r="G1392" t="s">
        <v>22</v>
      </c>
      <c r="H1392" t="s">
        <v>54</v>
      </c>
      <c r="I1392" t="s">
        <v>45</v>
      </c>
      <c r="J1392" s="9">
        <v>1</v>
      </c>
      <c r="K1392" s="7">
        <v>43700</v>
      </c>
      <c r="L1392" s="7">
        <v>0</v>
      </c>
      <c r="M1392" s="9"/>
      <c r="N1392" s="7">
        <v>12.1</v>
      </c>
      <c r="O1392" s="7"/>
      <c r="P1392" s="7"/>
      <c r="Q1392" t="s">
        <v>45</v>
      </c>
      <c r="R1392" s="7" t="str">
        <f>TEXT(Table1[[#This Row],[Date]],"mmm yyyy")</f>
        <v>Sep 2025</v>
      </c>
      <c r="S1392" s="9">
        <f>YEAR(Table1[[#This Row],[Date]])</f>
        <v>2025</v>
      </c>
      <c r="T1392" s="9"/>
      <c r="U1392" s="9"/>
    </row>
    <row r="1393" spans="1:21" x14ac:dyDescent="0.3">
      <c r="A1393" t="s">
        <v>2048</v>
      </c>
      <c r="B1393" s="6">
        <v>46112</v>
      </c>
      <c r="C1393" t="s">
        <v>18</v>
      </c>
      <c r="D1393" t="s">
        <v>19</v>
      </c>
      <c r="E1393" t="s">
        <v>37</v>
      </c>
      <c r="F1393" t="s">
        <v>1264</v>
      </c>
      <c r="G1393" t="s">
        <v>30</v>
      </c>
      <c r="H1393" t="s">
        <v>86</v>
      </c>
      <c r="I1393" t="s">
        <v>67</v>
      </c>
      <c r="J1393" s="9">
        <v>1</v>
      </c>
      <c r="K1393" s="7">
        <v>14800</v>
      </c>
      <c r="L1393" s="7">
        <v>0</v>
      </c>
      <c r="M1393" s="9"/>
      <c r="N1393" s="7">
        <v>6.2</v>
      </c>
      <c r="O1393" s="7"/>
      <c r="P1393" s="7"/>
      <c r="Q1393" t="s">
        <v>67</v>
      </c>
      <c r="R1393" s="7" t="str">
        <f>TEXT(Table1[[#This Row],[Date]],"mmm yyyy")</f>
        <v>Mar 2026</v>
      </c>
      <c r="S1393" s="9">
        <f>YEAR(Table1[[#This Row],[Date]])</f>
        <v>2026</v>
      </c>
      <c r="T1393" s="9"/>
      <c r="U1393" s="9"/>
    </row>
    <row r="1394" spans="1:21" x14ac:dyDescent="0.3">
      <c r="A1394" t="s">
        <v>2049</v>
      </c>
      <c r="B1394" s="6">
        <v>46265</v>
      </c>
      <c r="C1394" t="s">
        <v>18</v>
      </c>
      <c r="D1394" t="s">
        <v>95</v>
      </c>
      <c r="E1394" t="s">
        <v>48</v>
      </c>
      <c r="F1394" t="s">
        <v>1849</v>
      </c>
      <c r="G1394" t="s">
        <v>22</v>
      </c>
      <c r="H1394" t="s">
        <v>78</v>
      </c>
      <c r="I1394" t="s">
        <v>55</v>
      </c>
      <c r="J1394" s="9">
        <v>1</v>
      </c>
      <c r="K1394" s="7">
        <v>91700</v>
      </c>
      <c r="L1394" s="7">
        <v>0</v>
      </c>
      <c r="M1394" s="9"/>
      <c r="N1394" s="7">
        <v>18.7</v>
      </c>
      <c r="O1394" s="7"/>
      <c r="P1394" s="7"/>
      <c r="Q1394" t="s">
        <v>55</v>
      </c>
      <c r="R1394" s="7" t="str">
        <f>TEXT(Table1[[#This Row],[Date]],"mmm yyyy")</f>
        <v>Aug 2026</v>
      </c>
      <c r="S1394" s="9">
        <f>YEAR(Table1[[#This Row],[Date]])</f>
        <v>2026</v>
      </c>
      <c r="T1394" s="9"/>
      <c r="U1394" s="9"/>
    </row>
    <row r="1395" spans="1:21" x14ac:dyDescent="0.3">
      <c r="A1395" t="s">
        <v>2050</v>
      </c>
      <c r="B1395" s="6">
        <v>46205</v>
      </c>
      <c r="C1395" t="s">
        <v>18</v>
      </c>
      <c r="D1395" t="s">
        <v>19</v>
      </c>
      <c r="E1395" t="s">
        <v>20</v>
      </c>
      <c r="F1395" t="s">
        <v>2051</v>
      </c>
      <c r="G1395" t="s">
        <v>30</v>
      </c>
      <c r="H1395" t="s">
        <v>23</v>
      </c>
      <c r="I1395" t="s">
        <v>67</v>
      </c>
      <c r="J1395" s="9">
        <v>1</v>
      </c>
      <c r="K1395" s="7">
        <v>18900</v>
      </c>
      <c r="L1395" s="7">
        <v>0</v>
      </c>
      <c r="M1395" s="9"/>
      <c r="N1395" s="7">
        <v>18</v>
      </c>
      <c r="O1395" s="7"/>
      <c r="P1395" s="7"/>
      <c r="Q1395" t="s">
        <v>67</v>
      </c>
      <c r="R1395" s="7" t="str">
        <f>TEXT(Table1[[#This Row],[Date]],"mmm yyyy")</f>
        <v>Jul 2026</v>
      </c>
      <c r="S1395" s="9">
        <f>YEAR(Table1[[#This Row],[Date]])</f>
        <v>2026</v>
      </c>
      <c r="T1395" s="9"/>
      <c r="U1395" s="9"/>
    </row>
    <row r="1396" spans="1:21" x14ac:dyDescent="0.3">
      <c r="A1396" t="s">
        <v>2052</v>
      </c>
      <c r="B1396" s="6">
        <v>45953</v>
      </c>
      <c r="C1396" t="s">
        <v>18</v>
      </c>
      <c r="D1396" t="s">
        <v>41</v>
      </c>
      <c r="E1396" t="s">
        <v>20</v>
      </c>
      <c r="F1396" t="s">
        <v>59</v>
      </c>
      <c r="G1396" t="s">
        <v>22</v>
      </c>
      <c r="H1396" t="s">
        <v>23</v>
      </c>
      <c r="I1396" t="s">
        <v>79</v>
      </c>
      <c r="J1396" s="9">
        <v>1</v>
      </c>
      <c r="K1396" s="7">
        <v>20200</v>
      </c>
      <c r="L1396" s="7">
        <v>0</v>
      </c>
      <c r="M1396" s="9"/>
      <c r="N1396" s="7">
        <v>13.6</v>
      </c>
      <c r="O1396" s="7"/>
      <c r="P1396" s="7"/>
      <c r="Q1396" t="s">
        <v>79</v>
      </c>
      <c r="R1396" s="7" t="str">
        <f>TEXT(Table1[[#This Row],[Date]],"mmm yyyy")</f>
        <v>Oct 2025</v>
      </c>
      <c r="S1396" s="9">
        <f>YEAR(Table1[[#This Row],[Date]])</f>
        <v>2025</v>
      </c>
      <c r="T1396" s="9"/>
      <c r="U1396" s="9"/>
    </row>
    <row r="1397" spans="1:21" hidden="1" x14ac:dyDescent="0.3">
      <c r="A1397" t="s">
        <v>2053</v>
      </c>
      <c r="B1397" s="6">
        <v>46086</v>
      </c>
      <c r="C1397" t="s">
        <v>26</v>
      </c>
      <c r="D1397" t="s">
        <v>69</v>
      </c>
      <c r="E1397" t="s">
        <v>48</v>
      </c>
      <c r="F1397" t="s">
        <v>2054</v>
      </c>
      <c r="G1397" t="s">
        <v>22</v>
      </c>
      <c r="J1397" s="9">
        <v>0</v>
      </c>
      <c r="K1397" s="7">
        <v>0</v>
      </c>
      <c r="L1397" s="7">
        <v>0</v>
      </c>
      <c r="M1397" s="9">
        <v>1</v>
      </c>
      <c r="N1397" s="7">
        <v>11.3</v>
      </c>
      <c r="O1397" s="7">
        <v>8.4</v>
      </c>
      <c r="P1397" s="7">
        <v>4.2</v>
      </c>
      <c r="Q1397" t="s">
        <v>62</v>
      </c>
      <c r="R1397" s="7" t="str">
        <f>TEXT(Table1[[#This Row],[Date]],"mmm yyyy")</f>
        <v>Mar 2026</v>
      </c>
      <c r="S1397" s="9">
        <f>YEAR(Table1[[#This Row],[Date]])</f>
        <v>2026</v>
      </c>
      <c r="T1397" s="9"/>
      <c r="U1397" s="9"/>
    </row>
    <row r="1398" spans="1:21" x14ac:dyDescent="0.3">
      <c r="A1398" t="s">
        <v>2055</v>
      </c>
      <c r="B1398" s="6">
        <v>46033</v>
      </c>
      <c r="C1398" t="s">
        <v>18</v>
      </c>
      <c r="D1398" t="s">
        <v>47</v>
      </c>
      <c r="E1398" t="s">
        <v>20</v>
      </c>
      <c r="F1398" t="s">
        <v>138</v>
      </c>
      <c r="G1398" t="s">
        <v>30</v>
      </c>
      <c r="H1398" t="s">
        <v>23</v>
      </c>
      <c r="I1398" t="s">
        <v>45</v>
      </c>
      <c r="J1398" s="9">
        <v>1</v>
      </c>
      <c r="K1398" s="7">
        <v>19600</v>
      </c>
      <c r="L1398" s="7">
        <v>0</v>
      </c>
      <c r="M1398" s="9"/>
      <c r="N1398" s="7">
        <v>9</v>
      </c>
      <c r="O1398" s="7"/>
      <c r="P1398" s="7"/>
      <c r="Q1398" t="s">
        <v>45</v>
      </c>
      <c r="R1398" s="7" t="str">
        <f>TEXT(Table1[[#This Row],[Date]],"mmm yyyy")</f>
        <v>Jan 2026</v>
      </c>
      <c r="S1398" s="9">
        <f>YEAR(Table1[[#This Row],[Date]])</f>
        <v>2026</v>
      </c>
      <c r="T1398" s="9"/>
      <c r="U1398" s="9"/>
    </row>
    <row r="1399" spans="1:21" x14ac:dyDescent="0.3">
      <c r="A1399" t="s">
        <v>2056</v>
      </c>
      <c r="B1399" s="6">
        <v>45947</v>
      </c>
      <c r="C1399" t="s">
        <v>18</v>
      </c>
      <c r="D1399" t="s">
        <v>52</v>
      </c>
      <c r="E1399" t="s">
        <v>20</v>
      </c>
      <c r="F1399" t="s">
        <v>611</v>
      </c>
      <c r="G1399" t="s">
        <v>50</v>
      </c>
      <c r="H1399" t="s">
        <v>23</v>
      </c>
      <c r="I1399" t="s">
        <v>89</v>
      </c>
      <c r="J1399" s="9">
        <v>1</v>
      </c>
      <c r="K1399" s="7">
        <v>50400</v>
      </c>
      <c r="L1399" s="7">
        <v>0</v>
      </c>
      <c r="M1399" s="9"/>
      <c r="N1399" s="7">
        <v>5.8</v>
      </c>
      <c r="O1399" s="7"/>
      <c r="P1399" s="7"/>
      <c r="Q1399" t="s">
        <v>89</v>
      </c>
      <c r="R1399" s="7" t="str">
        <f>TEXT(Table1[[#This Row],[Date]],"mmm yyyy")</f>
        <v>Oct 2025</v>
      </c>
      <c r="S1399" s="9">
        <f>YEAR(Table1[[#This Row],[Date]])</f>
        <v>2025</v>
      </c>
      <c r="T1399" s="9"/>
      <c r="U1399" s="9"/>
    </row>
    <row r="1400" spans="1:21" hidden="1" x14ac:dyDescent="0.3">
      <c r="A1400" t="s">
        <v>2057</v>
      </c>
      <c r="B1400" s="6">
        <v>46235</v>
      </c>
      <c r="C1400" t="s">
        <v>26</v>
      </c>
      <c r="D1400" t="s">
        <v>114</v>
      </c>
      <c r="E1400" t="s">
        <v>28</v>
      </c>
      <c r="F1400" t="s">
        <v>1230</v>
      </c>
      <c r="G1400" t="s">
        <v>30</v>
      </c>
      <c r="J1400" s="9">
        <v>0</v>
      </c>
      <c r="K1400" s="7">
        <v>0</v>
      </c>
      <c r="L1400" s="7">
        <v>0</v>
      </c>
      <c r="M1400" s="9">
        <v>1</v>
      </c>
      <c r="N1400" s="7">
        <v>7</v>
      </c>
      <c r="O1400" s="7">
        <v>13.2</v>
      </c>
      <c r="P1400" s="7">
        <v>3.5</v>
      </c>
      <c r="Q1400" t="s">
        <v>31</v>
      </c>
      <c r="R1400" s="7" t="str">
        <f>TEXT(Table1[[#This Row],[Date]],"mmm yyyy")</f>
        <v>Aug 2026</v>
      </c>
      <c r="S1400" s="9">
        <f>YEAR(Table1[[#This Row],[Date]])</f>
        <v>2026</v>
      </c>
      <c r="T1400" s="9"/>
      <c r="U1400" s="9"/>
    </row>
    <row r="1401" spans="1:21" hidden="1" x14ac:dyDescent="0.3">
      <c r="A1401" t="s">
        <v>2058</v>
      </c>
      <c r="B1401" s="6">
        <v>46114</v>
      </c>
      <c r="C1401" t="s">
        <v>26</v>
      </c>
      <c r="D1401" t="s">
        <v>126</v>
      </c>
      <c r="E1401" t="s">
        <v>42</v>
      </c>
      <c r="F1401" t="s">
        <v>2059</v>
      </c>
      <c r="G1401" t="s">
        <v>30</v>
      </c>
      <c r="J1401" s="9">
        <v>0</v>
      </c>
      <c r="K1401" s="7">
        <v>0</v>
      </c>
      <c r="L1401" s="7">
        <v>0</v>
      </c>
      <c r="M1401" s="9">
        <v>1</v>
      </c>
      <c r="N1401" s="7">
        <v>1.9</v>
      </c>
      <c r="O1401" s="7">
        <v>8.9</v>
      </c>
      <c r="P1401" s="7">
        <v>3.8</v>
      </c>
      <c r="Q1401" t="s">
        <v>39</v>
      </c>
      <c r="R1401" s="7" t="str">
        <f>TEXT(Table1[[#This Row],[Date]],"mmm yyyy")</f>
        <v>Apr 2026</v>
      </c>
      <c r="S1401" s="9">
        <f>YEAR(Table1[[#This Row],[Date]])</f>
        <v>2026</v>
      </c>
      <c r="T1401" s="9"/>
      <c r="U1401" s="9"/>
    </row>
    <row r="1402" spans="1:21" x14ac:dyDescent="0.3">
      <c r="A1402" t="s">
        <v>2060</v>
      </c>
      <c r="B1402" s="6">
        <v>46258</v>
      </c>
      <c r="C1402" t="s">
        <v>18</v>
      </c>
      <c r="D1402" t="s">
        <v>64</v>
      </c>
      <c r="E1402" t="s">
        <v>20</v>
      </c>
      <c r="F1402" t="s">
        <v>342</v>
      </c>
      <c r="G1402" t="s">
        <v>50</v>
      </c>
      <c r="H1402" t="s">
        <v>66</v>
      </c>
      <c r="I1402" t="s">
        <v>55</v>
      </c>
      <c r="J1402" s="9">
        <v>1</v>
      </c>
      <c r="K1402" s="7">
        <v>9200</v>
      </c>
      <c r="L1402" s="7">
        <v>0</v>
      </c>
      <c r="M1402" s="9"/>
      <c r="N1402" s="7">
        <v>12.5</v>
      </c>
      <c r="O1402" s="7"/>
      <c r="P1402" s="7"/>
      <c r="Q1402" t="s">
        <v>55</v>
      </c>
      <c r="R1402" s="7" t="str">
        <f>TEXT(Table1[[#This Row],[Date]],"mmm yyyy")</f>
        <v>Aug 2026</v>
      </c>
      <c r="S1402" s="9">
        <f>YEAR(Table1[[#This Row],[Date]])</f>
        <v>2026</v>
      </c>
      <c r="T1402" s="9"/>
      <c r="U1402" s="9"/>
    </row>
    <row r="1403" spans="1:21" x14ac:dyDescent="0.3">
      <c r="A1403" t="s">
        <v>2061</v>
      </c>
      <c r="B1403" s="6">
        <v>46065</v>
      </c>
      <c r="C1403" t="s">
        <v>18</v>
      </c>
      <c r="D1403" t="s">
        <v>19</v>
      </c>
      <c r="E1403" t="s">
        <v>28</v>
      </c>
      <c r="F1403" t="s">
        <v>1587</v>
      </c>
      <c r="G1403" t="s">
        <v>22</v>
      </c>
      <c r="H1403" t="s">
        <v>23</v>
      </c>
      <c r="I1403" t="s">
        <v>45</v>
      </c>
      <c r="J1403" s="9">
        <v>1</v>
      </c>
      <c r="K1403" s="7">
        <v>16900</v>
      </c>
      <c r="L1403" s="7">
        <v>0</v>
      </c>
      <c r="M1403" s="9"/>
      <c r="N1403" s="7">
        <v>23</v>
      </c>
      <c r="O1403" s="7"/>
      <c r="P1403" s="7"/>
      <c r="Q1403" t="s">
        <v>45</v>
      </c>
      <c r="R1403" s="7" t="str">
        <f>TEXT(Table1[[#This Row],[Date]],"mmm yyyy")</f>
        <v>Feb 2026</v>
      </c>
      <c r="S1403" s="9">
        <f>YEAR(Table1[[#This Row],[Date]])</f>
        <v>2026</v>
      </c>
      <c r="T1403" s="9"/>
      <c r="U1403" s="9"/>
    </row>
    <row r="1404" spans="1:21" x14ac:dyDescent="0.3">
      <c r="A1404" t="s">
        <v>2062</v>
      </c>
      <c r="B1404" s="6">
        <v>46063</v>
      </c>
      <c r="C1404" t="s">
        <v>18</v>
      </c>
      <c r="D1404" t="s">
        <v>117</v>
      </c>
      <c r="E1404" t="s">
        <v>20</v>
      </c>
      <c r="F1404" t="s">
        <v>1278</v>
      </c>
      <c r="G1404" t="s">
        <v>22</v>
      </c>
      <c r="H1404" t="s">
        <v>78</v>
      </c>
      <c r="I1404" t="s">
        <v>45</v>
      </c>
      <c r="J1404" s="9">
        <v>1</v>
      </c>
      <c r="K1404" s="7">
        <v>30100</v>
      </c>
      <c r="L1404" s="7">
        <v>0</v>
      </c>
      <c r="M1404" s="9"/>
      <c r="N1404" s="7">
        <v>19</v>
      </c>
      <c r="O1404" s="7"/>
      <c r="P1404" s="7"/>
      <c r="Q1404" t="s">
        <v>45</v>
      </c>
      <c r="R1404" s="7" t="str">
        <f>TEXT(Table1[[#This Row],[Date]],"mmm yyyy")</f>
        <v>Feb 2026</v>
      </c>
      <c r="S1404" s="9">
        <f>YEAR(Table1[[#This Row],[Date]])</f>
        <v>2026</v>
      </c>
      <c r="T1404" s="9"/>
      <c r="U1404" s="9"/>
    </row>
    <row r="1405" spans="1:21" hidden="1" x14ac:dyDescent="0.3">
      <c r="A1405" t="s">
        <v>2063</v>
      </c>
      <c r="B1405" s="6">
        <v>46169</v>
      </c>
      <c r="C1405" t="s">
        <v>26</v>
      </c>
      <c r="D1405" t="s">
        <v>232</v>
      </c>
      <c r="E1405" t="s">
        <v>37</v>
      </c>
      <c r="F1405" t="s">
        <v>1373</v>
      </c>
      <c r="G1405" t="s">
        <v>30</v>
      </c>
      <c r="J1405" s="9">
        <v>0</v>
      </c>
      <c r="K1405" s="7">
        <v>0</v>
      </c>
      <c r="L1405" s="7">
        <v>0</v>
      </c>
      <c r="M1405" s="9">
        <v>1</v>
      </c>
      <c r="N1405" s="7">
        <v>5.4</v>
      </c>
      <c r="O1405" s="7">
        <v>12.4</v>
      </c>
      <c r="P1405" s="7">
        <v>3.4</v>
      </c>
      <c r="Q1405" t="s">
        <v>225</v>
      </c>
      <c r="R1405" s="7" t="str">
        <f>TEXT(Table1[[#This Row],[Date]],"mmm yyyy")</f>
        <v>May 2026</v>
      </c>
      <c r="S1405" s="9">
        <f>YEAR(Table1[[#This Row],[Date]])</f>
        <v>2026</v>
      </c>
      <c r="T1405" s="9"/>
      <c r="U1405" s="9"/>
    </row>
    <row r="1406" spans="1:21" hidden="1" x14ac:dyDescent="0.3">
      <c r="A1406" t="s">
        <v>2064</v>
      </c>
      <c r="B1406" s="6">
        <v>46130</v>
      </c>
      <c r="C1406" t="s">
        <v>26</v>
      </c>
      <c r="D1406" t="s">
        <v>232</v>
      </c>
      <c r="E1406" t="s">
        <v>20</v>
      </c>
      <c r="F1406" t="s">
        <v>1887</v>
      </c>
      <c r="G1406" t="s">
        <v>30</v>
      </c>
      <c r="J1406" s="9">
        <v>0</v>
      </c>
      <c r="K1406" s="7">
        <v>0</v>
      </c>
      <c r="L1406" s="7">
        <v>0</v>
      </c>
      <c r="M1406" s="9">
        <v>1</v>
      </c>
      <c r="N1406" s="7">
        <v>4</v>
      </c>
      <c r="O1406" s="7">
        <v>5.5</v>
      </c>
      <c r="P1406" s="7">
        <v>2.8</v>
      </c>
      <c r="Q1406" t="s">
        <v>39</v>
      </c>
      <c r="R1406" s="7" t="str">
        <f>TEXT(Table1[[#This Row],[Date]],"mmm yyyy")</f>
        <v>Apr 2026</v>
      </c>
      <c r="S1406" s="9">
        <f>YEAR(Table1[[#This Row],[Date]])</f>
        <v>2026</v>
      </c>
      <c r="T1406" s="9"/>
      <c r="U1406" s="9"/>
    </row>
    <row r="1407" spans="1:21" x14ac:dyDescent="0.3">
      <c r="A1407" t="s">
        <v>2065</v>
      </c>
      <c r="B1407" s="6">
        <v>46025</v>
      </c>
      <c r="C1407" t="s">
        <v>18</v>
      </c>
      <c r="D1407" t="s">
        <v>52</v>
      </c>
      <c r="E1407" t="s">
        <v>28</v>
      </c>
      <c r="F1407" t="s">
        <v>274</v>
      </c>
      <c r="G1407" t="s">
        <v>44</v>
      </c>
      <c r="H1407" t="s">
        <v>66</v>
      </c>
      <c r="I1407" t="s">
        <v>67</v>
      </c>
      <c r="J1407" s="9">
        <v>1</v>
      </c>
      <c r="K1407" s="7">
        <v>31100</v>
      </c>
      <c r="L1407" s="7">
        <v>0</v>
      </c>
      <c r="M1407" s="9"/>
      <c r="N1407" s="7">
        <v>2.5</v>
      </c>
      <c r="O1407" s="7"/>
      <c r="P1407" s="7"/>
      <c r="Q1407" t="s">
        <v>67</v>
      </c>
      <c r="R1407" s="7" t="str">
        <f>TEXT(Table1[[#This Row],[Date]],"mmm yyyy")</f>
        <v>Jan 2026</v>
      </c>
      <c r="S1407" s="9">
        <f>YEAR(Table1[[#This Row],[Date]])</f>
        <v>2026</v>
      </c>
      <c r="T1407" s="9"/>
      <c r="U1407" s="9"/>
    </row>
    <row r="1408" spans="1:21" hidden="1" x14ac:dyDescent="0.3">
      <c r="A1408" t="s">
        <v>2066</v>
      </c>
      <c r="B1408" s="6">
        <v>46196</v>
      </c>
      <c r="C1408" t="s">
        <v>26</v>
      </c>
      <c r="D1408" t="s">
        <v>36</v>
      </c>
      <c r="E1408" t="s">
        <v>20</v>
      </c>
      <c r="F1408" t="s">
        <v>2067</v>
      </c>
      <c r="G1408" t="s">
        <v>30</v>
      </c>
      <c r="J1408" s="9">
        <v>0</v>
      </c>
      <c r="K1408" s="7">
        <v>0</v>
      </c>
      <c r="L1408" s="7">
        <v>0</v>
      </c>
      <c r="M1408" s="9">
        <v>1</v>
      </c>
      <c r="N1408" s="7">
        <v>9.8000000000000007</v>
      </c>
      <c r="O1408" s="7">
        <v>11</v>
      </c>
      <c r="P1408" s="7">
        <v>4.5999999999999996</v>
      </c>
      <c r="Q1408" t="s">
        <v>31</v>
      </c>
      <c r="R1408" s="7" t="str">
        <f>TEXT(Table1[[#This Row],[Date]],"mmm yyyy")</f>
        <v>Jun 2026</v>
      </c>
      <c r="S1408" s="9">
        <f>YEAR(Table1[[#This Row],[Date]])</f>
        <v>2026</v>
      </c>
      <c r="T1408" s="9"/>
      <c r="U1408" s="9"/>
    </row>
    <row r="1409" spans="1:21" hidden="1" x14ac:dyDescent="0.3">
      <c r="A1409" t="s">
        <v>2068</v>
      </c>
      <c r="B1409" s="6">
        <v>46206</v>
      </c>
      <c r="C1409" t="s">
        <v>26</v>
      </c>
      <c r="D1409" t="s">
        <v>33</v>
      </c>
      <c r="E1409" t="s">
        <v>20</v>
      </c>
      <c r="F1409" t="s">
        <v>536</v>
      </c>
      <c r="G1409" t="s">
        <v>44</v>
      </c>
      <c r="J1409" s="9">
        <v>0</v>
      </c>
      <c r="K1409" s="7">
        <v>0</v>
      </c>
      <c r="L1409" s="7">
        <v>0</v>
      </c>
      <c r="M1409" s="9">
        <v>1</v>
      </c>
      <c r="N1409" s="7">
        <v>2.6</v>
      </c>
      <c r="O1409" s="7">
        <v>3.8</v>
      </c>
      <c r="P1409" s="7">
        <v>3.5</v>
      </c>
      <c r="Q1409" t="s">
        <v>31</v>
      </c>
      <c r="R1409" s="7" t="str">
        <f>TEXT(Table1[[#This Row],[Date]],"mmm yyyy")</f>
        <v>Jul 2026</v>
      </c>
      <c r="S1409" s="9">
        <f>YEAR(Table1[[#This Row],[Date]])</f>
        <v>2026</v>
      </c>
      <c r="T1409" s="9"/>
      <c r="U1409" s="9"/>
    </row>
    <row r="1410" spans="1:21" hidden="1" x14ac:dyDescent="0.3">
      <c r="A1410" t="s">
        <v>2069</v>
      </c>
      <c r="B1410" s="6">
        <v>46003</v>
      </c>
      <c r="C1410" t="s">
        <v>26</v>
      </c>
      <c r="D1410" t="s">
        <v>36</v>
      </c>
      <c r="E1410" t="s">
        <v>20</v>
      </c>
      <c r="F1410" t="s">
        <v>609</v>
      </c>
      <c r="G1410" t="s">
        <v>50</v>
      </c>
      <c r="J1410" s="9">
        <v>0</v>
      </c>
      <c r="K1410" s="7">
        <v>0</v>
      </c>
      <c r="L1410" s="7">
        <v>0</v>
      </c>
      <c r="M1410" s="9">
        <v>1</v>
      </c>
      <c r="N1410" s="7">
        <v>9.1</v>
      </c>
      <c r="O1410" s="7">
        <v>4</v>
      </c>
      <c r="P1410" s="7">
        <v>4.3</v>
      </c>
      <c r="Q1410" t="s">
        <v>39</v>
      </c>
      <c r="R1410" s="7" t="str">
        <f>TEXT(Table1[[#This Row],[Date]],"mmm yyyy")</f>
        <v>Dec 2025</v>
      </c>
      <c r="S1410" s="9">
        <f>YEAR(Table1[[#This Row],[Date]])</f>
        <v>2025</v>
      </c>
      <c r="T1410" s="9"/>
      <c r="U1410" s="9"/>
    </row>
    <row r="1411" spans="1:21" hidden="1" x14ac:dyDescent="0.3">
      <c r="A1411" t="s">
        <v>2070</v>
      </c>
      <c r="B1411" s="6">
        <v>46152</v>
      </c>
      <c r="C1411" t="s">
        <v>26</v>
      </c>
      <c r="D1411" t="s">
        <v>232</v>
      </c>
      <c r="E1411" t="s">
        <v>48</v>
      </c>
      <c r="F1411" t="s">
        <v>1281</v>
      </c>
      <c r="G1411" t="s">
        <v>44</v>
      </c>
      <c r="J1411" s="9">
        <v>0</v>
      </c>
      <c r="K1411" s="7">
        <v>0</v>
      </c>
      <c r="L1411" s="7">
        <v>0</v>
      </c>
      <c r="M1411" s="9">
        <v>1</v>
      </c>
      <c r="N1411" s="7">
        <v>10.7</v>
      </c>
      <c r="O1411" s="7">
        <v>6.8</v>
      </c>
      <c r="P1411" s="7">
        <v>5</v>
      </c>
      <c r="Q1411" t="s">
        <v>39</v>
      </c>
      <c r="R1411" s="7" t="str">
        <f>TEXT(Table1[[#This Row],[Date]],"mmm yyyy")</f>
        <v>May 2026</v>
      </c>
      <c r="S1411" s="9">
        <f>YEAR(Table1[[#This Row],[Date]])</f>
        <v>2026</v>
      </c>
      <c r="T1411" s="9"/>
      <c r="U1411" s="9"/>
    </row>
    <row r="1412" spans="1:21" x14ac:dyDescent="0.3">
      <c r="A1412" t="s">
        <v>2071</v>
      </c>
      <c r="B1412" s="6">
        <v>46234</v>
      </c>
      <c r="C1412" t="s">
        <v>18</v>
      </c>
      <c r="D1412" t="s">
        <v>64</v>
      </c>
      <c r="E1412" t="s">
        <v>20</v>
      </c>
      <c r="F1412" t="s">
        <v>1399</v>
      </c>
      <c r="G1412" t="s">
        <v>22</v>
      </c>
      <c r="H1412" t="s">
        <v>78</v>
      </c>
      <c r="I1412" t="s">
        <v>79</v>
      </c>
      <c r="J1412" s="9">
        <v>1</v>
      </c>
      <c r="K1412" s="7">
        <v>5000</v>
      </c>
      <c r="L1412" s="7">
        <v>0</v>
      </c>
      <c r="M1412" s="9"/>
      <c r="N1412" s="7">
        <v>20.5</v>
      </c>
      <c r="O1412" s="7"/>
      <c r="P1412" s="7"/>
      <c r="Q1412" t="s">
        <v>79</v>
      </c>
      <c r="R1412" s="7" t="str">
        <f>TEXT(Table1[[#This Row],[Date]],"mmm yyyy")</f>
        <v>Jul 2026</v>
      </c>
      <c r="S1412" s="9">
        <f>YEAR(Table1[[#This Row],[Date]])</f>
        <v>2026</v>
      </c>
      <c r="T1412" s="9"/>
      <c r="U1412" s="9"/>
    </row>
    <row r="1413" spans="1:21" x14ac:dyDescent="0.3">
      <c r="A1413" t="s">
        <v>2072</v>
      </c>
      <c r="B1413" s="6">
        <v>46187</v>
      </c>
      <c r="C1413" t="s">
        <v>18</v>
      </c>
      <c r="D1413" t="s">
        <v>95</v>
      </c>
      <c r="E1413" t="s">
        <v>20</v>
      </c>
      <c r="F1413" t="s">
        <v>2073</v>
      </c>
      <c r="G1413" t="s">
        <v>44</v>
      </c>
      <c r="H1413" t="s">
        <v>78</v>
      </c>
      <c r="I1413" t="s">
        <v>55</v>
      </c>
      <c r="J1413" s="9">
        <v>1</v>
      </c>
      <c r="K1413" s="7">
        <v>9400</v>
      </c>
      <c r="L1413" s="7">
        <v>0</v>
      </c>
      <c r="M1413" s="9"/>
      <c r="N1413" s="7">
        <v>4.5999999999999996</v>
      </c>
      <c r="O1413" s="7"/>
      <c r="P1413" s="7"/>
      <c r="Q1413" t="s">
        <v>55</v>
      </c>
      <c r="R1413" s="7" t="str">
        <f>TEXT(Table1[[#This Row],[Date]],"mmm yyyy")</f>
        <v>Jun 2026</v>
      </c>
      <c r="S1413" s="9">
        <f>YEAR(Table1[[#This Row],[Date]])</f>
        <v>2026</v>
      </c>
      <c r="T1413" s="9"/>
      <c r="U1413" s="9"/>
    </row>
    <row r="1414" spans="1:21" x14ac:dyDescent="0.3">
      <c r="A1414" t="s">
        <v>2074</v>
      </c>
      <c r="B1414" s="6">
        <v>45909</v>
      </c>
      <c r="C1414" t="s">
        <v>18</v>
      </c>
      <c r="D1414" t="s">
        <v>95</v>
      </c>
      <c r="E1414" t="s">
        <v>37</v>
      </c>
      <c r="F1414" t="s">
        <v>1048</v>
      </c>
      <c r="G1414" t="s">
        <v>22</v>
      </c>
      <c r="H1414" t="s">
        <v>23</v>
      </c>
      <c r="I1414" t="s">
        <v>67</v>
      </c>
      <c r="J1414" s="9">
        <v>1</v>
      </c>
      <c r="K1414" s="7">
        <v>17600</v>
      </c>
      <c r="L1414" s="7">
        <v>0</v>
      </c>
      <c r="M1414" s="9"/>
      <c r="N1414" s="7">
        <v>21.5</v>
      </c>
      <c r="O1414" s="7"/>
      <c r="P1414" s="7"/>
      <c r="Q1414" t="s">
        <v>67</v>
      </c>
      <c r="R1414" s="7" t="str">
        <f>TEXT(Table1[[#This Row],[Date]],"mmm yyyy")</f>
        <v>Sep 2025</v>
      </c>
      <c r="S1414" s="9">
        <f>YEAR(Table1[[#This Row],[Date]])</f>
        <v>2025</v>
      </c>
      <c r="T1414" s="9"/>
      <c r="U1414" s="9"/>
    </row>
    <row r="1415" spans="1:21" x14ac:dyDescent="0.3">
      <c r="A1415" t="s">
        <v>2075</v>
      </c>
      <c r="B1415" s="6">
        <v>46256</v>
      </c>
      <c r="C1415" t="s">
        <v>18</v>
      </c>
      <c r="D1415" t="s">
        <v>105</v>
      </c>
      <c r="E1415" t="s">
        <v>20</v>
      </c>
      <c r="F1415" t="s">
        <v>108</v>
      </c>
      <c r="G1415" t="s">
        <v>50</v>
      </c>
      <c r="H1415" t="s">
        <v>54</v>
      </c>
      <c r="I1415" t="s">
        <v>45</v>
      </c>
      <c r="J1415" s="9">
        <v>1</v>
      </c>
      <c r="K1415" s="7">
        <v>17000</v>
      </c>
      <c r="L1415" s="7">
        <v>0</v>
      </c>
      <c r="M1415" s="9"/>
      <c r="N1415" s="7">
        <v>15.2</v>
      </c>
      <c r="O1415" s="7"/>
      <c r="P1415" s="7"/>
      <c r="Q1415" t="s">
        <v>45</v>
      </c>
      <c r="R1415" s="7" t="str">
        <f>TEXT(Table1[[#This Row],[Date]],"mmm yyyy")</f>
        <v>Aug 2026</v>
      </c>
      <c r="S1415" s="9">
        <f>YEAR(Table1[[#This Row],[Date]])</f>
        <v>2026</v>
      </c>
      <c r="T1415" s="9"/>
      <c r="U1415" s="9"/>
    </row>
    <row r="1416" spans="1:21" x14ac:dyDescent="0.3">
      <c r="A1416" t="s">
        <v>2076</v>
      </c>
      <c r="B1416" s="6">
        <v>46183</v>
      </c>
      <c r="C1416" t="s">
        <v>18</v>
      </c>
      <c r="D1416" t="s">
        <v>41</v>
      </c>
      <c r="E1416" t="s">
        <v>28</v>
      </c>
      <c r="F1416" t="s">
        <v>773</v>
      </c>
      <c r="G1416" t="s">
        <v>50</v>
      </c>
      <c r="H1416" t="s">
        <v>23</v>
      </c>
      <c r="I1416" t="s">
        <v>79</v>
      </c>
      <c r="J1416" s="9">
        <v>1</v>
      </c>
      <c r="K1416" s="7">
        <v>17900</v>
      </c>
      <c r="L1416" s="7">
        <v>0</v>
      </c>
      <c r="M1416" s="9"/>
      <c r="N1416" s="7">
        <v>17.600000000000001</v>
      </c>
      <c r="O1416" s="7"/>
      <c r="P1416" s="7"/>
      <c r="Q1416" t="s">
        <v>79</v>
      </c>
      <c r="R1416" s="7" t="str">
        <f>TEXT(Table1[[#This Row],[Date]],"mmm yyyy")</f>
        <v>Jun 2026</v>
      </c>
      <c r="S1416" s="9">
        <f>YEAR(Table1[[#This Row],[Date]])</f>
        <v>2026</v>
      </c>
      <c r="T1416" s="9"/>
      <c r="U1416" s="9"/>
    </row>
    <row r="1417" spans="1:21" hidden="1" x14ac:dyDescent="0.3">
      <c r="A1417" t="s">
        <v>2077</v>
      </c>
      <c r="B1417" s="6">
        <v>46097</v>
      </c>
      <c r="C1417" t="s">
        <v>26</v>
      </c>
      <c r="D1417" t="s">
        <v>33</v>
      </c>
      <c r="E1417" t="s">
        <v>37</v>
      </c>
      <c r="F1417" t="s">
        <v>2078</v>
      </c>
      <c r="G1417" t="s">
        <v>30</v>
      </c>
      <c r="J1417" s="9">
        <v>0</v>
      </c>
      <c r="K1417" s="7">
        <v>0</v>
      </c>
      <c r="L1417" s="7">
        <v>0</v>
      </c>
      <c r="M1417" s="9">
        <v>1</v>
      </c>
      <c r="N1417" s="7">
        <v>1.8</v>
      </c>
      <c r="O1417" s="7">
        <v>8.6999999999999993</v>
      </c>
      <c r="P1417" s="7">
        <v>4</v>
      </c>
      <c r="Q1417" t="s">
        <v>31</v>
      </c>
      <c r="R1417" s="7" t="str">
        <f>TEXT(Table1[[#This Row],[Date]],"mmm yyyy")</f>
        <v>Mar 2026</v>
      </c>
      <c r="S1417" s="9">
        <f>YEAR(Table1[[#This Row],[Date]])</f>
        <v>2026</v>
      </c>
      <c r="T1417" s="9"/>
      <c r="U1417" s="9"/>
    </row>
    <row r="1418" spans="1:21" x14ac:dyDescent="0.3">
      <c r="A1418" t="s">
        <v>2079</v>
      </c>
      <c r="B1418" s="6">
        <v>46113</v>
      </c>
      <c r="C1418" t="s">
        <v>18</v>
      </c>
      <c r="D1418" t="s">
        <v>41</v>
      </c>
      <c r="E1418" t="s">
        <v>48</v>
      </c>
      <c r="F1418" t="s">
        <v>208</v>
      </c>
      <c r="G1418" t="s">
        <v>22</v>
      </c>
      <c r="H1418" t="s">
        <v>23</v>
      </c>
      <c r="I1418" t="s">
        <v>67</v>
      </c>
      <c r="J1418" s="9">
        <v>1</v>
      </c>
      <c r="K1418" s="7">
        <v>9900</v>
      </c>
      <c r="L1418" s="7">
        <v>0</v>
      </c>
      <c r="M1418" s="9"/>
      <c r="N1418" s="7">
        <v>12.5</v>
      </c>
      <c r="O1418" s="7"/>
      <c r="P1418" s="7"/>
      <c r="Q1418" t="s">
        <v>67</v>
      </c>
      <c r="R1418" s="7" t="str">
        <f>TEXT(Table1[[#This Row],[Date]],"mmm yyyy")</f>
        <v>Apr 2026</v>
      </c>
      <c r="S1418" s="9">
        <f>YEAR(Table1[[#This Row],[Date]])</f>
        <v>2026</v>
      </c>
      <c r="T1418" s="9"/>
      <c r="U1418" s="9"/>
    </row>
    <row r="1419" spans="1:21" x14ac:dyDescent="0.3">
      <c r="A1419" t="s">
        <v>2080</v>
      </c>
      <c r="B1419" s="6">
        <v>46175</v>
      </c>
      <c r="C1419" t="s">
        <v>18</v>
      </c>
      <c r="D1419" t="s">
        <v>47</v>
      </c>
      <c r="E1419" t="s">
        <v>20</v>
      </c>
      <c r="F1419" t="s">
        <v>1099</v>
      </c>
      <c r="G1419" t="s">
        <v>22</v>
      </c>
      <c r="H1419" t="s">
        <v>86</v>
      </c>
      <c r="I1419" t="s">
        <v>45</v>
      </c>
      <c r="J1419" s="9">
        <v>1</v>
      </c>
      <c r="K1419" s="7">
        <v>17100</v>
      </c>
      <c r="L1419" s="7">
        <v>0</v>
      </c>
      <c r="M1419" s="9"/>
      <c r="N1419" s="7">
        <v>21.7</v>
      </c>
      <c r="O1419" s="7"/>
      <c r="P1419" s="7"/>
      <c r="Q1419" t="s">
        <v>45</v>
      </c>
      <c r="R1419" s="7" t="str">
        <f>TEXT(Table1[[#This Row],[Date]],"mmm yyyy")</f>
        <v>Jun 2026</v>
      </c>
      <c r="S1419" s="9">
        <f>YEAR(Table1[[#This Row],[Date]])</f>
        <v>2026</v>
      </c>
      <c r="T1419" s="9"/>
      <c r="U1419" s="9"/>
    </row>
    <row r="1420" spans="1:21" x14ac:dyDescent="0.3">
      <c r="A1420" t="s">
        <v>2081</v>
      </c>
      <c r="B1420" s="6">
        <v>46028</v>
      </c>
      <c r="C1420" t="s">
        <v>18</v>
      </c>
      <c r="D1420" t="s">
        <v>47</v>
      </c>
      <c r="E1420" t="s">
        <v>20</v>
      </c>
      <c r="F1420" t="s">
        <v>952</v>
      </c>
      <c r="G1420" t="s">
        <v>30</v>
      </c>
      <c r="H1420" t="s">
        <v>78</v>
      </c>
      <c r="I1420" t="s">
        <v>79</v>
      </c>
      <c r="J1420" s="9">
        <v>1</v>
      </c>
      <c r="K1420" s="7">
        <v>22000</v>
      </c>
      <c r="L1420" s="7">
        <v>0</v>
      </c>
      <c r="M1420" s="9"/>
      <c r="N1420" s="7">
        <v>10</v>
      </c>
      <c r="O1420" s="7"/>
      <c r="P1420" s="7"/>
      <c r="Q1420" t="s">
        <v>79</v>
      </c>
      <c r="R1420" s="7" t="str">
        <f>TEXT(Table1[[#This Row],[Date]],"mmm yyyy")</f>
        <v>Jan 2026</v>
      </c>
      <c r="S1420" s="9">
        <f>YEAR(Table1[[#This Row],[Date]])</f>
        <v>2026</v>
      </c>
      <c r="T1420" s="9"/>
      <c r="U1420" s="9"/>
    </row>
    <row r="1421" spans="1:21" hidden="1" x14ac:dyDescent="0.3">
      <c r="A1421" t="s">
        <v>2082</v>
      </c>
      <c r="B1421" s="6">
        <v>46209</v>
      </c>
      <c r="C1421" t="s">
        <v>26</v>
      </c>
      <c r="D1421" t="s">
        <v>232</v>
      </c>
      <c r="E1421" t="s">
        <v>20</v>
      </c>
      <c r="F1421" t="s">
        <v>932</v>
      </c>
      <c r="G1421" t="s">
        <v>22</v>
      </c>
      <c r="J1421" s="9">
        <v>0</v>
      </c>
      <c r="K1421" s="7">
        <v>0</v>
      </c>
      <c r="L1421" s="7">
        <v>0</v>
      </c>
      <c r="M1421" s="9">
        <v>1</v>
      </c>
      <c r="N1421" s="7">
        <v>3.4</v>
      </c>
      <c r="O1421" s="7">
        <v>6.3</v>
      </c>
      <c r="P1421" s="7">
        <v>3.3</v>
      </c>
      <c r="Q1421" t="s">
        <v>62</v>
      </c>
      <c r="R1421" s="7" t="str">
        <f>TEXT(Table1[[#This Row],[Date]],"mmm yyyy")</f>
        <v>Jul 2026</v>
      </c>
      <c r="S1421" s="9">
        <f>YEAR(Table1[[#This Row],[Date]])</f>
        <v>2026</v>
      </c>
      <c r="T1421" s="9"/>
      <c r="U1421" s="9"/>
    </row>
    <row r="1422" spans="1:21" x14ac:dyDescent="0.3">
      <c r="A1422" t="s">
        <v>2083</v>
      </c>
      <c r="B1422" s="6">
        <v>45908</v>
      </c>
      <c r="C1422" t="s">
        <v>18</v>
      </c>
      <c r="D1422" t="s">
        <v>47</v>
      </c>
      <c r="E1422" t="s">
        <v>20</v>
      </c>
      <c r="F1422" t="s">
        <v>1624</v>
      </c>
      <c r="G1422" t="s">
        <v>22</v>
      </c>
      <c r="H1422" t="s">
        <v>54</v>
      </c>
      <c r="I1422" t="s">
        <v>89</v>
      </c>
      <c r="J1422" s="9">
        <v>1</v>
      </c>
      <c r="K1422" s="7">
        <v>50000</v>
      </c>
      <c r="L1422" s="7">
        <v>0</v>
      </c>
      <c r="M1422" s="9"/>
      <c r="N1422" s="7">
        <v>20.2</v>
      </c>
      <c r="O1422" s="7"/>
      <c r="P1422" s="7"/>
      <c r="Q1422" t="s">
        <v>89</v>
      </c>
      <c r="R1422" s="7" t="str">
        <f>TEXT(Table1[[#This Row],[Date]],"mmm yyyy")</f>
        <v>Sep 2025</v>
      </c>
      <c r="S1422" s="9">
        <f>YEAR(Table1[[#This Row],[Date]])</f>
        <v>2025</v>
      </c>
      <c r="T1422" s="9"/>
      <c r="U1422" s="9"/>
    </row>
    <row r="1423" spans="1:21" x14ac:dyDescent="0.3">
      <c r="A1423" t="s">
        <v>2084</v>
      </c>
      <c r="B1423" s="6">
        <v>46247</v>
      </c>
      <c r="C1423" t="s">
        <v>18</v>
      </c>
      <c r="D1423" t="s">
        <v>52</v>
      </c>
      <c r="E1423" t="s">
        <v>37</v>
      </c>
      <c r="F1423" t="s">
        <v>1186</v>
      </c>
      <c r="G1423" t="s">
        <v>22</v>
      </c>
      <c r="H1423" t="s">
        <v>86</v>
      </c>
      <c r="I1423" t="s">
        <v>45</v>
      </c>
      <c r="J1423" s="9">
        <v>1</v>
      </c>
      <c r="K1423" s="7">
        <v>38800</v>
      </c>
      <c r="L1423" s="7">
        <v>0</v>
      </c>
      <c r="M1423" s="9"/>
      <c r="N1423" s="7">
        <v>6.9</v>
      </c>
      <c r="O1423" s="7"/>
      <c r="P1423" s="7"/>
      <c r="Q1423" t="s">
        <v>45</v>
      </c>
      <c r="R1423" s="7" t="str">
        <f>TEXT(Table1[[#This Row],[Date]],"mmm yyyy")</f>
        <v>Aug 2026</v>
      </c>
      <c r="S1423" s="9">
        <f>YEAR(Table1[[#This Row],[Date]])</f>
        <v>2026</v>
      </c>
      <c r="T1423" s="9"/>
      <c r="U1423" s="9"/>
    </row>
    <row r="1424" spans="1:21" x14ac:dyDescent="0.3">
      <c r="A1424" t="s">
        <v>2085</v>
      </c>
      <c r="B1424" s="6">
        <v>45947</v>
      </c>
      <c r="C1424" t="s">
        <v>18</v>
      </c>
      <c r="D1424" t="s">
        <v>52</v>
      </c>
      <c r="E1424" t="s">
        <v>20</v>
      </c>
      <c r="F1424" t="s">
        <v>624</v>
      </c>
      <c r="G1424" t="s">
        <v>44</v>
      </c>
      <c r="H1424" t="s">
        <v>54</v>
      </c>
      <c r="I1424" t="s">
        <v>67</v>
      </c>
      <c r="J1424" s="9">
        <v>1</v>
      </c>
      <c r="K1424" s="7">
        <v>37000</v>
      </c>
      <c r="L1424" s="7">
        <v>0</v>
      </c>
      <c r="M1424" s="9"/>
      <c r="N1424" s="7">
        <v>1.4</v>
      </c>
      <c r="O1424" s="7"/>
      <c r="P1424" s="7"/>
      <c r="Q1424" t="s">
        <v>67</v>
      </c>
      <c r="R1424" s="7" t="str">
        <f>TEXT(Table1[[#This Row],[Date]],"mmm yyyy")</f>
        <v>Oct 2025</v>
      </c>
      <c r="S1424" s="9">
        <f>YEAR(Table1[[#This Row],[Date]])</f>
        <v>2025</v>
      </c>
      <c r="T1424" s="9"/>
      <c r="U1424" s="9"/>
    </row>
    <row r="1425" spans="1:21" x14ac:dyDescent="0.3">
      <c r="A1425" t="s">
        <v>2086</v>
      </c>
      <c r="B1425" s="6">
        <v>46158</v>
      </c>
      <c r="C1425" t="s">
        <v>18</v>
      </c>
      <c r="D1425" t="s">
        <v>64</v>
      </c>
      <c r="E1425" t="s">
        <v>20</v>
      </c>
      <c r="F1425" t="s">
        <v>2087</v>
      </c>
      <c r="G1425" t="s">
        <v>30</v>
      </c>
      <c r="H1425" t="s">
        <v>23</v>
      </c>
      <c r="I1425" t="s">
        <v>79</v>
      </c>
      <c r="J1425" s="9">
        <v>1</v>
      </c>
      <c r="K1425" s="7">
        <v>18900</v>
      </c>
      <c r="L1425" s="7">
        <v>0</v>
      </c>
      <c r="M1425" s="9"/>
      <c r="N1425" s="7">
        <v>11.6</v>
      </c>
      <c r="O1425" s="7"/>
      <c r="P1425" s="7"/>
      <c r="Q1425" t="s">
        <v>79</v>
      </c>
      <c r="R1425" s="7" t="str">
        <f>TEXT(Table1[[#This Row],[Date]],"mmm yyyy")</f>
        <v>May 2026</v>
      </c>
      <c r="S1425" s="9">
        <f>YEAR(Table1[[#This Row],[Date]])</f>
        <v>2026</v>
      </c>
      <c r="T1425" s="9"/>
      <c r="U1425" s="9"/>
    </row>
    <row r="1426" spans="1:21" hidden="1" x14ac:dyDescent="0.3">
      <c r="A1426" t="s">
        <v>2088</v>
      </c>
      <c r="B1426" s="6">
        <v>45969</v>
      </c>
      <c r="C1426" t="s">
        <v>26</v>
      </c>
      <c r="D1426" t="s">
        <v>126</v>
      </c>
      <c r="E1426" t="s">
        <v>28</v>
      </c>
      <c r="F1426" t="s">
        <v>978</v>
      </c>
      <c r="G1426" t="s">
        <v>30</v>
      </c>
      <c r="J1426" s="9">
        <v>0</v>
      </c>
      <c r="K1426" s="7">
        <v>0</v>
      </c>
      <c r="L1426" s="7">
        <v>0</v>
      </c>
      <c r="M1426" s="9">
        <v>1</v>
      </c>
      <c r="N1426" s="7">
        <v>11.2</v>
      </c>
      <c r="O1426" s="7">
        <v>6.6</v>
      </c>
      <c r="P1426" s="7">
        <v>3.9</v>
      </c>
      <c r="Q1426" t="s">
        <v>39</v>
      </c>
      <c r="R1426" s="7" t="str">
        <f>TEXT(Table1[[#This Row],[Date]],"mmm yyyy")</f>
        <v>Nov 2025</v>
      </c>
      <c r="S1426" s="9">
        <f>YEAR(Table1[[#This Row],[Date]])</f>
        <v>2025</v>
      </c>
      <c r="T1426" s="9"/>
      <c r="U1426" s="9"/>
    </row>
    <row r="1427" spans="1:21" hidden="1" x14ac:dyDescent="0.3">
      <c r="A1427" t="s">
        <v>2089</v>
      </c>
      <c r="B1427" s="6">
        <v>46043</v>
      </c>
      <c r="C1427" t="s">
        <v>26</v>
      </c>
      <c r="D1427" t="s">
        <v>126</v>
      </c>
      <c r="E1427" t="s">
        <v>20</v>
      </c>
      <c r="F1427" t="s">
        <v>2090</v>
      </c>
      <c r="G1427" t="s">
        <v>22</v>
      </c>
      <c r="J1427" s="9">
        <v>0</v>
      </c>
      <c r="K1427" s="7">
        <v>0</v>
      </c>
      <c r="L1427" s="7">
        <v>0</v>
      </c>
      <c r="M1427" s="9">
        <v>1</v>
      </c>
      <c r="N1427" s="7">
        <v>0.6</v>
      </c>
      <c r="O1427" s="7">
        <v>15.4</v>
      </c>
      <c r="P1427" s="7">
        <v>2.8</v>
      </c>
      <c r="Q1427" t="s">
        <v>31</v>
      </c>
      <c r="R1427" s="7" t="str">
        <f>TEXT(Table1[[#This Row],[Date]],"mmm yyyy")</f>
        <v>Jan 2026</v>
      </c>
      <c r="S1427" s="9">
        <f>YEAR(Table1[[#This Row],[Date]])</f>
        <v>2026</v>
      </c>
      <c r="T1427" s="9"/>
      <c r="U1427" s="9"/>
    </row>
    <row r="1428" spans="1:21" x14ac:dyDescent="0.3">
      <c r="A1428" t="s">
        <v>2091</v>
      </c>
      <c r="B1428" s="6">
        <v>46222</v>
      </c>
      <c r="C1428" t="s">
        <v>18</v>
      </c>
      <c r="D1428" t="s">
        <v>52</v>
      </c>
      <c r="E1428" t="s">
        <v>42</v>
      </c>
      <c r="F1428" t="s">
        <v>1982</v>
      </c>
      <c r="G1428" t="s">
        <v>44</v>
      </c>
      <c r="H1428" t="s">
        <v>23</v>
      </c>
      <c r="I1428" t="s">
        <v>24</v>
      </c>
      <c r="J1428" s="9">
        <v>1</v>
      </c>
      <c r="K1428" s="7">
        <v>49700</v>
      </c>
      <c r="L1428" s="7">
        <v>49700</v>
      </c>
      <c r="M1428" s="9"/>
      <c r="N1428" s="7">
        <v>4</v>
      </c>
      <c r="O1428" s="7"/>
      <c r="P1428" s="7"/>
      <c r="Q1428" t="s">
        <v>24</v>
      </c>
      <c r="R1428" s="7" t="str">
        <f>TEXT(Table1[[#This Row],[Date]],"mmm yyyy")</f>
        <v>Jul 2026</v>
      </c>
      <c r="S1428" s="9">
        <f>YEAR(Table1[[#This Row],[Date]])</f>
        <v>2026</v>
      </c>
      <c r="T1428" s="9"/>
      <c r="U1428" s="9"/>
    </row>
    <row r="1429" spans="1:21" hidden="1" x14ac:dyDescent="0.3">
      <c r="A1429" t="s">
        <v>2092</v>
      </c>
      <c r="B1429" s="6">
        <v>45991</v>
      </c>
      <c r="C1429" t="s">
        <v>26</v>
      </c>
      <c r="D1429" t="s">
        <v>36</v>
      </c>
      <c r="E1429" t="s">
        <v>42</v>
      </c>
      <c r="F1429" t="s">
        <v>872</v>
      </c>
      <c r="G1429" t="s">
        <v>44</v>
      </c>
      <c r="J1429" s="9">
        <v>0</v>
      </c>
      <c r="K1429" s="7">
        <v>0</v>
      </c>
      <c r="L1429" s="7">
        <v>0</v>
      </c>
      <c r="M1429" s="9">
        <v>1</v>
      </c>
      <c r="N1429" s="7">
        <v>8.9</v>
      </c>
      <c r="O1429" s="7">
        <v>3.7</v>
      </c>
      <c r="P1429" s="7">
        <v>3.9</v>
      </c>
      <c r="Q1429" t="s">
        <v>31</v>
      </c>
      <c r="R1429" s="7" t="str">
        <f>TEXT(Table1[[#This Row],[Date]],"mmm yyyy")</f>
        <v>Nov 2025</v>
      </c>
      <c r="S1429" s="9">
        <f>YEAR(Table1[[#This Row],[Date]])</f>
        <v>2025</v>
      </c>
      <c r="T1429" s="9"/>
      <c r="U1429" s="9"/>
    </row>
    <row r="1430" spans="1:21" hidden="1" x14ac:dyDescent="0.3">
      <c r="A1430" t="s">
        <v>2093</v>
      </c>
      <c r="B1430" s="6">
        <v>46187</v>
      </c>
      <c r="C1430" t="s">
        <v>26</v>
      </c>
      <c r="D1430" t="s">
        <v>114</v>
      </c>
      <c r="E1430" t="s">
        <v>28</v>
      </c>
      <c r="F1430" t="s">
        <v>2094</v>
      </c>
      <c r="G1430" t="s">
        <v>44</v>
      </c>
      <c r="J1430" s="9">
        <v>0</v>
      </c>
      <c r="K1430" s="7">
        <v>0</v>
      </c>
      <c r="L1430" s="7">
        <v>0</v>
      </c>
      <c r="M1430" s="9">
        <v>1</v>
      </c>
      <c r="N1430" s="7">
        <v>11.6</v>
      </c>
      <c r="O1430" s="7">
        <v>5.5</v>
      </c>
      <c r="P1430" s="7">
        <v>3.7</v>
      </c>
      <c r="Q1430" t="s">
        <v>39</v>
      </c>
      <c r="R1430" s="7" t="str">
        <f>TEXT(Table1[[#This Row],[Date]],"mmm yyyy")</f>
        <v>Jun 2026</v>
      </c>
      <c r="S1430" s="9">
        <f>YEAR(Table1[[#This Row],[Date]])</f>
        <v>2026</v>
      </c>
      <c r="T1430" s="9"/>
      <c r="U1430" s="9"/>
    </row>
    <row r="1431" spans="1:21" hidden="1" x14ac:dyDescent="0.3">
      <c r="A1431" t="s">
        <v>2095</v>
      </c>
      <c r="B1431" s="6">
        <v>45985</v>
      </c>
      <c r="C1431" t="s">
        <v>26</v>
      </c>
      <c r="D1431" t="s">
        <v>72</v>
      </c>
      <c r="E1431" t="s">
        <v>20</v>
      </c>
      <c r="F1431" t="s">
        <v>1184</v>
      </c>
      <c r="G1431" t="s">
        <v>30</v>
      </c>
      <c r="J1431" s="9">
        <v>0</v>
      </c>
      <c r="K1431" s="7">
        <v>0</v>
      </c>
      <c r="L1431" s="7">
        <v>0</v>
      </c>
      <c r="M1431" s="9">
        <v>1</v>
      </c>
      <c r="N1431" s="7">
        <v>9.4</v>
      </c>
      <c r="O1431" s="7">
        <v>7.7</v>
      </c>
      <c r="P1431" s="7">
        <v>4.3</v>
      </c>
      <c r="Q1431" t="s">
        <v>39</v>
      </c>
      <c r="R1431" s="7" t="str">
        <f>TEXT(Table1[[#This Row],[Date]],"mmm yyyy")</f>
        <v>Nov 2025</v>
      </c>
      <c r="S1431" s="9">
        <f>YEAR(Table1[[#This Row],[Date]])</f>
        <v>2025</v>
      </c>
      <c r="T1431" s="9"/>
      <c r="U1431" s="9"/>
    </row>
    <row r="1432" spans="1:21" x14ac:dyDescent="0.3">
      <c r="A1432" t="s">
        <v>2096</v>
      </c>
      <c r="B1432" s="6">
        <v>46096</v>
      </c>
      <c r="C1432" t="s">
        <v>18</v>
      </c>
      <c r="D1432" t="s">
        <v>117</v>
      </c>
      <c r="E1432" t="s">
        <v>37</v>
      </c>
      <c r="F1432" t="s">
        <v>250</v>
      </c>
      <c r="G1432" t="s">
        <v>22</v>
      </c>
      <c r="H1432" t="s">
        <v>78</v>
      </c>
      <c r="I1432" t="s">
        <v>67</v>
      </c>
      <c r="J1432" s="9">
        <v>1</v>
      </c>
      <c r="K1432" s="7">
        <v>29200</v>
      </c>
      <c r="L1432" s="7">
        <v>0</v>
      </c>
      <c r="M1432" s="9"/>
      <c r="N1432" s="7">
        <v>18.5</v>
      </c>
      <c r="O1432" s="7"/>
      <c r="P1432" s="7"/>
      <c r="Q1432" t="s">
        <v>67</v>
      </c>
      <c r="R1432" s="7" t="str">
        <f>TEXT(Table1[[#This Row],[Date]],"mmm yyyy")</f>
        <v>Mar 2026</v>
      </c>
      <c r="S1432" s="9">
        <f>YEAR(Table1[[#This Row],[Date]])</f>
        <v>2026</v>
      </c>
      <c r="T1432" s="9"/>
      <c r="U1432" s="9"/>
    </row>
    <row r="1433" spans="1:21" x14ac:dyDescent="0.3">
      <c r="A1433" t="s">
        <v>2097</v>
      </c>
      <c r="B1433" s="6">
        <v>46046</v>
      </c>
      <c r="C1433" t="s">
        <v>18</v>
      </c>
      <c r="D1433" t="s">
        <v>19</v>
      </c>
      <c r="E1433" t="s">
        <v>28</v>
      </c>
      <c r="F1433" t="s">
        <v>1199</v>
      </c>
      <c r="G1433" t="s">
        <v>22</v>
      </c>
      <c r="H1433" t="s">
        <v>54</v>
      </c>
      <c r="I1433" t="s">
        <v>24</v>
      </c>
      <c r="J1433" s="9">
        <v>1</v>
      </c>
      <c r="K1433" s="7">
        <v>18700</v>
      </c>
      <c r="L1433" s="7">
        <v>18700</v>
      </c>
      <c r="M1433" s="9"/>
      <c r="N1433" s="7">
        <v>2.9</v>
      </c>
      <c r="O1433" s="7"/>
      <c r="P1433" s="7"/>
      <c r="Q1433" t="s">
        <v>24</v>
      </c>
      <c r="R1433" s="7" t="str">
        <f>TEXT(Table1[[#This Row],[Date]],"mmm yyyy")</f>
        <v>Jan 2026</v>
      </c>
      <c r="S1433" s="9">
        <f>YEAR(Table1[[#This Row],[Date]])</f>
        <v>2026</v>
      </c>
      <c r="T1433" s="9"/>
      <c r="U1433" s="9"/>
    </row>
    <row r="1434" spans="1:21" x14ac:dyDescent="0.3">
      <c r="A1434" t="s">
        <v>2098</v>
      </c>
      <c r="B1434" s="6">
        <v>46100</v>
      </c>
      <c r="C1434" t="s">
        <v>18</v>
      </c>
      <c r="D1434" t="s">
        <v>64</v>
      </c>
      <c r="E1434" t="s">
        <v>20</v>
      </c>
      <c r="F1434" t="s">
        <v>2067</v>
      </c>
      <c r="G1434" t="s">
        <v>22</v>
      </c>
      <c r="H1434" t="s">
        <v>86</v>
      </c>
      <c r="I1434" t="s">
        <v>24</v>
      </c>
      <c r="J1434" s="9">
        <v>1</v>
      </c>
      <c r="K1434" s="7">
        <v>11700</v>
      </c>
      <c r="L1434" s="7">
        <v>11700</v>
      </c>
      <c r="M1434" s="9"/>
      <c r="N1434" s="7">
        <v>14</v>
      </c>
      <c r="O1434" s="7"/>
      <c r="P1434" s="7"/>
      <c r="Q1434" t="s">
        <v>24</v>
      </c>
      <c r="R1434" s="7" t="str">
        <f>TEXT(Table1[[#This Row],[Date]],"mmm yyyy")</f>
        <v>Mar 2026</v>
      </c>
      <c r="S1434" s="9">
        <f>YEAR(Table1[[#This Row],[Date]])</f>
        <v>2026</v>
      </c>
      <c r="T1434" s="9"/>
      <c r="U1434" s="9"/>
    </row>
    <row r="1435" spans="1:21" hidden="1" x14ac:dyDescent="0.3">
      <c r="A1435" t="s">
        <v>2099</v>
      </c>
      <c r="B1435" s="6">
        <v>45992</v>
      </c>
      <c r="C1435" t="s">
        <v>26</v>
      </c>
      <c r="D1435" t="s">
        <v>27</v>
      </c>
      <c r="E1435" t="s">
        <v>20</v>
      </c>
      <c r="F1435" t="s">
        <v>407</v>
      </c>
      <c r="G1435" t="s">
        <v>22</v>
      </c>
      <c r="J1435" s="9">
        <v>0</v>
      </c>
      <c r="K1435" s="7">
        <v>0</v>
      </c>
      <c r="L1435" s="7">
        <v>0</v>
      </c>
      <c r="M1435" s="9">
        <v>1</v>
      </c>
      <c r="N1435" s="7">
        <v>4.3</v>
      </c>
      <c r="O1435" s="7">
        <v>5.5</v>
      </c>
      <c r="P1435" s="7">
        <v>4.0999999999999996</v>
      </c>
      <c r="Q1435" t="s">
        <v>39</v>
      </c>
      <c r="R1435" s="7" t="str">
        <f>TEXT(Table1[[#This Row],[Date]],"mmm yyyy")</f>
        <v>Dec 2025</v>
      </c>
      <c r="S1435" s="9">
        <f>YEAR(Table1[[#This Row],[Date]])</f>
        <v>2025</v>
      </c>
      <c r="T1435" s="9"/>
      <c r="U1435" s="9"/>
    </row>
    <row r="1436" spans="1:21" x14ac:dyDescent="0.3">
      <c r="A1436" t="s">
        <v>2100</v>
      </c>
      <c r="B1436" s="6">
        <v>46164</v>
      </c>
      <c r="C1436" t="s">
        <v>18</v>
      </c>
      <c r="D1436" t="s">
        <v>52</v>
      </c>
      <c r="E1436" t="s">
        <v>28</v>
      </c>
      <c r="F1436" t="s">
        <v>1067</v>
      </c>
      <c r="G1436" t="s">
        <v>44</v>
      </c>
      <c r="H1436" t="s">
        <v>23</v>
      </c>
      <c r="I1436" t="s">
        <v>45</v>
      </c>
      <c r="J1436" s="9">
        <v>1</v>
      </c>
      <c r="K1436" s="7">
        <v>65100</v>
      </c>
      <c r="L1436" s="7">
        <v>0</v>
      </c>
      <c r="M1436" s="9"/>
      <c r="N1436" s="7">
        <v>12.3</v>
      </c>
      <c r="O1436" s="7"/>
      <c r="P1436" s="7"/>
      <c r="Q1436" t="s">
        <v>45</v>
      </c>
      <c r="R1436" s="7" t="str">
        <f>TEXT(Table1[[#This Row],[Date]],"mmm yyyy")</f>
        <v>May 2026</v>
      </c>
      <c r="S1436" s="9">
        <f>YEAR(Table1[[#This Row],[Date]])</f>
        <v>2026</v>
      </c>
      <c r="T1436" s="9"/>
      <c r="U1436" s="9"/>
    </row>
    <row r="1437" spans="1:21" x14ac:dyDescent="0.3">
      <c r="A1437" t="s">
        <v>2101</v>
      </c>
      <c r="B1437" s="6">
        <v>46046</v>
      </c>
      <c r="C1437" t="s">
        <v>18</v>
      </c>
      <c r="D1437" t="s">
        <v>52</v>
      </c>
      <c r="E1437" t="s">
        <v>28</v>
      </c>
      <c r="F1437" t="s">
        <v>1521</v>
      </c>
      <c r="G1437" t="s">
        <v>44</v>
      </c>
      <c r="H1437" t="s">
        <v>23</v>
      </c>
      <c r="I1437" t="s">
        <v>89</v>
      </c>
      <c r="J1437" s="9">
        <v>1</v>
      </c>
      <c r="K1437" s="7">
        <v>6300</v>
      </c>
      <c r="L1437" s="7">
        <v>0</v>
      </c>
      <c r="M1437" s="9"/>
      <c r="N1437" s="7">
        <v>5.4</v>
      </c>
      <c r="O1437" s="7"/>
      <c r="P1437" s="7"/>
      <c r="Q1437" t="s">
        <v>89</v>
      </c>
      <c r="R1437" s="7" t="str">
        <f>TEXT(Table1[[#This Row],[Date]],"mmm yyyy")</f>
        <v>Jan 2026</v>
      </c>
      <c r="S1437" s="9">
        <f>YEAR(Table1[[#This Row],[Date]])</f>
        <v>2026</v>
      </c>
      <c r="T1437" s="9"/>
      <c r="U1437" s="9"/>
    </row>
    <row r="1438" spans="1:21" x14ac:dyDescent="0.3">
      <c r="A1438" t="s">
        <v>2102</v>
      </c>
      <c r="B1438" s="6">
        <v>46234</v>
      </c>
      <c r="C1438" t="s">
        <v>18</v>
      </c>
      <c r="D1438" t="s">
        <v>47</v>
      </c>
      <c r="E1438" t="s">
        <v>48</v>
      </c>
      <c r="F1438" t="s">
        <v>2103</v>
      </c>
      <c r="G1438" t="s">
        <v>44</v>
      </c>
      <c r="H1438" t="s">
        <v>78</v>
      </c>
      <c r="I1438" t="s">
        <v>67</v>
      </c>
      <c r="J1438" s="9">
        <v>1</v>
      </c>
      <c r="K1438" s="7">
        <v>28500</v>
      </c>
      <c r="L1438" s="7">
        <v>0</v>
      </c>
      <c r="M1438" s="9"/>
      <c r="N1438" s="7">
        <v>13.2</v>
      </c>
      <c r="O1438" s="7"/>
      <c r="P1438" s="7"/>
      <c r="Q1438" t="s">
        <v>67</v>
      </c>
      <c r="R1438" s="7" t="str">
        <f>TEXT(Table1[[#This Row],[Date]],"mmm yyyy")</f>
        <v>Jul 2026</v>
      </c>
      <c r="S1438" s="9">
        <f>YEAR(Table1[[#This Row],[Date]])</f>
        <v>2026</v>
      </c>
      <c r="T1438" s="9"/>
      <c r="U1438" s="9"/>
    </row>
    <row r="1439" spans="1:21" hidden="1" x14ac:dyDescent="0.3">
      <c r="A1439" t="s">
        <v>2104</v>
      </c>
      <c r="B1439" s="6">
        <v>45961</v>
      </c>
      <c r="C1439" t="s">
        <v>26</v>
      </c>
      <c r="D1439" t="s">
        <v>114</v>
      </c>
      <c r="E1439" t="s">
        <v>48</v>
      </c>
      <c r="F1439" t="s">
        <v>1371</v>
      </c>
      <c r="G1439" t="s">
        <v>30</v>
      </c>
      <c r="J1439" s="9">
        <v>0</v>
      </c>
      <c r="K1439" s="7">
        <v>0</v>
      </c>
      <c r="L1439" s="7">
        <v>0</v>
      </c>
      <c r="M1439" s="9">
        <v>1</v>
      </c>
      <c r="N1439" s="7">
        <v>7.3</v>
      </c>
      <c r="O1439" s="7">
        <v>1.3</v>
      </c>
      <c r="P1439" s="7">
        <v>3.2</v>
      </c>
      <c r="Q1439" t="s">
        <v>39</v>
      </c>
      <c r="R1439" s="7" t="str">
        <f>TEXT(Table1[[#This Row],[Date]],"mmm yyyy")</f>
        <v>Oct 2025</v>
      </c>
      <c r="S1439" s="9">
        <f>YEAR(Table1[[#This Row],[Date]])</f>
        <v>2025</v>
      </c>
      <c r="T1439" s="9"/>
      <c r="U1439" s="9"/>
    </row>
    <row r="1440" spans="1:21" x14ac:dyDescent="0.3">
      <c r="A1440" t="s">
        <v>2105</v>
      </c>
      <c r="B1440" s="6">
        <v>46218</v>
      </c>
      <c r="C1440" t="s">
        <v>18</v>
      </c>
      <c r="D1440" t="s">
        <v>41</v>
      </c>
      <c r="E1440" t="s">
        <v>20</v>
      </c>
      <c r="F1440" t="s">
        <v>942</v>
      </c>
      <c r="G1440" t="s">
        <v>22</v>
      </c>
      <c r="H1440" t="s">
        <v>86</v>
      </c>
      <c r="I1440" t="s">
        <v>45</v>
      </c>
      <c r="J1440" s="9">
        <v>1</v>
      </c>
      <c r="K1440" s="7">
        <v>5000</v>
      </c>
      <c r="L1440" s="7">
        <v>0</v>
      </c>
      <c r="M1440" s="9"/>
      <c r="N1440" s="7">
        <v>12.8</v>
      </c>
      <c r="O1440" s="7"/>
      <c r="P1440" s="7"/>
      <c r="Q1440" t="s">
        <v>45</v>
      </c>
      <c r="R1440" s="7" t="str">
        <f>TEXT(Table1[[#This Row],[Date]],"mmm yyyy")</f>
        <v>Jul 2026</v>
      </c>
      <c r="S1440" s="9">
        <f>YEAR(Table1[[#This Row],[Date]])</f>
        <v>2026</v>
      </c>
      <c r="T1440" s="9"/>
      <c r="U1440" s="9"/>
    </row>
    <row r="1441" spans="1:21" hidden="1" x14ac:dyDescent="0.3">
      <c r="A1441" t="s">
        <v>2106</v>
      </c>
      <c r="B1441" s="6">
        <v>46001</v>
      </c>
      <c r="C1441" t="s">
        <v>26</v>
      </c>
      <c r="D1441" t="s">
        <v>232</v>
      </c>
      <c r="E1441" t="s">
        <v>20</v>
      </c>
      <c r="F1441" t="s">
        <v>1849</v>
      </c>
      <c r="G1441" t="s">
        <v>30</v>
      </c>
      <c r="J1441" s="9">
        <v>0</v>
      </c>
      <c r="K1441" s="7">
        <v>0</v>
      </c>
      <c r="L1441" s="7">
        <v>0</v>
      </c>
      <c r="M1441" s="9">
        <v>1</v>
      </c>
      <c r="N1441" s="7">
        <v>1</v>
      </c>
      <c r="O1441" s="7">
        <v>3.7</v>
      </c>
      <c r="P1441" s="7">
        <v>3.7</v>
      </c>
      <c r="Q1441" t="s">
        <v>39</v>
      </c>
      <c r="R1441" s="7" t="str">
        <f>TEXT(Table1[[#This Row],[Date]],"mmm yyyy")</f>
        <v>Dec 2025</v>
      </c>
      <c r="S1441" s="9">
        <f>YEAR(Table1[[#This Row],[Date]])</f>
        <v>2025</v>
      </c>
      <c r="T1441" s="9"/>
      <c r="U1441" s="9"/>
    </row>
    <row r="1442" spans="1:21" hidden="1" x14ac:dyDescent="0.3">
      <c r="A1442" t="s">
        <v>2107</v>
      </c>
      <c r="B1442" s="6">
        <v>45920</v>
      </c>
      <c r="C1442" t="s">
        <v>26</v>
      </c>
      <c r="D1442" t="s">
        <v>126</v>
      </c>
      <c r="E1442" t="s">
        <v>37</v>
      </c>
      <c r="F1442" t="s">
        <v>801</v>
      </c>
      <c r="G1442" t="s">
        <v>44</v>
      </c>
      <c r="J1442" s="9">
        <v>0</v>
      </c>
      <c r="K1442" s="7">
        <v>0</v>
      </c>
      <c r="L1442" s="7">
        <v>0</v>
      </c>
      <c r="M1442" s="9">
        <v>1</v>
      </c>
      <c r="N1442" s="7">
        <v>3.3</v>
      </c>
      <c r="O1442" s="7">
        <v>2.1</v>
      </c>
      <c r="P1442" s="7">
        <v>4.5</v>
      </c>
      <c r="Q1442" t="s">
        <v>39</v>
      </c>
      <c r="R1442" s="7" t="str">
        <f>TEXT(Table1[[#This Row],[Date]],"mmm yyyy")</f>
        <v>Sep 2025</v>
      </c>
      <c r="S1442" s="9">
        <f>YEAR(Table1[[#This Row],[Date]])</f>
        <v>2025</v>
      </c>
      <c r="T1442" s="9"/>
      <c r="U1442" s="9"/>
    </row>
    <row r="1443" spans="1:21" x14ac:dyDescent="0.3">
      <c r="A1443" t="s">
        <v>2108</v>
      </c>
      <c r="B1443" s="6">
        <v>46178</v>
      </c>
      <c r="C1443" t="s">
        <v>18</v>
      </c>
      <c r="D1443" t="s">
        <v>117</v>
      </c>
      <c r="E1443" t="s">
        <v>28</v>
      </c>
      <c r="F1443" t="s">
        <v>665</v>
      </c>
      <c r="G1443" t="s">
        <v>30</v>
      </c>
      <c r="H1443" t="s">
        <v>86</v>
      </c>
      <c r="I1443" t="s">
        <v>79</v>
      </c>
      <c r="J1443" s="9">
        <v>1</v>
      </c>
      <c r="K1443" s="7">
        <v>5000</v>
      </c>
      <c r="L1443" s="7">
        <v>0</v>
      </c>
      <c r="M1443" s="9"/>
      <c r="N1443" s="7">
        <v>18.3</v>
      </c>
      <c r="O1443" s="7"/>
      <c r="P1443" s="7"/>
      <c r="Q1443" t="s">
        <v>79</v>
      </c>
      <c r="R1443" s="7" t="str">
        <f>TEXT(Table1[[#This Row],[Date]],"mmm yyyy")</f>
        <v>Jun 2026</v>
      </c>
      <c r="S1443" s="9">
        <f>YEAR(Table1[[#This Row],[Date]])</f>
        <v>2026</v>
      </c>
      <c r="T1443" s="9"/>
      <c r="U1443" s="9"/>
    </row>
    <row r="1444" spans="1:21" hidden="1" x14ac:dyDescent="0.3">
      <c r="A1444" t="s">
        <v>2109</v>
      </c>
      <c r="B1444" s="6">
        <v>46087</v>
      </c>
      <c r="C1444" t="s">
        <v>26</v>
      </c>
      <c r="D1444" t="s">
        <v>72</v>
      </c>
      <c r="E1444" t="s">
        <v>20</v>
      </c>
      <c r="F1444" t="s">
        <v>512</v>
      </c>
      <c r="G1444" t="s">
        <v>44</v>
      </c>
      <c r="J1444" s="9">
        <v>0</v>
      </c>
      <c r="K1444" s="7">
        <v>0</v>
      </c>
      <c r="L1444" s="7">
        <v>0</v>
      </c>
      <c r="M1444" s="9">
        <v>1</v>
      </c>
      <c r="N1444" s="7">
        <v>2.6</v>
      </c>
      <c r="O1444" s="7">
        <v>3.2</v>
      </c>
      <c r="P1444" s="7">
        <v>5</v>
      </c>
      <c r="Q1444" t="s">
        <v>39</v>
      </c>
      <c r="R1444" s="7" t="str">
        <f>TEXT(Table1[[#This Row],[Date]],"mmm yyyy")</f>
        <v>Mar 2026</v>
      </c>
      <c r="S1444" s="9">
        <f>YEAR(Table1[[#This Row],[Date]])</f>
        <v>2026</v>
      </c>
      <c r="T1444" s="9"/>
      <c r="U1444" s="9"/>
    </row>
    <row r="1445" spans="1:21" x14ac:dyDescent="0.3">
      <c r="A1445" t="s">
        <v>2110</v>
      </c>
      <c r="B1445" s="6">
        <v>46049</v>
      </c>
      <c r="C1445" t="s">
        <v>18</v>
      </c>
      <c r="D1445" t="s">
        <v>95</v>
      </c>
      <c r="E1445" t="s">
        <v>20</v>
      </c>
      <c r="F1445" t="s">
        <v>923</v>
      </c>
      <c r="G1445" t="s">
        <v>22</v>
      </c>
      <c r="H1445" t="s">
        <v>54</v>
      </c>
      <c r="I1445" t="s">
        <v>45</v>
      </c>
      <c r="J1445" s="9">
        <v>1</v>
      </c>
      <c r="K1445" s="7">
        <v>25300</v>
      </c>
      <c r="L1445" s="7">
        <v>0</v>
      </c>
      <c r="M1445" s="9"/>
      <c r="N1445" s="7">
        <v>13.7</v>
      </c>
      <c r="O1445" s="7"/>
      <c r="P1445" s="7"/>
      <c r="Q1445" t="s">
        <v>45</v>
      </c>
      <c r="R1445" s="7" t="str">
        <f>TEXT(Table1[[#This Row],[Date]],"mmm yyyy")</f>
        <v>Jan 2026</v>
      </c>
      <c r="S1445" s="9">
        <f>YEAR(Table1[[#This Row],[Date]])</f>
        <v>2026</v>
      </c>
      <c r="T1445" s="9"/>
      <c r="U1445" s="9"/>
    </row>
    <row r="1446" spans="1:21" hidden="1" x14ac:dyDescent="0.3">
      <c r="A1446" t="s">
        <v>2111</v>
      </c>
      <c r="B1446" s="6">
        <v>45965</v>
      </c>
      <c r="C1446" t="s">
        <v>26</v>
      </c>
      <c r="D1446" t="s">
        <v>232</v>
      </c>
      <c r="E1446" t="s">
        <v>28</v>
      </c>
      <c r="F1446" t="s">
        <v>364</v>
      </c>
      <c r="G1446" t="s">
        <v>22</v>
      </c>
      <c r="J1446" s="9">
        <v>0</v>
      </c>
      <c r="K1446" s="7">
        <v>0</v>
      </c>
      <c r="L1446" s="7">
        <v>0</v>
      </c>
      <c r="M1446" s="9">
        <v>1</v>
      </c>
      <c r="N1446" s="7">
        <v>5.5</v>
      </c>
      <c r="O1446" s="7">
        <v>13.8</v>
      </c>
      <c r="P1446" s="7">
        <v>3.5</v>
      </c>
      <c r="Q1446" t="s">
        <v>39</v>
      </c>
      <c r="R1446" s="7" t="str">
        <f>TEXT(Table1[[#This Row],[Date]],"mmm yyyy")</f>
        <v>Nov 2025</v>
      </c>
      <c r="S1446" s="9">
        <f>YEAR(Table1[[#This Row],[Date]])</f>
        <v>2025</v>
      </c>
      <c r="T1446" s="9"/>
      <c r="U1446" s="9"/>
    </row>
    <row r="1447" spans="1:21" x14ac:dyDescent="0.3">
      <c r="A1447" t="s">
        <v>2112</v>
      </c>
      <c r="B1447" s="6">
        <v>46253</v>
      </c>
      <c r="C1447" t="s">
        <v>18</v>
      </c>
      <c r="D1447" t="s">
        <v>47</v>
      </c>
      <c r="E1447" t="s">
        <v>20</v>
      </c>
      <c r="F1447" t="s">
        <v>1683</v>
      </c>
      <c r="G1447" t="s">
        <v>22</v>
      </c>
      <c r="H1447" t="s">
        <v>54</v>
      </c>
      <c r="I1447" t="s">
        <v>55</v>
      </c>
      <c r="J1447" s="9">
        <v>1</v>
      </c>
      <c r="K1447" s="7">
        <v>185100</v>
      </c>
      <c r="L1447" s="7">
        <v>0</v>
      </c>
      <c r="M1447" s="9"/>
      <c r="N1447" s="7">
        <v>17</v>
      </c>
      <c r="O1447" s="7"/>
      <c r="P1447" s="7"/>
      <c r="Q1447" t="s">
        <v>55</v>
      </c>
      <c r="R1447" s="7" t="str">
        <f>TEXT(Table1[[#This Row],[Date]],"mmm yyyy")</f>
        <v>Aug 2026</v>
      </c>
      <c r="S1447" s="9">
        <f>YEAR(Table1[[#This Row],[Date]])</f>
        <v>2026</v>
      </c>
      <c r="T1447" s="9"/>
      <c r="U1447" s="9"/>
    </row>
    <row r="1448" spans="1:21" hidden="1" x14ac:dyDescent="0.3">
      <c r="A1448" t="s">
        <v>2113</v>
      </c>
      <c r="B1448" s="6">
        <v>45908</v>
      </c>
      <c r="C1448" t="s">
        <v>26</v>
      </c>
      <c r="D1448" t="s">
        <v>232</v>
      </c>
      <c r="E1448" t="s">
        <v>37</v>
      </c>
      <c r="F1448" t="s">
        <v>1230</v>
      </c>
      <c r="G1448" t="s">
        <v>44</v>
      </c>
      <c r="J1448" s="9">
        <v>0</v>
      </c>
      <c r="K1448" s="7">
        <v>0</v>
      </c>
      <c r="L1448" s="7">
        <v>0</v>
      </c>
      <c r="M1448" s="9">
        <v>1</v>
      </c>
      <c r="N1448" s="7">
        <v>8.8000000000000007</v>
      </c>
      <c r="O1448" s="7">
        <v>3.8</v>
      </c>
      <c r="P1448" s="7">
        <v>2.8</v>
      </c>
      <c r="Q1448" t="s">
        <v>31</v>
      </c>
      <c r="R1448" s="7" t="str">
        <f>TEXT(Table1[[#This Row],[Date]],"mmm yyyy")</f>
        <v>Sep 2025</v>
      </c>
      <c r="S1448" s="9">
        <f>YEAR(Table1[[#This Row],[Date]])</f>
        <v>2025</v>
      </c>
      <c r="T1448" s="9"/>
      <c r="U1448" s="9"/>
    </row>
    <row r="1449" spans="1:21" hidden="1" x14ac:dyDescent="0.3">
      <c r="A1449" t="s">
        <v>2114</v>
      </c>
      <c r="B1449" s="6">
        <v>46243</v>
      </c>
      <c r="C1449" t="s">
        <v>26</v>
      </c>
      <c r="D1449" t="s">
        <v>232</v>
      </c>
      <c r="E1449" t="s">
        <v>48</v>
      </c>
      <c r="F1449" t="s">
        <v>142</v>
      </c>
      <c r="G1449" t="s">
        <v>44</v>
      </c>
      <c r="J1449" s="9">
        <v>0</v>
      </c>
      <c r="K1449" s="7">
        <v>0</v>
      </c>
      <c r="L1449" s="7">
        <v>0</v>
      </c>
      <c r="M1449" s="9">
        <v>1</v>
      </c>
      <c r="N1449" s="7">
        <v>1.4</v>
      </c>
      <c r="O1449" s="7">
        <v>9.4</v>
      </c>
      <c r="P1449" s="7">
        <v>3.3</v>
      </c>
      <c r="Q1449" t="s">
        <v>39</v>
      </c>
      <c r="R1449" s="7" t="str">
        <f>TEXT(Table1[[#This Row],[Date]],"mmm yyyy")</f>
        <v>Aug 2026</v>
      </c>
      <c r="S1449" s="9">
        <f>YEAR(Table1[[#This Row],[Date]])</f>
        <v>2026</v>
      </c>
      <c r="T1449" s="9"/>
      <c r="U1449" s="9"/>
    </row>
    <row r="1450" spans="1:21" hidden="1" x14ac:dyDescent="0.3">
      <c r="A1450" t="s">
        <v>2115</v>
      </c>
      <c r="B1450" s="6">
        <v>46082</v>
      </c>
      <c r="C1450" t="s">
        <v>26</v>
      </c>
      <c r="D1450" t="s">
        <v>69</v>
      </c>
      <c r="E1450" t="s">
        <v>42</v>
      </c>
      <c r="F1450" t="s">
        <v>481</v>
      </c>
      <c r="G1450" t="s">
        <v>44</v>
      </c>
      <c r="J1450" s="9">
        <v>0</v>
      </c>
      <c r="K1450" s="7">
        <v>0</v>
      </c>
      <c r="L1450" s="7">
        <v>0</v>
      </c>
      <c r="M1450" s="9">
        <v>1</v>
      </c>
      <c r="N1450" s="7">
        <v>0.9</v>
      </c>
      <c r="O1450" s="7">
        <v>3.2</v>
      </c>
      <c r="P1450" s="7">
        <v>5</v>
      </c>
      <c r="Q1450" t="s">
        <v>39</v>
      </c>
      <c r="R1450" s="7" t="str">
        <f>TEXT(Table1[[#This Row],[Date]],"mmm yyyy")</f>
        <v>Mar 2026</v>
      </c>
      <c r="S1450" s="9">
        <f>YEAR(Table1[[#This Row],[Date]])</f>
        <v>2026</v>
      </c>
      <c r="T1450" s="9"/>
      <c r="U1450" s="9"/>
    </row>
    <row r="1451" spans="1:21" hidden="1" x14ac:dyDescent="0.3">
      <c r="A1451" t="s">
        <v>2116</v>
      </c>
      <c r="B1451" s="6">
        <v>46012</v>
      </c>
      <c r="C1451" t="s">
        <v>26</v>
      </c>
      <c r="D1451" t="s">
        <v>72</v>
      </c>
      <c r="E1451" t="s">
        <v>20</v>
      </c>
      <c r="F1451" t="s">
        <v>1108</v>
      </c>
      <c r="G1451" t="s">
        <v>22</v>
      </c>
      <c r="J1451" s="9">
        <v>0</v>
      </c>
      <c r="K1451" s="7">
        <v>0</v>
      </c>
      <c r="L1451" s="7">
        <v>0</v>
      </c>
      <c r="M1451" s="9">
        <v>1</v>
      </c>
      <c r="N1451" s="7">
        <v>11.8</v>
      </c>
      <c r="O1451" s="7">
        <v>6.1</v>
      </c>
      <c r="P1451" s="7">
        <v>4</v>
      </c>
      <c r="Q1451" t="s">
        <v>39</v>
      </c>
      <c r="R1451" s="7" t="str">
        <f>TEXT(Table1[[#This Row],[Date]],"mmm yyyy")</f>
        <v>Dec 2025</v>
      </c>
      <c r="S1451" s="9">
        <f>YEAR(Table1[[#This Row],[Date]])</f>
        <v>2025</v>
      </c>
      <c r="T1451" s="9"/>
      <c r="U1451" s="9"/>
    </row>
    <row r="1452" spans="1:21" x14ac:dyDescent="0.3">
      <c r="A1452" t="s">
        <v>2117</v>
      </c>
      <c r="B1452" s="6">
        <v>46137</v>
      </c>
      <c r="C1452" t="s">
        <v>18</v>
      </c>
      <c r="D1452" t="s">
        <v>41</v>
      </c>
      <c r="E1452" t="s">
        <v>20</v>
      </c>
      <c r="F1452" t="s">
        <v>502</v>
      </c>
      <c r="G1452" t="s">
        <v>22</v>
      </c>
      <c r="H1452" t="s">
        <v>23</v>
      </c>
      <c r="I1452" t="s">
        <v>24</v>
      </c>
      <c r="J1452" s="9">
        <v>1</v>
      </c>
      <c r="K1452" s="7">
        <v>6300</v>
      </c>
      <c r="L1452" s="7">
        <v>6300</v>
      </c>
      <c r="M1452" s="9"/>
      <c r="N1452" s="7">
        <v>3.3</v>
      </c>
      <c r="O1452" s="7"/>
      <c r="P1452" s="7"/>
      <c r="Q1452" t="s">
        <v>24</v>
      </c>
      <c r="R1452" s="7" t="str">
        <f>TEXT(Table1[[#This Row],[Date]],"mmm yyyy")</f>
        <v>Apr 2026</v>
      </c>
      <c r="S1452" s="9">
        <f>YEAR(Table1[[#This Row],[Date]])</f>
        <v>2026</v>
      </c>
      <c r="T1452" s="9"/>
      <c r="U1452" s="9"/>
    </row>
    <row r="1453" spans="1:21" hidden="1" x14ac:dyDescent="0.3">
      <c r="A1453" t="s">
        <v>2118</v>
      </c>
      <c r="B1453" s="6">
        <v>46236</v>
      </c>
      <c r="C1453" t="s">
        <v>26</v>
      </c>
      <c r="D1453" t="s">
        <v>126</v>
      </c>
      <c r="E1453" t="s">
        <v>20</v>
      </c>
      <c r="F1453" t="s">
        <v>2119</v>
      </c>
      <c r="G1453" t="s">
        <v>22</v>
      </c>
      <c r="J1453" s="9">
        <v>0</v>
      </c>
      <c r="K1453" s="7">
        <v>0</v>
      </c>
      <c r="L1453" s="7">
        <v>0</v>
      </c>
      <c r="M1453" s="9">
        <v>1</v>
      </c>
      <c r="N1453" s="7">
        <v>10.7</v>
      </c>
      <c r="O1453" s="7">
        <v>21.7</v>
      </c>
      <c r="P1453" s="7">
        <v>4.4000000000000004</v>
      </c>
      <c r="Q1453" t="s">
        <v>39</v>
      </c>
      <c r="R1453" s="7" t="str">
        <f>TEXT(Table1[[#This Row],[Date]],"mmm yyyy")</f>
        <v>Aug 2026</v>
      </c>
      <c r="S1453" s="9">
        <f>YEAR(Table1[[#This Row],[Date]])</f>
        <v>2026</v>
      </c>
      <c r="T1453" s="9"/>
      <c r="U1453" s="9"/>
    </row>
    <row r="1454" spans="1:21" hidden="1" x14ac:dyDescent="0.3">
      <c r="A1454" t="s">
        <v>2120</v>
      </c>
      <c r="B1454" s="6">
        <v>45975</v>
      </c>
      <c r="C1454" t="s">
        <v>26</v>
      </c>
      <c r="D1454" t="s">
        <v>69</v>
      </c>
      <c r="E1454" t="s">
        <v>48</v>
      </c>
      <c r="F1454" t="s">
        <v>286</v>
      </c>
      <c r="G1454" t="s">
        <v>22</v>
      </c>
      <c r="J1454" s="9">
        <v>0</v>
      </c>
      <c r="K1454" s="7">
        <v>0</v>
      </c>
      <c r="L1454" s="7">
        <v>0</v>
      </c>
      <c r="M1454" s="9">
        <v>1</v>
      </c>
      <c r="N1454" s="7">
        <v>1.8</v>
      </c>
      <c r="O1454" s="7">
        <v>3.8</v>
      </c>
      <c r="P1454" s="7">
        <v>4.4000000000000004</v>
      </c>
      <c r="Q1454" t="s">
        <v>31</v>
      </c>
      <c r="R1454" s="7" t="str">
        <f>TEXT(Table1[[#This Row],[Date]],"mmm yyyy")</f>
        <v>Nov 2025</v>
      </c>
      <c r="S1454" s="9">
        <f>YEAR(Table1[[#This Row],[Date]])</f>
        <v>2025</v>
      </c>
      <c r="T1454" s="9"/>
      <c r="U1454" s="9"/>
    </row>
    <row r="1455" spans="1:21" hidden="1" x14ac:dyDescent="0.3">
      <c r="A1455" t="s">
        <v>2121</v>
      </c>
      <c r="B1455" s="6">
        <v>45958</v>
      </c>
      <c r="C1455" t="s">
        <v>26</v>
      </c>
      <c r="D1455" t="s">
        <v>69</v>
      </c>
      <c r="E1455" t="s">
        <v>20</v>
      </c>
      <c r="F1455" t="s">
        <v>301</v>
      </c>
      <c r="G1455" t="s">
        <v>44</v>
      </c>
      <c r="J1455" s="9">
        <v>0</v>
      </c>
      <c r="K1455" s="7">
        <v>0</v>
      </c>
      <c r="L1455" s="7">
        <v>0</v>
      </c>
      <c r="M1455" s="9">
        <v>1</v>
      </c>
      <c r="N1455" s="7">
        <v>8</v>
      </c>
      <c r="O1455" s="7">
        <v>14.5</v>
      </c>
      <c r="P1455" s="7">
        <v>5</v>
      </c>
      <c r="Q1455" t="s">
        <v>225</v>
      </c>
      <c r="R1455" s="7" t="str">
        <f>TEXT(Table1[[#This Row],[Date]],"mmm yyyy")</f>
        <v>Oct 2025</v>
      </c>
      <c r="S1455" s="9">
        <f>YEAR(Table1[[#This Row],[Date]])</f>
        <v>2025</v>
      </c>
      <c r="T1455" s="9"/>
      <c r="U1455" s="9"/>
    </row>
    <row r="1456" spans="1:21" x14ac:dyDescent="0.3">
      <c r="A1456" t="s">
        <v>2122</v>
      </c>
      <c r="B1456" s="6">
        <v>46177</v>
      </c>
      <c r="C1456" t="s">
        <v>18</v>
      </c>
      <c r="D1456" t="s">
        <v>52</v>
      </c>
      <c r="E1456" t="s">
        <v>37</v>
      </c>
      <c r="F1456" t="s">
        <v>742</v>
      </c>
      <c r="G1456" t="s">
        <v>30</v>
      </c>
      <c r="H1456" t="s">
        <v>78</v>
      </c>
      <c r="I1456" t="s">
        <v>45</v>
      </c>
      <c r="J1456" s="9">
        <v>1</v>
      </c>
      <c r="K1456" s="7">
        <v>20100</v>
      </c>
      <c r="L1456" s="7">
        <v>0</v>
      </c>
      <c r="M1456" s="9"/>
      <c r="N1456" s="7">
        <v>8.8000000000000007</v>
      </c>
      <c r="O1456" s="7"/>
      <c r="P1456" s="7"/>
      <c r="Q1456" t="s">
        <v>45</v>
      </c>
      <c r="R1456" s="7" t="str">
        <f>TEXT(Table1[[#This Row],[Date]],"mmm yyyy")</f>
        <v>Jun 2026</v>
      </c>
      <c r="S1456" s="9">
        <f>YEAR(Table1[[#This Row],[Date]])</f>
        <v>2026</v>
      </c>
      <c r="T1456" s="9"/>
      <c r="U1456" s="9"/>
    </row>
    <row r="1457" spans="1:21" hidden="1" x14ac:dyDescent="0.3">
      <c r="A1457" t="s">
        <v>2123</v>
      </c>
      <c r="B1457" s="6">
        <v>46019</v>
      </c>
      <c r="C1457" t="s">
        <v>26</v>
      </c>
      <c r="D1457" t="s">
        <v>126</v>
      </c>
      <c r="E1457" t="s">
        <v>28</v>
      </c>
      <c r="F1457" t="s">
        <v>191</v>
      </c>
      <c r="G1457" t="s">
        <v>44</v>
      </c>
      <c r="J1457" s="9">
        <v>0</v>
      </c>
      <c r="K1457" s="7">
        <v>0</v>
      </c>
      <c r="L1457" s="7">
        <v>0</v>
      </c>
      <c r="M1457" s="9">
        <v>1</v>
      </c>
      <c r="N1457" s="7">
        <v>11.2</v>
      </c>
      <c r="O1457" s="7">
        <v>5.8</v>
      </c>
      <c r="P1457" s="7">
        <v>4.2</v>
      </c>
      <c r="Q1457" t="s">
        <v>62</v>
      </c>
      <c r="R1457" s="7" t="str">
        <f>TEXT(Table1[[#This Row],[Date]],"mmm yyyy")</f>
        <v>Dec 2025</v>
      </c>
      <c r="S1457" s="9">
        <f>YEAR(Table1[[#This Row],[Date]])</f>
        <v>2025</v>
      </c>
      <c r="T1457" s="9"/>
      <c r="U1457" s="9"/>
    </row>
    <row r="1458" spans="1:21" hidden="1" x14ac:dyDescent="0.3">
      <c r="A1458" t="s">
        <v>2124</v>
      </c>
      <c r="B1458" s="6">
        <v>46163</v>
      </c>
      <c r="C1458" t="s">
        <v>26</v>
      </c>
      <c r="D1458" t="s">
        <v>27</v>
      </c>
      <c r="E1458" t="s">
        <v>20</v>
      </c>
      <c r="F1458" t="s">
        <v>417</v>
      </c>
      <c r="G1458" t="s">
        <v>22</v>
      </c>
      <c r="J1458" s="9">
        <v>0</v>
      </c>
      <c r="K1458" s="7">
        <v>0</v>
      </c>
      <c r="L1458" s="7">
        <v>0</v>
      </c>
      <c r="M1458" s="9">
        <v>1</v>
      </c>
      <c r="N1458" s="7">
        <v>10.5</v>
      </c>
      <c r="O1458" s="7">
        <v>12.4</v>
      </c>
      <c r="P1458" s="7">
        <v>4.7</v>
      </c>
      <c r="Q1458" t="s">
        <v>39</v>
      </c>
      <c r="R1458" s="7" t="str">
        <f>TEXT(Table1[[#This Row],[Date]],"mmm yyyy")</f>
        <v>May 2026</v>
      </c>
      <c r="S1458" s="9">
        <f>YEAR(Table1[[#This Row],[Date]])</f>
        <v>2026</v>
      </c>
      <c r="T1458" s="9"/>
      <c r="U1458" s="9"/>
    </row>
    <row r="1459" spans="1:21" hidden="1" x14ac:dyDescent="0.3">
      <c r="A1459" t="s">
        <v>2125</v>
      </c>
      <c r="B1459" s="6">
        <v>46265</v>
      </c>
      <c r="C1459" t="s">
        <v>26</v>
      </c>
      <c r="D1459" t="s">
        <v>69</v>
      </c>
      <c r="E1459" t="s">
        <v>28</v>
      </c>
      <c r="F1459" t="s">
        <v>1890</v>
      </c>
      <c r="G1459" t="s">
        <v>22</v>
      </c>
      <c r="J1459" s="9">
        <v>0</v>
      </c>
      <c r="K1459" s="7">
        <v>0</v>
      </c>
      <c r="L1459" s="7">
        <v>0</v>
      </c>
      <c r="M1459" s="9">
        <v>1</v>
      </c>
      <c r="N1459" s="7">
        <v>6</v>
      </c>
      <c r="O1459" s="7">
        <v>24.1</v>
      </c>
      <c r="P1459" s="7">
        <v>2.6</v>
      </c>
      <c r="Q1459" t="s">
        <v>39</v>
      </c>
      <c r="R1459" s="7" t="str">
        <f>TEXT(Table1[[#This Row],[Date]],"mmm yyyy")</f>
        <v>Aug 2026</v>
      </c>
      <c r="S1459" s="9">
        <f>YEAR(Table1[[#This Row],[Date]])</f>
        <v>2026</v>
      </c>
      <c r="T1459" s="9"/>
      <c r="U1459" s="9"/>
    </row>
    <row r="1460" spans="1:21" x14ac:dyDescent="0.3">
      <c r="A1460" t="s">
        <v>2126</v>
      </c>
      <c r="B1460" s="6">
        <v>46104</v>
      </c>
      <c r="C1460" t="s">
        <v>18</v>
      </c>
      <c r="D1460" t="s">
        <v>41</v>
      </c>
      <c r="E1460" t="s">
        <v>20</v>
      </c>
      <c r="F1460" t="s">
        <v>256</v>
      </c>
      <c r="G1460" t="s">
        <v>30</v>
      </c>
      <c r="H1460" t="s">
        <v>86</v>
      </c>
      <c r="I1460" t="s">
        <v>45</v>
      </c>
      <c r="J1460" s="9">
        <v>1</v>
      </c>
      <c r="K1460" s="7">
        <v>17100</v>
      </c>
      <c r="L1460" s="7">
        <v>0</v>
      </c>
      <c r="M1460" s="9"/>
      <c r="N1460" s="7">
        <v>21.4</v>
      </c>
      <c r="O1460" s="7"/>
      <c r="P1460" s="7"/>
      <c r="Q1460" t="s">
        <v>45</v>
      </c>
      <c r="R1460" s="7" t="str">
        <f>TEXT(Table1[[#This Row],[Date]],"mmm yyyy")</f>
        <v>Mar 2026</v>
      </c>
      <c r="S1460" s="9">
        <f>YEAR(Table1[[#This Row],[Date]])</f>
        <v>2026</v>
      </c>
      <c r="T1460" s="9"/>
      <c r="U1460" s="9"/>
    </row>
    <row r="1461" spans="1:21" hidden="1" x14ac:dyDescent="0.3">
      <c r="A1461" t="s">
        <v>2127</v>
      </c>
      <c r="B1461" s="6">
        <v>46154</v>
      </c>
      <c r="C1461" t="s">
        <v>26</v>
      </c>
      <c r="D1461" t="s">
        <v>232</v>
      </c>
      <c r="E1461" t="s">
        <v>42</v>
      </c>
      <c r="F1461" t="s">
        <v>176</v>
      </c>
      <c r="G1461" t="s">
        <v>30</v>
      </c>
      <c r="J1461" s="9">
        <v>0</v>
      </c>
      <c r="K1461" s="7">
        <v>0</v>
      </c>
      <c r="L1461" s="7">
        <v>0</v>
      </c>
      <c r="M1461" s="9">
        <v>1</v>
      </c>
      <c r="N1461" s="7">
        <v>3.2</v>
      </c>
      <c r="O1461" s="7">
        <v>2.7</v>
      </c>
      <c r="P1461" s="7">
        <v>3.6</v>
      </c>
      <c r="Q1461" t="s">
        <v>225</v>
      </c>
      <c r="R1461" s="7" t="str">
        <f>TEXT(Table1[[#This Row],[Date]],"mmm yyyy")</f>
        <v>May 2026</v>
      </c>
      <c r="S1461" s="9">
        <f>YEAR(Table1[[#This Row],[Date]])</f>
        <v>2026</v>
      </c>
      <c r="T1461" s="9"/>
      <c r="U1461" s="9"/>
    </row>
    <row r="1462" spans="1:21" x14ac:dyDescent="0.3">
      <c r="A1462" t="s">
        <v>2128</v>
      </c>
      <c r="B1462" s="6">
        <v>46211</v>
      </c>
      <c r="C1462" t="s">
        <v>18</v>
      </c>
      <c r="D1462" t="s">
        <v>19</v>
      </c>
      <c r="E1462" t="s">
        <v>42</v>
      </c>
      <c r="F1462" t="s">
        <v>2129</v>
      </c>
      <c r="G1462" t="s">
        <v>22</v>
      </c>
      <c r="H1462" t="s">
        <v>78</v>
      </c>
      <c r="I1462" t="s">
        <v>67</v>
      </c>
      <c r="J1462" s="9">
        <v>1</v>
      </c>
      <c r="K1462" s="7">
        <v>46100</v>
      </c>
      <c r="L1462" s="7">
        <v>0</v>
      </c>
      <c r="M1462" s="9"/>
      <c r="N1462" s="7">
        <v>13.4</v>
      </c>
      <c r="O1462" s="7"/>
      <c r="P1462" s="7"/>
      <c r="Q1462" t="s">
        <v>67</v>
      </c>
      <c r="R1462" s="7" t="str">
        <f>TEXT(Table1[[#This Row],[Date]],"mmm yyyy")</f>
        <v>Jul 2026</v>
      </c>
      <c r="S1462" s="9">
        <f>YEAR(Table1[[#This Row],[Date]])</f>
        <v>2026</v>
      </c>
      <c r="T1462" s="9"/>
      <c r="U1462" s="9"/>
    </row>
    <row r="1463" spans="1:21" hidden="1" x14ac:dyDescent="0.3">
      <c r="A1463" t="s">
        <v>2130</v>
      </c>
      <c r="B1463" s="6">
        <v>45961</v>
      </c>
      <c r="C1463" t="s">
        <v>26</v>
      </c>
      <c r="D1463" t="s">
        <v>72</v>
      </c>
      <c r="E1463" t="s">
        <v>42</v>
      </c>
      <c r="F1463" t="s">
        <v>2131</v>
      </c>
      <c r="G1463" t="s">
        <v>30</v>
      </c>
      <c r="J1463" s="9">
        <v>0</v>
      </c>
      <c r="K1463" s="7">
        <v>0</v>
      </c>
      <c r="L1463" s="7">
        <v>0</v>
      </c>
      <c r="M1463" s="9">
        <v>1</v>
      </c>
      <c r="N1463" s="7">
        <v>6.3</v>
      </c>
      <c r="O1463" s="7">
        <v>17</v>
      </c>
      <c r="P1463" s="7">
        <v>4.4000000000000004</v>
      </c>
      <c r="Q1463" t="s">
        <v>39</v>
      </c>
      <c r="R1463" s="7" t="str">
        <f>TEXT(Table1[[#This Row],[Date]],"mmm yyyy")</f>
        <v>Oct 2025</v>
      </c>
      <c r="S1463" s="9">
        <f>YEAR(Table1[[#This Row],[Date]])</f>
        <v>2025</v>
      </c>
      <c r="T1463" s="9"/>
      <c r="U1463" s="9"/>
    </row>
    <row r="1464" spans="1:21" x14ac:dyDescent="0.3">
      <c r="A1464" t="s">
        <v>2132</v>
      </c>
      <c r="B1464" s="6">
        <v>46130</v>
      </c>
      <c r="C1464" t="s">
        <v>18</v>
      </c>
      <c r="D1464" t="s">
        <v>64</v>
      </c>
      <c r="E1464" t="s">
        <v>20</v>
      </c>
      <c r="F1464" t="s">
        <v>1701</v>
      </c>
      <c r="G1464" t="s">
        <v>22</v>
      </c>
      <c r="H1464" t="s">
        <v>78</v>
      </c>
      <c r="I1464" t="s">
        <v>24</v>
      </c>
      <c r="J1464" s="9">
        <v>1</v>
      </c>
      <c r="K1464" s="7">
        <v>187300</v>
      </c>
      <c r="L1464" s="7">
        <v>187300</v>
      </c>
      <c r="M1464" s="9"/>
      <c r="N1464" s="7">
        <v>14.2</v>
      </c>
      <c r="O1464" s="7"/>
      <c r="P1464" s="7"/>
      <c r="Q1464" t="s">
        <v>24</v>
      </c>
      <c r="R1464" s="7" t="str">
        <f>TEXT(Table1[[#This Row],[Date]],"mmm yyyy")</f>
        <v>Apr 2026</v>
      </c>
      <c r="S1464" s="9">
        <f>YEAR(Table1[[#This Row],[Date]])</f>
        <v>2026</v>
      </c>
      <c r="T1464" s="9"/>
      <c r="U1464" s="9"/>
    </row>
    <row r="1465" spans="1:21" hidden="1" x14ac:dyDescent="0.3">
      <c r="A1465" t="s">
        <v>2133</v>
      </c>
      <c r="B1465" s="6">
        <v>46166</v>
      </c>
      <c r="C1465" t="s">
        <v>26</v>
      </c>
      <c r="D1465" t="s">
        <v>72</v>
      </c>
      <c r="E1465" t="s">
        <v>28</v>
      </c>
      <c r="F1465" t="s">
        <v>1441</v>
      </c>
      <c r="G1465" t="s">
        <v>44</v>
      </c>
      <c r="J1465" s="9">
        <v>0</v>
      </c>
      <c r="K1465" s="7">
        <v>0</v>
      </c>
      <c r="L1465" s="7">
        <v>0</v>
      </c>
      <c r="M1465" s="9">
        <v>1</v>
      </c>
      <c r="N1465" s="7">
        <v>10.7</v>
      </c>
      <c r="O1465" s="7">
        <v>15.5</v>
      </c>
      <c r="P1465" s="7">
        <v>3.9</v>
      </c>
      <c r="Q1465" t="s">
        <v>31</v>
      </c>
      <c r="R1465" s="7" t="str">
        <f>TEXT(Table1[[#This Row],[Date]],"mmm yyyy")</f>
        <v>May 2026</v>
      </c>
      <c r="S1465" s="9">
        <f>YEAR(Table1[[#This Row],[Date]])</f>
        <v>2026</v>
      </c>
      <c r="T1465" s="9"/>
      <c r="U1465" s="9"/>
    </row>
    <row r="1466" spans="1:21" hidden="1" x14ac:dyDescent="0.3">
      <c r="A1466" t="s">
        <v>2134</v>
      </c>
      <c r="B1466" s="6">
        <v>46099</v>
      </c>
      <c r="C1466" t="s">
        <v>26</v>
      </c>
      <c r="D1466" t="s">
        <v>69</v>
      </c>
      <c r="E1466" t="s">
        <v>20</v>
      </c>
      <c r="F1466" t="s">
        <v>984</v>
      </c>
      <c r="G1466" t="s">
        <v>22</v>
      </c>
      <c r="J1466" s="9">
        <v>0</v>
      </c>
      <c r="K1466" s="7">
        <v>0</v>
      </c>
      <c r="L1466" s="7">
        <v>0</v>
      </c>
      <c r="M1466" s="9">
        <v>1</v>
      </c>
      <c r="N1466" s="7">
        <v>6.2</v>
      </c>
      <c r="O1466" s="7">
        <v>6.6</v>
      </c>
      <c r="P1466" s="7">
        <v>4.8</v>
      </c>
      <c r="Q1466" t="s">
        <v>39</v>
      </c>
      <c r="R1466" s="7" t="str">
        <f>TEXT(Table1[[#This Row],[Date]],"mmm yyyy")</f>
        <v>Mar 2026</v>
      </c>
      <c r="S1466" s="9">
        <f>YEAR(Table1[[#This Row],[Date]])</f>
        <v>2026</v>
      </c>
      <c r="T1466" s="9"/>
      <c r="U1466" s="9"/>
    </row>
    <row r="1467" spans="1:21" x14ac:dyDescent="0.3">
      <c r="A1467" t="s">
        <v>2135</v>
      </c>
      <c r="B1467" s="6">
        <v>46104</v>
      </c>
      <c r="C1467" t="s">
        <v>18</v>
      </c>
      <c r="D1467" t="s">
        <v>19</v>
      </c>
      <c r="E1467" t="s">
        <v>28</v>
      </c>
      <c r="F1467" t="s">
        <v>2136</v>
      </c>
      <c r="G1467" t="s">
        <v>22</v>
      </c>
      <c r="H1467" t="s">
        <v>66</v>
      </c>
      <c r="I1467" t="s">
        <v>55</v>
      </c>
      <c r="J1467" s="9">
        <v>1</v>
      </c>
      <c r="K1467" s="7">
        <v>55700</v>
      </c>
      <c r="L1467" s="7">
        <v>0</v>
      </c>
      <c r="M1467" s="9"/>
      <c r="N1467" s="7">
        <v>11.6</v>
      </c>
      <c r="O1467" s="7"/>
      <c r="P1467" s="7"/>
      <c r="Q1467" t="s">
        <v>55</v>
      </c>
      <c r="R1467" s="7" t="str">
        <f>TEXT(Table1[[#This Row],[Date]],"mmm yyyy")</f>
        <v>Mar 2026</v>
      </c>
      <c r="S1467" s="9">
        <f>YEAR(Table1[[#This Row],[Date]])</f>
        <v>2026</v>
      </c>
      <c r="T1467" s="9"/>
      <c r="U1467" s="9"/>
    </row>
    <row r="1468" spans="1:21" hidden="1" x14ac:dyDescent="0.3">
      <c r="A1468" t="s">
        <v>2137</v>
      </c>
      <c r="B1468" s="6">
        <v>45949</v>
      </c>
      <c r="C1468" t="s">
        <v>26</v>
      </c>
      <c r="D1468" t="s">
        <v>69</v>
      </c>
      <c r="E1468" t="s">
        <v>37</v>
      </c>
      <c r="F1468" t="s">
        <v>266</v>
      </c>
      <c r="G1468" t="s">
        <v>50</v>
      </c>
      <c r="J1468" s="9">
        <v>0</v>
      </c>
      <c r="K1468" s="7">
        <v>0</v>
      </c>
      <c r="L1468" s="7">
        <v>0</v>
      </c>
      <c r="M1468" s="9">
        <v>1</v>
      </c>
      <c r="N1468" s="7">
        <v>0.8</v>
      </c>
      <c r="O1468" s="7">
        <v>6.1</v>
      </c>
      <c r="P1468" s="7">
        <v>3.9</v>
      </c>
      <c r="Q1468" t="s">
        <v>62</v>
      </c>
      <c r="R1468" s="7" t="str">
        <f>TEXT(Table1[[#This Row],[Date]],"mmm yyyy")</f>
        <v>Oct 2025</v>
      </c>
      <c r="S1468" s="9">
        <f>YEAR(Table1[[#This Row],[Date]])</f>
        <v>2025</v>
      </c>
      <c r="T1468" s="9"/>
      <c r="U1468" s="9"/>
    </row>
    <row r="1469" spans="1:21" x14ac:dyDescent="0.3">
      <c r="A1469" t="s">
        <v>2138</v>
      </c>
      <c r="B1469" s="6">
        <v>46050</v>
      </c>
      <c r="C1469" t="s">
        <v>18</v>
      </c>
      <c r="D1469" t="s">
        <v>41</v>
      </c>
      <c r="E1469" t="s">
        <v>28</v>
      </c>
      <c r="F1469" t="s">
        <v>594</v>
      </c>
      <c r="G1469" t="s">
        <v>30</v>
      </c>
      <c r="H1469" t="s">
        <v>54</v>
      </c>
      <c r="I1469" t="s">
        <v>67</v>
      </c>
      <c r="J1469" s="9">
        <v>1</v>
      </c>
      <c r="K1469" s="7">
        <v>35100</v>
      </c>
      <c r="L1469" s="7">
        <v>0</v>
      </c>
      <c r="M1469" s="9"/>
      <c r="N1469" s="7">
        <v>18</v>
      </c>
      <c r="O1469" s="7"/>
      <c r="P1469" s="7"/>
      <c r="Q1469" t="s">
        <v>67</v>
      </c>
      <c r="R1469" s="7" t="str">
        <f>TEXT(Table1[[#This Row],[Date]],"mmm yyyy")</f>
        <v>Jan 2026</v>
      </c>
      <c r="S1469" s="9">
        <f>YEAR(Table1[[#This Row],[Date]])</f>
        <v>2026</v>
      </c>
      <c r="T1469" s="9"/>
      <c r="U1469" s="9"/>
    </row>
    <row r="1470" spans="1:21" hidden="1" x14ac:dyDescent="0.3">
      <c r="A1470" t="s">
        <v>2139</v>
      </c>
      <c r="B1470" s="6">
        <v>46197</v>
      </c>
      <c r="C1470" t="s">
        <v>26</v>
      </c>
      <c r="D1470" t="s">
        <v>69</v>
      </c>
      <c r="E1470" t="s">
        <v>20</v>
      </c>
      <c r="F1470" t="s">
        <v>2136</v>
      </c>
      <c r="G1470" t="s">
        <v>22</v>
      </c>
      <c r="J1470" s="9">
        <v>0</v>
      </c>
      <c r="K1470" s="7">
        <v>0</v>
      </c>
      <c r="L1470" s="7">
        <v>0</v>
      </c>
      <c r="M1470" s="9">
        <v>1</v>
      </c>
      <c r="N1470" s="7">
        <v>1.8</v>
      </c>
      <c r="O1470" s="7">
        <v>10.1</v>
      </c>
      <c r="P1470" s="7">
        <v>5</v>
      </c>
      <c r="Q1470" t="s">
        <v>62</v>
      </c>
      <c r="R1470" s="7" t="str">
        <f>TEXT(Table1[[#This Row],[Date]],"mmm yyyy")</f>
        <v>Jun 2026</v>
      </c>
      <c r="S1470" s="9">
        <f>YEAR(Table1[[#This Row],[Date]])</f>
        <v>2026</v>
      </c>
      <c r="T1470" s="9"/>
      <c r="U1470" s="9"/>
    </row>
    <row r="1471" spans="1:21" hidden="1" x14ac:dyDescent="0.3">
      <c r="A1471" t="s">
        <v>2140</v>
      </c>
      <c r="B1471" s="6">
        <v>46235</v>
      </c>
      <c r="C1471" t="s">
        <v>26</v>
      </c>
      <c r="D1471" t="s">
        <v>114</v>
      </c>
      <c r="E1471" t="s">
        <v>28</v>
      </c>
      <c r="F1471" t="s">
        <v>1273</v>
      </c>
      <c r="G1471" t="s">
        <v>22</v>
      </c>
      <c r="J1471" s="9">
        <v>0</v>
      </c>
      <c r="K1471" s="7">
        <v>0</v>
      </c>
      <c r="L1471" s="7">
        <v>0</v>
      </c>
      <c r="M1471" s="9">
        <v>1</v>
      </c>
      <c r="N1471" s="7">
        <v>9.1999999999999993</v>
      </c>
      <c r="O1471" s="7">
        <v>10.8</v>
      </c>
      <c r="P1471" s="7">
        <v>4.5999999999999996</v>
      </c>
      <c r="Q1471" t="s">
        <v>39</v>
      </c>
      <c r="R1471" s="7" t="str">
        <f>TEXT(Table1[[#This Row],[Date]],"mmm yyyy")</f>
        <v>Aug 2026</v>
      </c>
      <c r="S1471" s="9">
        <f>YEAR(Table1[[#This Row],[Date]])</f>
        <v>2026</v>
      </c>
      <c r="T1471" s="9"/>
      <c r="U1471" s="9"/>
    </row>
    <row r="1472" spans="1:21" hidden="1" x14ac:dyDescent="0.3">
      <c r="A1472" t="s">
        <v>2141</v>
      </c>
      <c r="B1472" s="6">
        <v>45950</v>
      </c>
      <c r="C1472" t="s">
        <v>26</v>
      </c>
      <c r="D1472" t="s">
        <v>69</v>
      </c>
      <c r="E1472" t="s">
        <v>37</v>
      </c>
      <c r="F1472" t="s">
        <v>1332</v>
      </c>
      <c r="G1472" t="s">
        <v>30</v>
      </c>
      <c r="J1472" s="9">
        <v>0</v>
      </c>
      <c r="K1472" s="7">
        <v>0</v>
      </c>
      <c r="L1472" s="7">
        <v>0</v>
      </c>
      <c r="M1472" s="9">
        <v>1</v>
      </c>
      <c r="N1472" s="7">
        <v>1.1000000000000001</v>
      </c>
      <c r="O1472" s="7">
        <v>3.1</v>
      </c>
      <c r="P1472" s="7">
        <v>4</v>
      </c>
      <c r="Q1472" t="s">
        <v>225</v>
      </c>
      <c r="R1472" s="7" t="str">
        <f>TEXT(Table1[[#This Row],[Date]],"mmm yyyy")</f>
        <v>Oct 2025</v>
      </c>
      <c r="S1472" s="9">
        <f>YEAR(Table1[[#This Row],[Date]])</f>
        <v>2025</v>
      </c>
      <c r="T1472" s="9"/>
      <c r="U1472" s="9"/>
    </row>
    <row r="1473" spans="1:21" hidden="1" x14ac:dyDescent="0.3">
      <c r="A1473" t="s">
        <v>2142</v>
      </c>
      <c r="B1473" s="6">
        <v>46199</v>
      </c>
      <c r="C1473" t="s">
        <v>26</v>
      </c>
      <c r="D1473" t="s">
        <v>72</v>
      </c>
      <c r="E1473" t="s">
        <v>20</v>
      </c>
      <c r="F1473" t="s">
        <v>270</v>
      </c>
      <c r="G1473" t="s">
        <v>22</v>
      </c>
      <c r="J1473" s="9">
        <v>0</v>
      </c>
      <c r="K1473" s="7">
        <v>0</v>
      </c>
      <c r="L1473" s="7">
        <v>0</v>
      </c>
      <c r="M1473" s="9">
        <v>1</v>
      </c>
      <c r="N1473" s="7">
        <v>2.8</v>
      </c>
      <c r="O1473" s="7">
        <v>3.6</v>
      </c>
      <c r="P1473" s="7">
        <v>5</v>
      </c>
      <c r="Q1473" t="s">
        <v>39</v>
      </c>
      <c r="R1473" s="7" t="str">
        <f>TEXT(Table1[[#This Row],[Date]],"mmm yyyy")</f>
        <v>Jun 2026</v>
      </c>
      <c r="S1473" s="9">
        <f>YEAR(Table1[[#This Row],[Date]])</f>
        <v>2026</v>
      </c>
      <c r="T1473" s="9"/>
      <c r="U1473" s="9"/>
    </row>
    <row r="1474" spans="1:21" hidden="1" x14ac:dyDescent="0.3">
      <c r="A1474" t="s">
        <v>2143</v>
      </c>
      <c r="B1474" s="6">
        <v>46167</v>
      </c>
      <c r="C1474" t="s">
        <v>26</v>
      </c>
      <c r="D1474" t="s">
        <v>27</v>
      </c>
      <c r="E1474" t="s">
        <v>37</v>
      </c>
      <c r="F1474" t="s">
        <v>1599</v>
      </c>
      <c r="G1474" t="s">
        <v>44</v>
      </c>
      <c r="J1474" s="9">
        <v>0</v>
      </c>
      <c r="K1474" s="7">
        <v>0</v>
      </c>
      <c r="L1474" s="7">
        <v>0</v>
      </c>
      <c r="M1474" s="9">
        <v>1</v>
      </c>
      <c r="N1474" s="7">
        <v>0.5</v>
      </c>
      <c r="O1474" s="7">
        <v>5.5</v>
      </c>
      <c r="P1474" s="7">
        <v>5</v>
      </c>
      <c r="Q1474" t="s">
        <v>31</v>
      </c>
      <c r="R1474" s="7" t="str">
        <f>TEXT(Table1[[#This Row],[Date]],"mmm yyyy")</f>
        <v>May 2026</v>
      </c>
      <c r="S1474" s="9">
        <f>YEAR(Table1[[#This Row],[Date]])</f>
        <v>2026</v>
      </c>
      <c r="T1474" s="9"/>
      <c r="U1474" s="9"/>
    </row>
    <row r="1475" spans="1:21" x14ac:dyDescent="0.3">
      <c r="A1475" t="s">
        <v>2144</v>
      </c>
      <c r="B1475" s="6">
        <v>46057</v>
      </c>
      <c r="C1475" t="s">
        <v>18</v>
      </c>
      <c r="D1475" t="s">
        <v>19</v>
      </c>
      <c r="E1475" t="s">
        <v>48</v>
      </c>
      <c r="F1475" t="s">
        <v>364</v>
      </c>
      <c r="G1475" t="s">
        <v>44</v>
      </c>
      <c r="H1475" t="s">
        <v>23</v>
      </c>
      <c r="I1475" t="s">
        <v>45</v>
      </c>
      <c r="J1475" s="9">
        <v>1</v>
      </c>
      <c r="K1475" s="7">
        <v>45800</v>
      </c>
      <c r="L1475" s="7">
        <v>0</v>
      </c>
      <c r="M1475" s="9"/>
      <c r="N1475" s="7">
        <v>16.100000000000001</v>
      </c>
      <c r="O1475" s="7"/>
      <c r="P1475" s="7"/>
      <c r="Q1475" t="s">
        <v>45</v>
      </c>
      <c r="R1475" s="7" t="str">
        <f>TEXT(Table1[[#This Row],[Date]],"mmm yyyy")</f>
        <v>Feb 2026</v>
      </c>
      <c r="S1475" s="9">
        <f>YEAR(Table1[[#This Row],[Date]])</f>
        <v>2026</v>
      </c>
      <c r="T1475" s="9"/>
      <c r="U1475" s="9"/>
    </row>
    <row r="1476" spans="1:21" x14ac:dyDescent="0.3">
      <c r="A1476" t="s">
        <v>2145</v>
      </c>
      <c r="B1476" s="6">
        <v>46264</v>
      </c>
      <c r="C1476" t="s">
        <v>18</v>
      </c>
      <c r="D1476" t="s">
        <v>41</v>
      </c>
      <c r="E1476" t="s">
        <v>20</v>
      </c>
      <c r="F1476" t="s">
        <v>2146</v>
      </c>
      <c r="G1476" t="s">
        <v>50</v>
      </c>
      <c r="H1476" t="s">
        <v>78</v>
      </c>
      <c r="I1476" t="s">
        <v>67</v>
      </c>
      <c r="J1476" s="9">
        <v>1</v>
      </c>
      <c r="K1476" s="7">
        <v>126800</v>
      </c>
      <c r="L1476" s="7">
        <v>0</v>
      </c>
      <c r="M1476" s="9"/>
      <c r="N1476" s="7">
        <v>23.7</v>
      </c>
      <c r="O1476" s="7"/>
      <c r="P1476" s="7"/>
      <c r="Q1476" t="s">
        <v>67</v>
      </c>
      <c r="R1476" s="7" t="str">
        <f>TEXT(Table1[[#This Row],[Date]],"mmm yyyy")</f>
        <v>Aug 2026</v>
      </c>
      <c r="S1476" s="9">
        <f>YEAR(Table1[[#This Row],[Date]])</f>
        <v>2026</v>
      </c>
      <c r="T1476" s="9"/>
      <c r="U1476" s="9"/>
    </row>
    <row r="1477" spans="1:21" hidden="1" x14ac:dyDescent="0.3">
      <c r="A1477" t="s">
        <v>2147</v>
      </c>
      <c r="B1477" s="6">
        <v>46002</v>
      </c>
      <c r="C1477" t="s">
        <v>26</v>
      </c>
      <c r="D1477" t="s">
        <v>33</v>
      </c>
      <c r="E1477" t="s">
        <v>48</v>
      </c>
      <c r="F1477" t="s">
        <v>681</v>
      </c>
      <c r="G1477" t="s">
        <v>22</v>
      </c>
      <c r="J1477" s="9">
        <v>0</v>
      </c>
      <c r="K1477" s="7">
        <v>0</v>
      </c>
      <c r="L1477" s="7">
        <v>0</v>
      </c>
      <c r="M1477" s="9">
        <v>1</v>
      </c>
      <c r="N1477" s="7">
        <v>1.8</v>
      </c>
      <c r="O1477" s="7">
        <v>6</v>
      </c>
      <c r="P1477" s="7">
        <v>3.1</v>
      </c>
      <c r="Q1477" t="s">
        <v>39</v>
      </c>
      <c r="R1477" s="7" t="str">
        <f>TEXT(Table1[[#This Row],[Date]],"mmm yyyy")</f>
        <v>Dec 2025</v>
      </c>
      <c r="S1477" s="9">
        <f>YEAR(Table1[[#This Row],[Date]])</f>
        <v>2025</v>
      </c>
      <c r="T1477" s="9"/>
      <c r="U1477" s="9"/>
    </row>
    <row r="1478" spans="1:21" hidden="1" x14ac:dyDescent="0.3">
      <c r="A1478" t="s">
        <v>2148</v>
      </c>
      <c r="B1478" s="6">
        <v>46235</v>
      </c>
      <c r="C1478" t="s">
        <v>26</v>
      </c>
      <c r="D1478" t="s">
        <v>126</v>
      </c>
      <c r="E1478" t="s">
        <v>28</v>
      </c>
      <c r="F1478" t="s">
        <v>205</v>
      </c>
      <c r="G1478" t="s">
        <v>22</v>
      </c>
      <c r="J1478" s="9">
        <v>0</v>
      </c>
      <c r="K1478" s="7">
        <v>0</v>
      </c>
      <c r="L1478" s="7">
        <v>0</v>
      </c>
      <c r="M1478" s="9">
        <v>1</v>
      </c>
      <c r="N1478" s="7">
        <v>0.8</v>
      </c>
      <c r="O1478" s="7">
        <v>12.4</v>
      </c>
      <c r="P1478" s="7">
        <v>3.6</v>
      </c>
      <c r="Q1478" t="s">
        <v>62</v>
      </c>
      <c r="R1478" s="7" t="str">
        <f>TEXT(Table1[[#This Row],[Date]],"mmm yyyy")</f>
        <v>Aug 2026</v>
      </c>
      <c r="S1478" s="9">
        <f>YEAR(Table1[[#This Row],[Date]])</f>
        <v>2026</v>
      </c>
      <c r="T1478" s="9"/>
      <c r="U1478" s="9"/>
    </row>
    <row r="1479" spans="1:21" hidden="1" x14ac:dyDescent="0.3">
      <c r="A1479" t="s">
        <v>2149</v>
      </c>
      <c r="B1479" s="6">
        <v>46104</v>
      </c>
      <c r="C1479" t="s">
        <v>26</v>
      </c>
      <c r="D1479" t="s">
        <v>69</v>
      </c>
      <c r="E1479" t="s">
        <v>28</v>
      </c>
      <c r="F1479" t="s">
        <v>463</v>
      </c>
      <c r="G1479" t="s">
        <v>50</v>
      </c>
      <c r="J1479" s="9">
        <v>0</v>
      </c>
      <c r="K1479" s="7">
        <v>0</v>
      </c>
      <c r="L1479" s="7">
        <v>0</v>
      </c>
      <c r="M1479" s="9">
        <v>1</v>
      </c>
      <c r="N1479" s="7">
        <v>9.5</v>
      </c>
      <c r="O1479" s="7">
        <v>9.6</v>
      </c>
      <c r="P1479" s="7">
        <v>4.8</v>
      </c>
      <c r="Q1479" t="s">
        <v>39</v>
      </c>
      <c r="R1479" s="7" t="str">
        <f>TEXT(Table1[[#This Row],[Date]],"mmm yyyy")</f>
        <v>Mar 2026</v>
      </c>
      <c r="S1479" s="9">
        <f>YEAR(Table1[[#This Row],[Date]])</f>
        <v>2026</v>
      </c>
      <c r="T1479" s="9"/>
      <c r="U1479" s="9"/>
    </row>
    <row r="1480" spans="1:21" hidden="1" x14ac:dyDescent="0.3">
      <c r="A1480" t="s">
        <v>2150</v>
      </c>
      <c r="B1480" s="6">
        <v>46015</v>
      </c>
      <c r="C1480" t="s">
        <v>26</v>
      </c>
      <c r="D1480" t="s">
        <v>27</v>
      </c>
      <c r="E1480" t="s">
        <v>42</v>
      </c>
      <c r="F1480" t="s">
        <v>235</v>
      </c>
      <c r="G1480" t="s">
        <v>30</v>
      </c>
      <c r="J1480" s="9">
        <v>0</v>
      </c>
      <c r="K1480" s="7">
        <v>0</v>
      </c>
      <c r="L1480" s="7">
        <v>0</v>
      </c>
      <c r="M1480" s="9">
        <v>1</v>
      </c>
      <c r="N1480" s="7">
        <v>11.4</v>
      </c>
      <c r="O1480" s="7">
        <v>5.6</v>
      </c>
      <c r="P1480" s="7">
        <v>4.4000000000000004</v>
      </c>
      <c r="Q1480" t="s">
        <v>39</v>
      </c>
      <c r="R1480" s="7" t="str">
        <f>TEXT(Table1[[#This Row],[Date]],"mmm yyyy")</f>
        <v>Dec 2025</v>
      </c>
      <c r="S1480" s="9">
        <f>YEAR(Table1[[#This Row],[Date]])</f>
        <v>2025</v>
      </c>
      <c r="T1480" s="9"/>
      <c r="U1480" s="9"/>
    </row>
    <row r="1481" spans="1:21" x14ac:dyDescent="0.3">
      <c r="A1481" t="s">
        <v>2151</v>
      </c>
      <c r="B1481" s="6">
        <v>45966</v>
      </c>
      <c r="C1481" t="s">
        <v>18</v>
      </c>
      <c r="D1481" t="s">
        <v>95</v>
      </c>
      <c r="E1481" t="s">
        <v>28</v>
      </c>
      <c r="F1481" t="s">
        <v>570</v>
      </c>
      <c r="G1481" t="s">
        <v>22</v>
      </c>
      <c r="H1481" t="s">
        <v>78</v>
      </c>
      <c r="I1481" t="s">
        <v>24</v>
      </c>
      <c r="J1481" s="9">
        <v>1</v>
      </c>
      <c r="K1481" s="7">
        <v>7600</v>
      </c>
      <c r="L1481" s="7">
        <v>7600</v>
      </c>
      <c r="M1481" s="9"/>
      <c r="N1481" s="7">
        <v>8.5</v>
      </c>
      <c r="O1481" s="7"/>
      <c r="P1481" s="7"/>
      <c r="Q1481" t="s">
        <v>24</v>
      </c>
      <c r="R1481" s="7" t="str">
        <f>TEXT(Table1[[#This Row],[Date]],"mmm yyyy")</f>
        <v>Nov 2025</v>
      </c>
      <c r="S1481" s="9">
        <f>YEAR(Table1[[#This Row],[Date]])</f>
        <v>2025</v>
      </c>
      <c r="T1481" s="9"/>
      <c r="U1481" s="9"/>
    </row>
    <row r="1482" spans="1:21" hidden="1" x14ac:dyDescent="0.3">
      <c r="A1482" t="s">
        <v>2152</v>
      </c>
      <c r="B1482" s="6">
        <v>46076</v>
      </c>
      <c r="C1482" t="s">
        <v>26</v>
      </c>
      <c r="D1482" t="s">
        <v>114</v>
      </c>
      <c r="E1482" t="s">
        <v>28</v>
      </c>
      <c r="F1482" t="s">
        <v>932</v>
      </c>
      <c r="G1482" t="s">
        <v>30</v>
      </c>
      <c r="J1482" s="9">
        <v>0</v>
      </c>
      <c r="K1482" s="7">
        <v>0</v>
      </c>
      <c r="L1482" s="7">
        <v>0</v>
      </c>
      <c r="M1482" s="9">
        <v>1</v>
      </c>
      <c r="N1482" s="7">
        <v>4.5</v>
      </c>
      <c r="O1482" s="7">
        <v>7.7</v>
      </c>
      <c r="P1482" s="7">
        <v>4.3</v>
      </c>
      <c r="Q1482" t="s">
        <v>62</v>
      </c>
      <c r="R1482" s="7" t="str">
        <f>TEXT(Table1[[#This Row],[Date]],"mmm yyyy")</f>
        <v>Feb 2026</v>
      </c>
      <c r="S1482" s="9">
        <f>YEAR(Table1[[#This Row],[Date]])</f>
        <v>2026</v>
      </c>
      <c r="T1482" s="9"/>
      <c r="U1482" s="9"/>
    </row>
    <row r="1483" spans="1:21" x14ac:dyDescent="0.3">
      <c r="A1483" t="s">
        <v>2153</v>
      </c>
      <c r="B1483" s="6">
        <v>45940</v>
      </c>
      <c r="C1483" t="s">
        <v>18</v>
      </c>
      <c r="D1483" t="s">
        <v>105</v>
      </c>
      <c r="E1483" t="s">
        <v>20</v>
      </c>
      <c r="F1483" t="s">
        <v>621</v>
      </c>
      <c r="G1483" t="s">
        <v>22</v>
      </c>
      <c r="H1483" t="s">
        <v>23</v>
      </c>
      <c r="I1483" t="s">
        <v>45</v>
      </c>
      <c r="J1483" s="9">
        <v>1</v>
      </c>
      <c r="K1483" s="7">
        <v>125000</v>
      </c>
      <c r="L1483" s="7">
        <v>0</v>
      </c>
      <c r="M1483" s="9"/>
      <c r="N1483" s="7">
        <v>2</v>
      </c>
      <c r="O1483" s="7"/>
      <c r="P1483" s="7"/>
      <c r="Q1483" t="s">
        <v>45</v>
      </c>
      <c r="R1483" s="7" t="str">
        <f>TEXT(Table1[[#This Row],[Date]],"mmm yyyy")</f>
        <v>Oct 2025</v>
      </c>
      <c r="S1483" s="9">
        <f>YEAR(Table1[[#This Row],[Date]])</f>
        <v>2025</v>
      </c>
      <c r="T1483" s="9"/>
      <c r="U1483" s="9"/>
    </row>
    <row r="1484" spans="1:21" x14ac:dyDescent="0.3">
      <c r="A1484" t="s">
        <v>2154</v>
      </c>
      <c r="B1484" s="6">
        <v>46034</v>
      </c>
      <c r="C1484" t="s">
        <v>18</v>
      </c>
      <c r="D1484" t="s">
        <v>117</v>
      </c>
      <c r="E1484" t="s">
        <v>20</v>
      </c>
      <c r="F1484" t="s">
        <v>314</v>
      </c>
      <c r="G1484" t="s">
        <v>22</v>
      </c>
      <c r="H1484" t="s">
        <v>78</v>
      </c>
      <c r="I1484" t="s">
        <v>55</v>
      </c>
      <c r="J1484" s="9">
        <v>1</v>
      </c>
      <c r="K1484" s="7">
        <v>11500</v>
      </c>
      <c r="L1484" s="7">
        <v>0</v>
      </c>
      <c r="M1484" s="9"/>
      <c r="N1484" s="7">
        <v>17.600000000000001</v>
      </c>
      <c r="O1484" s="7"/>
      <c r="P1484" s="7"/>
      <c r="Q1484" t="s">
        <v>55</v>
      </c>
      <c r="R1484" s="7" t="str">
        <f>TEXT(Table1[[#This Row],[Date]],"mmm yyyy")</f>
        <v>Jan 2026</v>
      </c>
      <c r="S1484" s="9">
        <f>YEAR(Table1[[#This Row],[Date]])</f>
        <v>2026</v>
      </c>
      <c r="T1484" s="9"/>
      <c r="U1484" s="9"/>
    </row>
    <row r="1485" spans="1:21" x14ac:dyDescent="0.3">
      <c r="A1485" t="s">
        <v>2155</v>
      </c>
      <c r="B1485" s="6">
        <v>45941</v>
      </c>
      <c r="C1485" t="s">
        <v>18</v>
      </c>
      <c r="D1485" t="s">
        <v>47</v>
      </c>
      <c r="E1485" t="s">
        <v>48</v>
      </c>
      <c r="F1485" t="s">
        <v>2078</v>
      </c>
      <c r="G1485" t="s">
        <v>30</v>
      </c>
      <c r="H1485" t="s">
        <v>23</v>
      </c>
      <c r="I1485" t="s">
        <v>55</v>
      </c>
      <c r="J1485" s="9">
        <v>1</v>
      </c>
      <c r="K1485" s="7">
        <v>78200</v>
      </c>
      <c r="L1485" s="7">
        <v>0</v>
      </c>
      <c r="M1485" s="9"/>
      <c r="N1485" s="7">
        <v>20</v>
      </c>
      <c r="O1485" s="7"/>
      <c r="P1485" s="7"/>
      <c r="Q1485" t="s">
        <v>55</v>
      </c>
      <c r="R1485" s="7" t="str">
        <f>TEXT(Table1[[#This Row],[Date]],"mmm yyyy")</f>
        <v>Oct 2025</v>
      </c>
      <c r="S1485" s="9">
        <f>YEAR(Table1[[#This Row],[Date]])</f>
        <v>2025</v>
      </c>
      <c r="T1485" s="9"/>
      <c r="U1485" s="9"/>
    </row>
    <row r="1486" spans="1:21" x14ac:dyDescent="0.3">
      <c r="A1486" t="s">
        <v>2156</v>
      </c>
      <c r="B1486" s="6">
        <v>46143</v>
      </c>
      <c r="C1486" t="s">
        <v>18</v>
      </c>
      <c r="D1486" t="s">
        <v>41</v>
      </c>
      <c r="E1486" t="s">
        <v>20</v>
      </c>
      <c r="F1486" t="s">
        <v>456</v>
      </c>
      <c r="G1486" t="s">
        <v>44</v>
      </c>
      <c r="H1486" t="s">
        <v>78</v>
      </c>
      <c r="I1486" t="s">
        <v>55</v>
      </c>
      <c r="J1486" s="9">
        <v>1</v>
      </c>
      <c r="K1486" s="7">
        <v>59700</v>
      </c>
      <c r="L1486" s="7">
        <v>0</v>
      </c>
      <c r="M1486" s="9"/>
      <c r="N1486" s="7">
        <v>17.100000000000001</v>
      </c>
      <c r="O1486" s="7"/>
      <c r="P1486" s="7"/>
      <c r="Q1486" t="s">
        <v>55</v>
      </c>
      <c r="R1486" s="7" t="str">
        <f>TEXT(Table1[[#This Row],[Date]],"mmm yyyy")</f>
        <v>May 2026</v>
      </c>
      <c r="S1486" s="9">
        <f>YEAR(Table1[[#This Row],[Date]])</f>
        <v>2026</v>
      </c>
      <c r="T1486" s="9"/>
      <c r="U1486" s="9"/>
    </row>
    <row r="1487" spans="1:21" x14ac:dyDescent="0.3">
      <c r="A1487" t="s">
        <v>2157</v>
      </c>
      <c r="B1487" s="6">
        <v>46207</v>
      </c>
      <c r="C1487" t="s">
        <v>18</v>
      </c>
      <c r="D1487" t="s">
        <v>117</v>
      </c>
      <c r="E1487" t="s">
        <v>48</v>
      </c>
      <c r="F1487" t="s">
        <v>1129</v>
      </c>
      <c r="G1487" t="s">
        <v>22</v>
      </c>
      <c r="H1487" t="s">
        <v>78</v>
      </c>
      <c r="I1487" t="s">
        <v>45</v>
      </c>
      <c r="J1487" s="9">
        <v>1</v>
      </c>
      <c r="K1487" s="7">
        <v>14200</v>
      </c>
      <c r="L1487" s="7">
        <v>0</v>
      </c>
      <c r="M1487" s="9"/>
      <c r="N1487" s="7">
        <v>8.6999999999999993</v>
      </c>
      <c r="O1487" s="7"/>
      <c r="P1487" s="7"/>
      <c r="Q1487" t="s">
        <v>45</v>
      </c>
      <c r="R1487" s="7" t="str">
        <f>TEXT(Table1[[#This Row],[Date]],"mmm yyyy")</f>
        <v>Jul 2026</v>
      </c>
      <c r="S1487" s="9">
        <f>YEAR(Table1[[#This Row],[Date]])</f>
        <v>2026</v>
      </c>
      <c r="T1487" s="9"/>
      <c r="U1487" s="9"/>
    </row>
    <row r="1488" spans="1:21" x14ac:dyDescent="0.3">
      <c r="A1488" t="s">
        <v>2158</v>
      </c>
      <c r="B1488" s="6">
        <v>46106</v>
      </c>
      <c r="C1488" t="s">
        <v>18</v>
      </c>
      <c r="D1488" t="s">
        <v>64</v>
      </c>
      <c r="E1488" t="s">
        <v>42</v>
      </c>
      <c r="F1488" t="s">
        <v>77</v>
      </c>
      <c r="G1488" t="s">
        <v>44</v>
      </c>
      <c r="H1488" t="s">
        <v>78</v>
      </c>
      <c r="I1488" t="s">
        <v>45</v>
      </c>
      <c r="J1488" s="9">
        <v>1</v>
      </c>
      <c r="K1488" s="7">
        <v>12400</v>
      </c>
      <c r="L1488" s="7">
        <v>0</v>
      </c>
      <c r="M1488" s="9"/>
      <c r="N1488" s="7">
        <v>3.9</v>
      </c>
      <c r="O1488" s="7"/>
      <c r="P1488" s="7"/>
      <c r="Q1488" t="s">
        <v>45</v>
      </c>
      <c r="R1488" s="7" t="str">
        <f>TEXT(Table1[[#This Row],[Date]],"mmm yyyy")</f>
        <v>Mar 2026</v>
      </c>
      <c r="S1488" s="9">
        <f>YEAR(Table1[[#This Row],[Date]])</f>
        <v>2026</v>
      </c>
      <c r="T1488" s="9"/>
      <c r="U1488" s="9"/>
    </row>
    <row r="1489" spans="1:21" hidden="1" x14ac:dyDescent="0.3">
      <c r="A1489" t="s">
        <v>2159</v>
      </c>
      <c r="B1489" s="6">
        <v>46070</v>
      </c>
      <c r="C1489" t="s">
        <v>26</v>
      </c>
      <c r="D1489" t="s">
        <v>33</v>
      </c>
      <c r="E1489" t="s">
        <v>20</v>
      </c>
      <c r="F1489" t="s">
        <v>178</v>
      </c>
      <c r="G1489" t="s">
        <v>44</v>
      </c>
      <c r="J1489" s="9">
        <v>0</v>
      </c>
      <c r="K1489" s="7">
        <v>0</v>
      </c>
      <c r="L1489" s="7">
        <v>0</v>
      </c>
      <c r="M1489" s="9">
        <v>1</v>
      </c>
      <c r="N1489" s="7">
        <v>11.9</v>
      </c>
      <c r="O1489" s="7">
        <v>6.3</v>
      </c>
      <c r="P1489" s="7">
        <v>2.8</v>
      </c>
      <c r="Q1489" t="s">
        <v>62</v>
      </c>
      <c r="R1489" s="7" t="str">
        <f>TEXT(Table1[[#This Row],[Date]],"mmm yyyy")</f>
        <v>Feb 2026</v>
      </c>
      <c r="S1489" s="9">
        <f>YEAR(Table1[[#This Row],[Date]])</f>
        <v>2026</v>
      </c>
      <c r="T1489" s="9"/>
      <c r="U1489" s="9"/>
    </row>
    <row r="1490" spans="1:21" x14ac:dyDescent="0.3">
      <c r="A1490" t="s">
        <v>2160</v>
      </c>
      <c r="B1490" s="6">
        <v>45965</v>
      </c>
      <c r="C1490" t="s">
        <v>18</v>
      </c>
      <c r="D1490" t="s">
        <v>105</v>
      </c>
      <c r="E1490" t="s">
        <v>20</v>
      </c>
      <c r="F1490" t="s">
        <v>451</v>
      </c>
      <c r="G1490" t="s">
        <v>30</v>
      </c>
      <c r="H1490" t="s">
        <v>78</v>
      </c>
      <c r="I1490" t="s">
        <v>89</v>
      </c>
      <c r="J1490" s="9">
        <v>1</v>
      </c>
      <c r="K1490" s="7">
        <v>18600</v>
      </c>
      <c r="L1490" s="7">
        <v>0</v>
      </c>
      <c r="M1490" s="9"/>
      <c r="N1490" s="7">
        <v>3.2</v>
      </c>
      <c r="O1490" s="7"/>
      <c r="P1490" s="7"/>
      <c r="Q1490" t="s">
        <v>89</v>
      </c>
      <c r="R1490" s="7" t="str">
        <f>TEXT(Table1[[#This Row],[Date]],"mmm yyyy")</f>
        <v>Nov 2025</v>
      </c>
      <c r="S1490" s="9">
        <f>YEAR(Table1[[#This Row],[Date]])</f>
        <v>2025</v>
      </c>
      <c r="T1490" s="9"/>
      <c r="U1490" s="9"/>
    </row>
    <row r="1491" spans="1:21" x14ac:dyDescent="0.3">
      <c r="A1491" t="s">
        <v>2161</v>
      </c>
      <c r="B1491" s="6">
        <v>45982</v>
      </c>
      <c r="C1491" t="s">
        <v>18</v>
      </c>
      <c r="D1491" t="s">
        <v>52</v>
      </c>
      <c r="E1491" t="s">
        <v>28</v>
      </c>
      <c r="F1491" t="s">
        <v>845</v>
      </c>
      <c r="G1491" t="s">
        <v>50</v>
      </c>
      <c r="H1491" t="s">
        <v>23</v>
      </c>
      <c r="I1491" t="s">
        <v>79</v>
      </c>
      <c r="J1491" s="9">
        <v>1</v>
      </c>
      <c r="K1491" s="7">
        <v>28600</v>
      </c>
      <c r="L1491" s="7">
        <v>0</v>
      </c>
      <c r="M1491" s="9"/>
      <c r="N1491" s="7">
        <v>15.2</v>
      </c>
      <c r="O1491" s="7"/>
      <c r="P1491" s="7"/>
      <c r="Q1491" t="s">
        <v>79</v>
      </c>
      <c r="R1491" s="7" t="str">
        <f>TEXT(Table1[[#This Row],[Date]],"mmm yyyy")</f>
        <v>Nov 2025</v>
      </c>
      <c r="S1491" s="9">
        <f>YEAR(Table1[[#This Row],[Date]])</f>
        <v>2025</v>
      </c>
      <c r="T1491" s="9"/>
      <c r="U1491" s="9"/>
    </row>
    <row r="1492" spans="1:21" x14ac:dyDescent="0.3">
      <c r="A1492" t="s">
        <v>2162</v>
      </c>
      <c r="B1492" s="6">
        <v>46257</v>
      </c>
      <c r="C1492" t="s">
        <v>18</v>
      </c>
      <c r="D1492" t="s">
        <v>19</v>
      </c>
      <c r="E1492" t="s">
        <v>48</v>
      </c>
      <c r="F1492" t="s">
        <v>197</v>
      </c>
      <c r="G1492" t="s">
        <v>50</v>
      </c>
      <c r="H1492" t="s">
        <v>86</v>
      </c>
      <c r="I1492" t="s">
        <v>55</v>
      </c>
      <c r="J1492" s="9">
        <v>1</v>
      </c>
      <c r="K1492" s="7">
        <v>27900</v>
      </c>
      <c r="L1492" s="7">
        <v>0</v>
      </c>
      <c r="M1492" s="9"/>
      <c r="N1492" s="7">
        <v>20.8</v>
      </c>
      <c r="O1492" s="7"/>
      <c r="P1492" s="7"/>
      <c r="Q1492" t="s">
        <v>55</v>
      </c>
      <c r="R1492" s="7" t="str">
        <f>TEXT(Table1[[#This Row],[Date]],"mmm yyyy")</f>
        <v>Aug 2026</v>
      </c>
      <c r="S1492" s="9">
        <f>YEAR(Table1[[#This Row],[Date]])</f>
        <v>2026</v>
      </c>
      <c r="T1492" s="9"/>
      <c r="U1492" s="9"/>
    </row>
    <row r="1493" spans="1:21" x14ac:dyDescent="0.3">
      <c r="A1493" t="s">
        <v>2163</v>
      </c>
      <c r="B1493" s="6">
        <v>45958</v>
      </c>
      <c r="C1493" t="s">
        <v>18</v>
      </c>
      <c r="D1493" t="s">
        <v>52</v>
      </c>
      <c r="E1493" t="s">
        <v>37</v>
      </c>
      <c r="F1493" t="s">
        <v>2164</v>
      </c>
      <c r="G1493" t="s">
        <v>22</v>
      </c>
      <c r="H1493" t="s">
        <v>86</v>
      </c>
      <c r="I1493" t="s">
        <v>45</v>
      </c>
      <c r="J1493" s="9">
        <v>1</v>
      </c>
      <c r="K1493" s="7">
        <v>24800</v>
      </c>
      <c r="L1493" s="7">
        <v>0</v>
      </c>
      <c r="M1493" s="9"/>
      <c r="N1493" s="7">
        <v>9.4</v>
      </c>
      <c r="O1493" s="7"/>
      <c r="P1493" s="7"/>
      <c r="Q1493" t="s">
        <v>45</v>
      </c>
      <c r="R1493" s="7" t="str">
        <f>TEXT(Table1[[#This Row],[Date]],"mmm yyyy")</f>
        <v>Oct 2025</v>
      </c>
      <c r="S1493" s="9">
        <f>YEAR(Table1[[#This Row],[Date]])</f>
        <v>2025</v>
      </c>
      <c r="T1493" s="9"/>
      <c r="U1493" s="9"/>
    </row>
    <row r="1494" spans="1:21" x14ac:dyDescent="0.3">
      <c r="A1494" t="s">
        <v>2165</v>
      </c>
      <c r="B1494" s="6">
        <v>46080</v>
      </c>
      <c r="C1494" t="s">
        <v>18</v>
      </c>
      <c r="D1494" t="s">
        <v>64</v>
      </c>
      <c r="E1494" t="s">
        <v>37</v>
      </c>
      <c r="F1494" t="s">
        <v>2166</v>
      </c>
      <c r="G1494" t="s">
        <v>44</v>
      </c>
      <c r="H1494" t="s">
        <v>66</v>
      </c>
      <c r="I1494" t="s">
        <v>55</v>
      </c>
      <c r="J1494" s="9">
        <v>1</v>
      </c>
      <c r="K1494" s="7">
        <v>46800</v>
      </c>
      <c r="L1494" s="7">
        <v>0</v>
      </c>
      <c r="M1494" s="9"/>
      <c r="N1494" s="7">
        <v>6.1</v>
      </c>
      <c r="O1494" s="7"/>
      <c r="P1494" s="7"/>
      <c r="Q1494" t="s">
        <v>55</v>
      </c>
      <c r="R1494" s="7" t="str">
        <f>TEXT(Table1[[#This Row],[Date]],"mmm yyyy")</f>
        <v>Feb 2026</v>
      </c>
      <c r="S1494" s="9">
        <f>YEAR(Table1[[#This Row],[Date]])</f>
        <v>2026</v>
      </c>
      <c r="T1494" s="9"/>
      <c r="U1494" s="9"/>
    </row>
    <row r="1495" spans="1:21" x14ac:dyDescent="0.3">
      <c r="A1495" t="s">
        <v>2167</v>
      </c>
      <c r="B1495" s="6">
        <v>45985</v>
      </c>
      <c r="C1495" t="s">
        <v>18</v>
      </c>
      <c r="D1495" t="s">
        <v>52</v>
      </c>
      <c r="E1495" t="s">
        <v>28</v>
      </c>
      <c r="F1495" t="s">
        <v>1691</v>
      </c>
      <c r="G1495" t="s">
        <v>44</v>
      </c>
      <c r="H1495" t="s">
        <v>23</v>
      </c>
      <c r="I1495" t="s">
        <v>45</v>
      </c>
      <c r="J1495" s="9">
        <v>1</v>
      </c>
      <c r="K1495" s="7">
        <v>17400</v>
      </c>
      <c r="L1495" s="7">
        <v>0</v>
      </c>
      <c r="M1495" s="9"/>
      <c r="N1495" s="7">
        <v>8.6</v>
      </c>
      <c r="O1495" s="7"/>
      <c r="P1495" s="7"/>
      <c r="Q1495" t="s">
        <v>45</v>
      </c>
      <c r="R1495" s="7" t="str">
        <f>TEXT(Table1[[#This Row],[Date]],"mmm yyyy")</f>
        <v>Nov 2025</v>
      </c>
      <c r="S1495" s="9">
        <f>YEAR(Table1[[#This Row],[Date]])</f>
        <v>2025</v>
      </c>
      <c r="T1495" s="9"/>
      <c r="U1495" s="9"/>
    </row>
    <row r="1496" spans="1:21" hidden="1" x14ac:dyDescent="0.3">
      <c r="A1496" t="s">
        <v>2168</v>
      </c>
      <c r="B1496" s="6">
        <v>46044</v>
      </c>
      <c r="C1496" t="s">
        <v>26</v>
      </c>
      <c r="D1496" t="s">
        <v>33</v>
      </c>
      <c r="E1496" t="s">
        <v>28</v>
      </c>
      <c r="F1496" t="s">
        <v>2169</v>
      </c>
      <c r="G1496" t="s">
        <v>22</v>
      </c>
      <c r="J1496" s="9">
        <v>0</v>
      </c>
      <c r="K1496" s="7">
        <v>0</v>
      </c>
      <c r="L1496" s="7">
        <v>0</v>
      </c>
      <c r="M1496" s="9">
        <v>1</v>
      </c>
      <c r="N1496" s="7">
        <v>0.8</v>
      </c>
      <c r="O1496" s="7">
        <v>13.9</v>
      </c>
      <c r="P1496" s="7">
        <v>5</v>
      </c>
      <c r="Q1496" t="s">
        <v>31</v>
      </c>
      <c r="R1496" s="7" t="str">
        <f>TEXT(Table1[[#This Row],[Date]],"mmm yyyy")</f>
        <v>Jan 2026</v>
      </c>
      <c r="S1496" s="9">
        <f>YEAR(Table1[[#This Row],[Date]])</f>
        <v>2026</v>
      </c>
      <c r="T1496" s="9"/>
      <c r="U1496" s="9"/>
    </row>
    <row r="1497" spans="1:21" hidden="1" x14ac:dyDescent="0.3">
      <c r="A1497" t="s">
        <v>2170</v>
      </c>
      <c r="B1497" s="6">
        <v>45907</v>
      </c>
      <c r="C1497" t="s">
        <v>26</v>
      </c>
      <c r="D1497" t="s">
        <v>72</v>
      </c>
      <c r="E1497" t="s">
        <v>20</v>
      </c>
      <c r="F1497" t="s">
        <v>1573</v>
      </c>
      <c r="G1497" t="s">
        <v>50</v>
      </c>
      <c r="J1497" s="9">
        <v>0</v>
      </c>
      <c r="K1497" s="7">
        <v>0</v>
      </c>
      <c r="L1497" s="7">
        <v>0</v>
      </c>
      <c r="M1497" s="9">
        <v>1</v>
      </c>
      <c r="N1497" s="7">
        <v>9.1</v>
      </c>
      <c r="O1497" s="7">
        <v>6.4</v>
      </c>
      <c r="P1497" s="7">
        <v>3.3</v>
      </c>
      <c r="Q1497" t="s">
        <v>39</v>
      </c>
      <c r="R1497" s="7" t="str">
        <f>TEXT(Table1[[#This Row],[Date]],"mmm yyyy")</f>
        <v>Sep 2025</v>
      </c>
      <c r="S1497" s="9">
        <f>YEAR(Table1[[#This Row],[Date]])</f>
        <v>2025</v>
      </c>
      <c r="T1497" s="9"/>
      <c r="U1497" s="9"/>
    </row>
    <row r="1498" spans="1:21" hidden="1" x14ac:dyDescent="0.3">
      <c r="A1498" t="s">
        <v>2171</v>
      </c>
      <c r="B1498" s="6">
        <v>46248</v>
      </c>
      <c r="C1498" t="s">
        <v>26</v>
      </c>
      <c r="D1498" t="s">
        <v>33</v>
      </c>
      <c r="E1498" t="s">
        <v>48</v>
      </c>
      <c r="F1498" t="s">
        <v>178</v>
      </c>
      <c r="G1498" t="s">
        <v>50</v>
      </c>
      <c r="J1498" s="9">
        <v>0</v>
      </c>
      <c r="K1498" s="7">
        <v>0</v>
      </c>
      <c r="L1498" s="7">
        <v>0</v>
      </c>
      <c r="M1498" s="9">
        <v>1</v>
      </c>
      <c r="N1498" s="7">
        <v>5.3</v>
      </c>
      <c r="O1498" s="7">
        <v>6.2</v>
      </c>
      <c r="P1498" s="7">
        <v>3.8</v>
      </c>
      <c r="Q1498" t="s">
        <v>39</v>
      </c>
      <c r="R1498" s="7" t="str">
        <f>TEXT(Table1[[#This Row],[Date]],"mmm yyyy")</f>
        <v>Aug 2026</v>
      </c>
      <c r="S1498" s="9">
        <f>YEAR(Table1[[#This Row],[Date]])</f>
        <v>2026</v>
      </c>
      <c r="T1498" s="9"/>
      <c r="U1498" s="9"/>
    </row>
    <row r="1499" spans="1:21" x14ac:dyDescent="0.3">
      <c r="A1499" t="s">
        <v>2172</v>
      </c>
      <c r="B1499" s="6">
        <v>46016</v>
      </c>
      <c r="C1499" t="s">
        <v>18</v>
      </c>
      <c r="D1499" t="s">
        <v>95</v>
      </c>
      <c r="E1499" t="s">
        <v>20</v>
      </c>
      <c r="F1499" t="s">
        <v>1549</v>
      </c>
      <c r="G1499" t="s">
        <v>30</v>
      </c>
      <c r="H1499" t="s">
        <v>86</v>
      </c>
      <c r="I1499" t="s">
        <v>67</v>
      </c>
      <c r="J1499" s="9">
        <v>1</v>
      </c>
      <c r="K1499" s="7">
        <v>28600</v>
      </c>
      <c r="L1499" s="7">
        <v>0</v>
      </c>
      <c r="M1499" s="9"/>
      <c r="N1499" s="7">
        <v>23.6</v>
      </c>
      <c r="O1499" s="7"/>
      <c r="P1499" s="7"/>
      <c r="Q1499" t="s">
        <v>67</v>
      </c>
      <c r="R1499" s="7" t="str">
        <f>TEXT(Table1[[#This Row],[Date]],"mmm yyyy")</f>
        <v>Dec 2025</v>
      </c>
      <c r="S1499" s="9">
        <f>YEAR(Table1[[#This Row],[Date]])</f>
        <v>2025</v>
      </c>
      <c r="T1499" s="9"/>
      <c r="U1499" s="9"/>
    </row>
    <row r="1500" spans="1:21" x14ac:dyDescent="0.3">
      <c r="A1500" t="s">
        <v>2173</v>
      </c>
      <c r="B1500" s="6">
        <v>46204</v>
      </c>
      <c r="C1500" t="s">
        <v>18</v>
      </c>
      <c r="D1500" t="s">
        <v>41</v>
      </c>
      <c r="E1500" t="s">
        <v>37</v>
      </c>
      <c r="F1500" t="s">
        <v>1150</v>
      </c>
      <c r="G1500" t="s">
        <v>30</v>
      </c>
      <c r="H1500" t="s">
        <v>54</v>
      </c>
      <c r="I1500" t="s">
        <v>89</v>
      </c>
      <c r="J1500" s="9">
        <v>1</v>
      </c>
      <c r="K1500" s="7">
        <v>7900</v>
      </c>
      <c r="L1500" s="7">
        <v>0</v>
      </c>
      <c r="M1500" s="9"/>
      <c r="N1500" s="7">
        <v>22.1</v>
      </c>
      <c r="O1500" s="7"/>
      <c r="P1500" s="7"/>
      <c r="Q1500" t="s">
        <v>89</v>
      </c>
      <c r="R1500" s="7" t="str">
        <f>TEXT(Table1[[#This Row],[Date]],"mmm yyyy")</f>
        <v>Jul 2026</v>
      </c>
      <c r="S1500" s="9">
        <f>YEAR(Table1[[#This Row],[Date]])</f>
        <v>2026</v>
      </c>
      <c r="T1500" s="9"/>
      <c r="U1500" s="9"/>
    </row>
    <row r="1501" spans="1:21" hidden="1" x14ac:dyDescent="0.3">
      <c r="A1501" t="s">
        <v>2174</v>
      </c>
      <c r="B1501" s="6">
        <v>46203</v>
      </c>
      <c r="C1501" t="s">
        <v>26</v>
      </c>
      <c r="D1501" t="s">
        <v>126</v>
      </c>
      <c r="E1501" t="s">
        <v>48</v>
      </c>
      <c r="F1501" t="s">
        <v>1281</v>
      </c>
      <c r="G1501" t="s">
        <v>22</v>
      </c>
      <c r="J1501" s="9">
        <v>0</v>
      </c>
      <c r="K1501" s="7">
        <v>0</v>
      </c>
      <c r="L1501" s="7">
        <v>0</v>
      </c>
      <c r="M1501" s="9">
        <v>1</v>
      </c>
      <c r="N1501" s="7">
        <v>5.0999999999999996</v>
      </c>
      <c r="O1501" s="7">
        <v>9.4</v>
      </c>
      <c r="P1501" s="7">
        <v>5</v>
      </c>
      <c r="Q1501" t="s">
        <v>62</v>
      </c>
      <c r="R1501" s="7" t="str">
        <f>TEXT(Table1[[#This Row],[Date]],"mmm yyyy")</f>
        <v>Jun 2026</v>
      </c>
      <c r="S1501" s="9">
        <f>YEAR(Table1[[#This Row],[Date]])</f>
        <v>2026</v>
      </c>
      <c r="T1501" s="9"/>
      <c r="U1501" s="9"/>
    </row>
    <row r="1502" spans="1:21" x14ac:dyDescent="0.3">
      <c r="A1502" t="s">
        <v>2175</v>
      </c>
      <c r="B1502" s="6">
        <v>45970</v>
      </c>
      <c r="C1502" t="s">
        <v>18</v>
      </c>
      <c r="D1502" t="s">
        <v>95</v>
      </c>
      <c r="E1502" t="s">
        <v>20</v>
      </c>
      <c r="F1502" t="s">
        <v>781</v>
      </c>
      <c r="G1502" t="s">
        <v>50</v>
      </c>
      <c r="H1502" t="s">
        <v>66</v>
      </c>
      <c r="I1502" t="s">
        <v>24</v>
      </c>
      <c r="J1502" s="9">
        <v>1</v>
      </c>
      <c r="K1502" s="7">
        <v>5000</v>
      </c>
      <c r="L1502" s="7">
        <v>5000</v>
      </c>
      <c r="M1502" s="9"/>
      <c r="N1502" s="7">
        <v>23.6</v>
      </c>
      <c r="O1502" s="7"/>
      <c r="P1502" s="7"/>
      <c r="Q1502" t="s">
        <v>24</v>
      </c>
      <c r="R1502" s="7" t="str">
        <f>TEXT(Table1[[#This Row],[Date]],"mmm yyyy")</f>
        <v>Nov 2025</v>
      </c>
      <c r="S1502" s="9">
        <f>YEAR(Table1[[#This Row],[Date]])</f>
        <v>2025</v>
      </c>
      <c r="T1502" s="9"/>
      <c r="U1502" s="9"/>
    </row>
    <row r="1503" spans="1:21" x14ac:dyDescent="0.3">
      <c r="A1503" t="s">
        <v>2176</v>
      </c>
      <c r="B1503" s="6">
        <v>46038</v>
      </c>
      <c r="C1503" t="s">
        <v>18</v>
      </c>
      <c r="D1503" t="s">
        <v>47</v>
      </c>
      <c r="E1503" t="s">
        <v>20</v>
      </c>
      <c r="F1503" t="s">
        <v>442</v>
      </c>
      <c r="G1503" t="s">
        <v>30</v>
      </c>
      <c r="H1503" t="s">
        <v>23</v>
      </c>
      <c r="I1503" t="s">
        <v>45</v>
      </c>
      <c r="J1503" s="9">
        <v>1</v>
      </c>
      <c r="K1503" s="7">
        <v>30800</v>
      </c>
      <c r="L1503" s="7">
        <v>0</v>
      </c>
      <c r="M1503" s="9"/>
      <c r="N1503" s="7">
        <v>14.6</v>
      </c>
      <c r="O1503" s="7"/>
      <c r="P1503" s="7"/>
      <c r="Q1503" t="s">
        <v>45</v>
      </c>
      <c r="R1503" s="7" t="str">
        <f>TEXT(Table1[[#This Row],[Date]],"mmm yyyy")</f>
        <v>Jan 2026</v>
      </c>
      <c r="S1503" s="9">
        <f>YEAR(Table1[[#This Row],[Date]])</f>
        <v>2026</v>
      </c>
      <c r="T1503" s="9"/>
      <c r="U1503" s="9"/>
    </row>
    <row r="1504" spans="1:21" x14ac:dyDescent="0.3">
      <c r="A1504" t="s">
        <v>2177</v>
      </c>
      <c r="B1504" s="6">
        <v>46220</v>
      </c>
      <c r="C1504" t="s">
        <v>18</v>
      </c>
      <c r="D1504" t="s">
        <v>95</v>
      </c>
      <c r="E1504" t="s">
        <v>20</v>
      </c>
      <c r="F1504" t="s">
        <v>438</v>
      </c>
      <c r="G1504" t="s">
        <v>22</v>
      </c>
      <c r="H1504" t="s">
        <v>54</v>
      </c>
      <c r="I1504" t="s">
        <v>45</v>
      </c>
      <c r="J1504" s="9">
        <v>1</v>
      </c>
      <c r="K1504" s="7">
        <v>34600</v>
      </c>
      <c r="L1504" s="7">
        <v>0</v>
      </c>
      <c r="M1504" s="9"/>
      <c r="N1504" s="7">
        <v>9.6</v>
      </c>
      <c r="O1504" s="7"/>
      <c r="P1504" s="7"/>
      <c r="Q1504" t="s">
        <v>45</v>
      </c>
      <c r="R1504" s="7" t="str">
        <f>TEXT(Table1[[#This Row],[Date]],"mmm yyyy")</f>
        <v>Jul 2026</v>
      </c>
      <c r="S1504" s="9">
        <f>YEAR(Table1[[#This Row],[Date]])</f>
        <v>2026</v>
      </c>
      <c r="T1504" s="9"/>
      <c r="U1504" s="9"/>
    </row>
    <row r="1505" spans="1:21" x14ac:dyDescent="0.3">
      <c r="A1505" t="s">
        <v>2178</v>
      </c>
      <c r="B1505" s="6">
        <v>46088</v>
      </c>
      <c r="C1505" t="s">
        <v>18</v>
      </c>
      <c r="D1505" t="s">
        <v>19</v>
      </c>
      <c r="E1505" t="s">
        <v>28</v>
      </c>
      <c r="F1505" t="s">
        <v>346</v>
      </c>
      <c r="G1505" t="s">
        <v>30</v>
      </c>
      <c r="H1505" t="s">
        <v>78</v>
      </c>
      <c r="I1505" t="s">
        <v>55</v>
      </c>
      <c r="J1505" s="9">
        <v>1</v>
      </c>
      <c r="K1505" s="7">
        <v>17100</v>
      </c>
      <c r="L1505" s="7">
        <v>0</v>
      </c>
      <c r="M1505" s="9"/>
      <c r="N1505" s="7">
        <v>3.6</v>
      </c>
      <c r="O1505" s="7"/>
      <c r="P1505" s="7"/>
      <c r="Q1505" t="s">
        <v>55</v>
      </c>
      <c r="R1505" s="7" t="str">
        <f>TEXT(Table1[[#This Row],[Date]],"mmm yyyy")</f>
        <v>Mar 2026</v>
      </c>
      <c r="S1505" s="9">
        <f>YEAR(Table1[[#This Row],[Date]])</f>
        <v>2026</v>
      </c>
      <c r="T1505" s="9"/>
      <c r="U1505" s="9"/>
    </row>
    <row r="1506" spans="1:21" x14ac:dyDescent="0.3">
      <c r="A1506" t="s">
        <v>2179</v>
      </c>
      <c r="B1506" s="6">
        <v>46174</v>
      </c>
      <c r="C1506" t="s">
        <v>18</v>
      </c>
      <c r="D1506" t="s">
        <v>105</v>
      </c>
      <c r="E1506" t="s">
        <v>48</v>
      </c>
      <c r="F1506" t="s">
        <v>1112</v>
      </c>
      <c r="G1506" t="s">
        <v>44</v>
      </c>
      <c r="H1506" t="s">
        <v>78</v>
      </c>
      <c r="I1506" t="s">
        <v>45</v>
      </c>
      <c r="J1506" s="9">
        <v>1</v>
      </c>
      <c r="K1506" s="7">
        <v>17100</v>
      </c>
      <c r="L1506" s="7">
        <v>0</v>
      </c>
      <c r="M1506" s="9"/>
      <c r="N1506" s="7">
        <v>23.6</v>
      </c>
      <c r="O1506" s="7"/>
      <c r="P1506" s="7"/>
      <c r="Q1506" t="s">
        <v>45</v>
      </c>
      <c r="R1506" s="7" t="str">
        <f>TEXT(Table1[[#This Row],[Date]],"mmm yyyy")</f>
        <v>Jun 2026</v>
      </c>
      <c r="S1506" s="9">
        <f>YEAR(Table1[[#This Row],[Date]])</f>
        <v>2026</v>
      </c>
      <c r="T1506" s="9"/>
      <c r="U1506" s="9"/>
    </row>
    <row r="1507" spans="1:21" x14ac:dyDescent="0.3">
      <c r="A1507" t="s">
        <v>2180</v>
      </c>
      <c r="B1507" s="6">
        <v>46213</v>
      </c>
      <c r="C1507" t="s">
        <v>18</v>
      </c>
      <c r="D1507" t="s">
        <v>41</v>
      </c>
      <c r="E1507" t="s">
        <v>48</v>
      </c>
      <c r="F1507" t="s">
        <v>734</v>
      </c>
      <c r="G1507" t="s">
        <v>50</v>
      </c>
      <c r="H1507" t="s">
        <v>86</v>
      </c>
      <c r="I1507" t="s">
        <v>24</v>
      </c>
      <c r="J1507" s="9">
        <v>1</v>
      </c>
      <c r="K1507" s="7">
        <v>12300</v>
      </c>
      <c r="L1507" s="7">
        <v>12300</v>
      </c>
      <c r="M1507" s="9"/>
      <c r="N1507" s="7">
        <v>20.100000000000001</v>
      </c>
      <c r="O1507" s="7"/>
      <c r="P1507" s="7"/>
      <c r="Q1507" t="s">
        <v>24</v>
      </c>
      <c r="R1507" s="7" t="str">
        <f>TEXT(Table1[[#This Row],[Date]],"mmm yyyy")</f>
        <v>Jul 2026</v>
      </c>
      <c r="S1507" s="9">
        <f>YEAR(Table1[[#This Row],[Date]])</f>
        <v>2026</v>
      </c>
      <c r="T1507" s="9"/>
      <c r="U1507" s="9"/>
    </row>
    <row r="1508" spans="1:21" hidden="1" x14ac:dyDescent="0.3">
      <c r="A1508" t="s">
        <v>2181</v>
      </c>
      <c r="B1508" s="6">
        <v>46221</v>
      </c>
      <c r="C1508" t="s">
        <v>26</v>
      </c>
      <c r="D1508" t="s">
        <v>33</v>
      </c>
      <c r="E1508" t="s">
        <v>20</v>
      </c>
      <c r="F1508" t="s">
        <v>587</v>
      </c>
      <c r="G1508" t="s">
        <v>22</v>
      </c>
      <c r="J1508" s="9">
        <v>0</v>
      </c>
      <c r="K1508" s="7">
        <v>0</v>
      </c>
      <c r="L1508" s="7">
        <v>0</v>
      </c>
      <c r="M1508" s="9">
        <v>1</v>
      </c>
      <c r="N1508" s="7">
        <v>3.1</v>
      </c>
      <c r="O1508" s="7">
        <v>6.3</v>
      </c>
      <c r="P1508" s="7">
        <v>5</v>
      </c>
      <c r="Q1508" t="s">
        <v>31</v>
      </c>
      <c r="R1508" s="7" t="str">
        <f>TEXT(Table1[[#This Row],[Date]],"mmm yyyy")</f>
        <v>Jul 2026</v>
      </c>
      <c r="S1508" s="9">
        <f>YEAR(Table1[[#This Row],[Date]])</f>
        <v>2026</v>
      </c>
      <c r="T1508" s="9"/>
      <c r="U1508" s="9"/>
    </row>
    <row r="1509" spans="1:21" x14ac:dyDescent="0.3">
      <c r="A1509" t="s">
        <v>2182</v>
      </c>
      <c r="B1509" s="6">
        <v>45964</v>
      </c>
      <c r="C1509" t="s">
        <v>18</v>
      </c>
      <c r="D1509" t="s">
        <v>19</v>
      </c>
      <c r="E1509" t="s">
        <v>48</v>
      </c>
      <c r="F1509" t="s">
        <v>262</v>
      </c>
      <c r="G1509" t="s">
        <v>30</v>
      </c>
      <c r="H1509" t="s">
        <v>66</v>
      </c>
      <c r="I1509" t="s">
        <v>67</v>
      </c>
      <c r="J1509" s="9">
        <v>1</v>
      </c>
      <c r="K1509" s="7">
        <v>15900</v>
      </c>
      <c r="L1509" s="7">
        <v>0</v>
      </c>
      <c r="M1509" s="9"/>
      <c r="N1509" s="7">
        <v>0.7</v>
      </c>
      <c r="O1509" s="7"/>
      <c r="P1509" s="7"/>
      <c r="Q1509" t="s">
        <v>67</v>
      </c>
      <c r="R1509" s="7" t="str">
        <f>TEXT(Table1[[#This Row],[Date]],"mmm yyyy")</f>
        <v>Nov 2025</v>
      </c>
      <c r="S1509" s="9">
        <f>YEAR(Table1[[#This Row],[Date]])</f>
        <v>2025</v>
      </c>
      <c r="T1509" s="9"/>
      <c r="U1509" s="9"/>
    </row>
    <row r="1510" spans="1:21" hidden="1" x14ac:dyDescent="0.3">
      <c r="A1510" t="s">
        <v>2183</v>
      </c>
      <c r="B1510" s="6">
        <v>45998</v>
      </c>
      <c r="C1510" t="s">
        <v>26</v>
      </c>
      <c r="D1510" t="s">
        <v>27</v>
      </c>
      <c r="E1510" t="s">
        <v>28</v>
      </c>
      <c r="F1510" t="s">
        <v>2136</v>
      </c>
      <c r="G1510" t="s">
        <v>50</v>
      </c>
      <c r="J1510" s="9">
        <v>0</v>
      </c>
      <c r="K1510" s="7">
        <v>0</v>
      </c>
      <c r="L1510" s="7">
        <v>0</v>
      </c>
      <c r="M1510" s="9">
        <v>1</v>
      </c>
      <c r="N1510" s="7">
        <v>3.1</v>
      </c>
      <c r="O1510" s="7">
        <v>5.0999999999999996</v>
      </c>
      <c r="P1510" s="7">
        <v>5</v>
      </c>
      <c r="Q1510" t="s">
        <v>39</v>
      </c>
      <c r="R1510" s="7" t="str">
        <f>TEXT(Table1[[#This Row],[Date]],"mmm yyyy")</f>
        <v>Dec 2025</v>
      </c>
      <c r="S1510" s="9">
        <f>YEAR(Table1[[#This Row],[Date]])</f>
        <v>2025</v>
      </c>
      <c r="T1510" s="9"/>
      <c r="U1510" s="9"/>
    </row>
    <row r="1511" spans="1:21" hidden="1" x14ac:dyDescent="0.3">
      <c r="A1511" t="s">
        <v>2184</v>
      </c>
      <c r="B1511" s="6">
        <v>46063</v>
      </c>
      <c r="C1511" t="s">
        <v>26</v>
      </c>
      <c r="D1511" t="s">
        <v>36</v>
      </c>
      <c r="E1511" t="s">
        <v>20</v>
      </c>
      <c r="F1511" t="s">
        <v>838</v>
      </c>
      <c r="G1511" t="s">
        <v>50</v>
      </c>
      <c r="J1511" s="9">
        <v>0</v>
      </c>
      <c r="K1511" s="7">
        <v>0</v>
      </c>
      <c r="L1511" s="7">
        <v>0</v>
      </c>
      <c r="M1511" s="9">
        <v>1</v>
      </c>
      <c r="N1511" s="7">
        <v>5.6</v>
      </c>
      <c r="O1511" s="7">
        <v>8.4</v>
      </c>
      <c r="P1511" s="7">
        <v>2.5</v>
      </c>
      <c r="Q1511" t="s">
        <v>39</v>
      </c>
      <c r="R1511" s="7" t="str">
        <f>TEXT(Table1[[#This Row],[Date]],"mmm yyyy")</f>
        <v>Feb 2026</v>
      </c>
      <c r="S1511" s="9">
        <f>YEAR(Table1[[#This Row],[Date]])</f>
        <v>2026</v>
      </c>
      <c r="T1511" s="9"/>
      <c r="U1511" s="9"/>
    </row>
    <row r="1512" spans="1:21" hidden="1" x14ac:dyDescent="0.3">
      <c r="A1512" t="s">
        <v>2185</v>
      </c>
      <c r="B1512" s="6">
        <v>46196</v>
      </c>
      <c r="C1512" t="s">
        <v>26</v>
      </c>
      <c r="D1512" t="s">
        <v>33</v>
      </c>
      <c r="E1512" t="s">
        <v>37</v>
      </c>
      <c r="F1512" t="s">
        <v>292</v>
      </c>
      <c r="G1512" t="s">
        <v>44</v>
      </c>
      <c r="J1512" s="9">
        <v>0</v>
      </c>
      <c r="K1512" s="7">
        <v>0</v>
      </c>
      <c r="L1512" s="7">
        <v>0</v>
      </c>
      <c r="M1512" s="9">
        <v>1</v>
      </c>
      <c r="N1512" s="7">
        <v>7.3</v>
      </c>
      <c r="O1512" s="7">
        <v>4.3</v>
      </c>
      <c r="P1512" s="7">
        <v>3.7</v>
      </c>
      <c r="Q1512" t="s">
        <v>39</v>
      </c>
      <c r="R1512" s="7" t="str">
        <f>TEXT(Table1[[#This Row],[Date]],"mmm yyyy")</f>
        <v>Jun 2026</v>
      </c>
      <c r="S1512" s="9">
        <f>YEAR(Table1[[#This Row],[Date]])</f>
        <v>2026</v>
      </c>
      <c r="T1512" s="9"/>
      <c r="U1512" s="9"/>
    </row>
    <row r="1513" spans="1:21" hidden="1" x14ac:dyDescent="0.3">
      <c r="A1513" t="s">
        <v>2186</v>
      </c>
      <c r="B1513" s="6">
        <v>46007</v>
      </c>
      <c r="C1513" t="s">
        <v>26</v>
      </c>
      <c r="D1513" t="s">
        <v>33</v>
      </c>
      <c r="E1513" t="s">
        <v>20</v>
      </c>
      <c r="F1513" t="s">
        <v>742</v>
      </c>
      <c r="G1513" t="s">
        <v>22</v>
      </c>
      <c r="J1513" s="9">
        <v>0</v>
      </c>
      <c r="K1513" s="7">
        <v>0</v>
      </c>
      <c r="L1513" s="7">
        <v>0</v>
      </c>
      <c r="M1513" s="9">
        <v>1</v>
      </c>
      <c r="N1513" s="7">
        <v>3.3</v>
      </c>
      <c r="O1513" s="7">
        <v>6.1</v>
      </c>
      <c r="P1513" s="7">
        <v>4.8</v>
      </c>
      <c r="Q1513" t="s">
        <v>31</v>
      </c>
      <c r="R1513" s="7" t="str">
        <f>TEXT(Table1[[#This Row],[Date]],"mmm yyyy")</f>
        <v>Dec 2025</v>
      </c>
      <c r="S1513" s="9">
        <f>YEAR(Table1[[#This Row],[Date]])</f>
        <v>2025</v>
      </c>
      <c r="T1513" s="9"/>
      <c r="U1513" s="9"/>
    </row>
    <row r="1514" spans="1:21" hidden="1" x14ac:dyDescent="0.3">
      <c r="A1514" t="s">
        <v>2187</v>
      </c>
      <c r="B1514" s="6">
        <v>45907</v>
      </c>
      <c r="C1514" t="s">
        <v>26</v>
      </c>
      <c r="D1514" t="s">
        <v>126</v>
      </c>
      <c r="E1514" t="s">
        <v>48</v>
      </c>
      <c r="F1514" t="s">
        <v>616</v>
      </c>
      <c r="G1514" t="s">
        <v>30</v>
      </c>
      <c r="J1514" s="9">
        <v>0</v>
      </c>
      <c r="K1514" s="7">
        <v>0</v>
      </c>
      <c r="L1514" s="7">
        <v>0</v>
      </c>
      <c r="M1514" s="9">
        <v>1</v>
      </c>
      <c r="N1514" s="7">
        <v>2.7</v>
      </c>
      <c r="O1514" s="7">
        <v>11.8</v>
      </c>
      <c r="P1514" s="7">
        <v>2.5</v>
      </c>
      <c r="Q1514" t="s">
        <v>225</v>
      </c>
      <c r="R1514" s="7" t="str">
        <f>TEXT(Table1[[#This Row],[Date]],"mmm yyyy")</f>
        <v>Sep 2025</v>
      </c>
      <c r="S1514" s="9">
        <f>YEAR(Table1[[#This Row],[Date]])</f>
        <v>2025</v>
      </c>
      <c r="T1514" s="9"/>
      <c r="U1514" s="9"/>
    </row>
    <row r="1515" spans="1:21" x14ac:dyDescent="0.3">
      <c r="A1515" t="s">
        <v>2188</v>
      </c>
      <c r="B1515" s="6">
        <v>46196</v>
      </c>
      <c r="C1515" t="s">
        <v>18</v>
      </c>
      <c r="D1515" t="s">
        <v>47</v>
      </c>
      <c r="E1515" t="s">
        <v>37</v>
      </c>
      <c r="F1515" t="s">
        <v>487</v>
      </c>
      <c r="G1515" t="s">
        <v>30</v>
      </c>
      <c r="H1515" t="s">
        <v>23</v>
      </c>
      <c r="I1515" t="s">
        <v>45</v>
      </c>
      <c r="J1515" s="9">
        <v>1</v>
      </c>
      <c r="K1515" s="7">
        <v>5700</v>
      </c>
      <c r="L1515" s="7">
        <v>0</v>
      </c>
      <c r="M1515" s="9"/>
      <c r="N1515" s="7">
        <v>23.7</v>
      </c>
      <c r="O1515" s="7"/>
      <c r="P1515" s="7"/>
      <c r="Q1515" t="s">
        <v>45</v>
      </c>
      <c r="R1515" s="7" t="str">
        <f>TEXT(Table1[[#This Row],[Date]],"mmm yyyy")</f>
        <v>Jun 2026</v>
      </c>
      <c r="S1515" s="9">
        <f>YEAR(Table1[[#This Row],[Date]])</f>
        <v>2026</v>
      </c>
      <c r="T1515" s="9"/>
      <c r="U1515" s="9"/>
    </row>
    <row r="1516" spans="1:21" x14ac:dyDescent="0.3">
      <c r="A1516" t="s">
        <v>2189</v>
      </c>
      <c r="B1516" s="6">
        <v>45920</v>
      </c>
      <c r="C1516" t="s">
        <v>18</v>
      </c>
      <c r="D1516" t="s">
        <v>52</v>
      </c>
      <c r="E1516" t="s">
        <v>48</v>
      </c>
      <c r="F1516" t="s">
        <v>2190</v>
      </c>
      <c r="G1516" t="s">
        <v>22</v>
      </c>
      <c r="H1516" t="s">
        <v>78</v>
      </c>
      <c r="I1516" t="s">
        <v>67</v>
      </c>
      <c r="J1516" s="9">
        <v>1</v>
      </c>
      <c r="K1516" s="7">
        <v>14900</v>
      </c>
      <c r="L1516" s="7">
        <v>0</v>
      </c>
      <c r="M1516" s="9"/>
      <c r="N1516" s="7">
        <v>15.7</v>
      </c>
      <c r="O1516" s="7"/>
      <c r="P1516" s="7"/>
      <c r="Q1516" t="s">
        <v>67</v>
      </c>
      <c r="R1516" s="7" t="str">
        <f>TEXT(Table1[[#This Row],[Date]],"mmm yyyy")</f>
        <v>Sep 2025</v>
      </c>
      <c r="S1516" s="9">
        <f>YEAR(Table1[[#This Row],[Date]])</f>
        <v>2025</v>
      </c>
      <c r="T1516" s="9"/>
      <c r="U1516" s="9"/>
    </row>
    <row r="1517" spans="1:21" x14ac:dyDescent="0.3">
      <c r="A1517" t="s">
        <v>2191</v>
      </c>
      <c r="B1517" s="6">
        <v>45931</v>
      </c>
      <c r="C1517" t="s">
        <v>18</v>
      </c>
      <c r="D1517" t="s">
        <v>95</v>
      </c>
      <c r="E1517" t="s">
        <v>20</v>
      </c>
      <c r="F1517" t="s">
        <v>1199</v>
      </c>
      <c r="G1517" t="s">
        <v>30</v>
      </c>
      <c r="H1517" t="s">
        <v>23</v>
      </c>
      <c r="I1517" t="s">
        <v>55</v>
      </c>
      <c r="J1517" s="9">
        <v>1</v>
      </c>
      <c r="K1517" s="7">
        <v>66400</v>
      </c>
      <c r="L1517" s="7">
        <v>0</v>
      </c>
      <c r="M1517" s="9"/>
      <c r="N1517" s="7">
        <v>3.2</v>
      </c>
      <c r="O1517" s="7"/>
      <c r="P1517" s="7"/>
      <c r="Q1517" t="s">
        <v>55</v>
      </c>
      <c r="R1517" s="7" t="str">
        <f>TEXT(Table1[[#This Row],[Date]],"mmm yyyy")</f>
        <v>Oct 2025</v>
      </c>
      <c r="S1517" s="9">
        <f>YEAR(Table1[[#This Row],[Date]])</f>
        <v>2025</v>
      </c>
      <c r="T1517" s="9"/>
      <c r="U1517" s="9"/>
    </row>
    <row r="1518" spans="1:21" hidden="1" x14ac:dyDescent="0.3">
      <c r="A1518" t="s">
        <v>2192</v>
      </c>
      <c r="B1518" s="6">
        <v>46115</v>
      </c>
      <c r="C1518" t="s">
        <v>26</v>
      </c>
      <c r="D1518" t="s">
        <v>33</v>
      </c>
      <c r="E1518" t="s">
        <v>48</v>
      </c>
      <c r="F1518" t="s">
        <v>971</v>
      </c>
      <c r="G1518" t="s">
        <v>30</v>
      </c>
      <c r="J1518" s="9">
        <v>0</v>
      </c>
      <c r="K1518" s="7">
        <v>0</v>
      </c>
      <c r="L1518" s="7">
        <v>0</v>
      </c>
      <c r="M1518" s="9">
        <v>1</v>
      </c>
      <c r="N1518" s="7">
        <v>11.2</v>
      </c>
      <c r="O1518" s="7">
        <v>6.3</v>
      </c>
      <c r="P1518" s="7">
        <v>4.3</v>
      </c>
      <c r="Q1518" t="s">
        <v>225</v>
      </c>
      <c r="R1518" s="7" t="str">
        <f>TEXT(Table1[[#This Row],[Date]],"mmm yyyy")</f>
        <v>Apr 2026</v>
      </c>
      <c r="S1518" s="9">
        <f>YEAR(Table1[[#This Row],[Date]])</f>
        <v>2026</v>
      </c>
      <c r="T1518" s="9"/>
      <c r="U1518" s="9"/>
    </row>
    <row r="1519" spans="1:21" hidden="1" x14ac:dyDescent="0.3">
      <c r="A1519" t="s">
        <v>2193</v>
      </c>
      <c r="B1519" s="6">
        <v>46079</v>
      </c>
      <c r="C1519" t="s">
        <v>26</v>
      </c>
      <c r="D1519" t="s">
        <v>72</v>
      </c>
      <c r="E1519" t="s">
        <v>20</v>
      </c>
      <c r="F1519" t="s">
        <v>112</v>
      </c>
      <c r="G1519" t="s">
        <v>44</v>
      </c>
      <c r="J1519" s="9">
        <v>0</v>
      </c>
      <c r="K1519" s="7">
        <v>0</v>
      </c>
      <c r="L1519" s="7">
        <v>0</v>
      </c>
      <c r="M1519" s="9">
        <v>1</v>
      </c>
      <c r="N1519" s="7">
        <v>9.6999999999999993</v>
      </c>
      <c r="O1519" s="7">
        <v>2.9</v>
      </c>
      <c r="P1519" s="7">
        <v>4</v>
      </c>
      <c r="Q1519" t="s">
        <v>39</v>
      </c>
      <c r="R1519" s="7" t="str">
        <f>TEXT(Table1[[#This Row],[Date]],"mmm yyyy")</f>
        <v>Feb 2026</v>
      </c>
      <c r="S1519" s="9">
        <f>YEAR(Table1[[#This Row],[Date]])</f>
        <v>2026</v>
      </c>
      <c r="T1519" s="9"/>
      <c r="U1519" s="9"/>
    </row>
    <row r="1520" spans="1:21" x14ac:dyDescent="0.3">
      <c r="A1520" t="s">
        <v>2194</v>
      </c>
      <c r="B1520" s="6">
        <v>46163</v>
      </c>
      <c r="C1520" t="s">
        <v>18</v>
      </c>
      <c r="D1520" t="s">
        <v>47</v>
      </c>
      <c r="E1520" t="s">
        <v>20</v>
      </c>
      <c r="F1520" t="s">
        <v>950</v>
      </c>
      <c r="G1520" t="s">
        <v>22</v>
      </c>
      <c r="H1520" t="s">
        <v>66</v>
      </c>
      <c r="I1520" t="s">
        <v>67</v>
      </c>
      <c r="J1520" s="9">
        <v>1</v>
      </c>
      <c r="K1520" s="7">
        <v>39100</v>
      </c>
      <c r="L1520" s="7">
        <v>0</v>
      </c>
      <c r="M1520" s="9"/>
      <c r="N1520" s="7">
        <v>14</v>
      </c>
      <c r="O1520" s="7"/>
      <c r="P1520" s="7"/>
      <c r="Q1520" t="s">
        <v>67</v>
      </c>
      <c r="R1520" s="7" t="str">
        <f>TEXT(Table1[[#This Row],[Date]],"mmm yyyy")</f>
        <v>May 2026</v>
      </c>
      <c r="S1520" s="9">
        <f>YEAR(Table1[[#This Row],[Date]])</f>
        <v>2026</v>
      </c>
      <c r="T1520" s="9"/>
      <c r="U1520" s="9"/>
    </row>
    <row r="1521" spans="1:21" hidden="1" x14ac:dyDescent="0.3">
      <c r="A1521" t="s">
        <v>2195</v>
      </c>
      <c r="B1521" s="6">
        <v>45969</v>
      </c>
      <c r="C1521" t="s">
        <v>26</v>
      </c>
      <c r="D1521" t="s">
        <v>27</v>
      </c>
      <c r="E1521" t="s">
        <v>37</v>
      </c>
      <c r="F1521" t="s">
        <v>112</v>
      </c>
      <c r="G1521" t="s">
        <v>30</v>
      </c>
      <c r="J1521" s="9">
        <v>0</v>
      </c>
      <c r="K1521" s="7">
        <v>0</v>
      </c>
      <c r="L1521" s="7">
        <v>0</v>
      </c>
      <c r="M1521" s="9">
        <v>1</v>
      </c>
      <c r="N1521" s="7">
        <v>3.3</v>
      </c>
      <c r="O1521" s="7">
        <v>5</v>
      </c>
      <c r="P1521" s="7">
        <v>4</v>
      </c>
      <c r="Q1521" t="s">
        <v>39</v>
      </c>
      <c r="R1521" s="7" t="str">
        <f>TEXT(Table1[[#This Row],[Date]],"mmm yyyy")</f>
        <v>Nov 2025</v>
      </c>
      <c r="S1521" s="9">
        <f>YEAR(Table1[[#This Row],[Date]])</f>
        <v>2025</v>
      </c>
      <c r="T1521" s="9"/>
      <c r="U1521" s="9"/>
    </row>
    <row r="1522" spans="1:21" x14ac:dyDescent="0.3">
      <c r="A1522" t="s">
        <v>2196</v>
      </c>
      <c r="B1522" s="6">
        <v>46167</v>
      </c>
      <c r="C1522" t="s">
        <v>18</v>
      </c>
      <c r="D1522" t="s">
        <v>52</v>
      </c>
      <c r="E1522" t="s">
        <v>48</v>
      </c>
      <c r="F1522" t="s">
        <v>270</v>
      </c>
      <c r="G1522" t="s">
        <v>30</v>
      </c>
      <c r="H1522" t="s">
        <v>66</v>
      </c>
      <c r="I1522" t="s">
        <v>55</v>
      </c>
      <c r="J1522" s="9">
        <v>1</v>
      </c>
      <c r="K1522" s="7">
        <v>26200</v>
      </c>
      <c r="L1522" s="7">
        <v>0</v>
      </c>
      <c r="M1522" s="9"/>
      <c r="N1522" s="7">
        <v>8.6</v>
      </c>
      <c r="O1522" s="7"/>
      <c r="P1522" s="7"/>
      <c r="Q1522" t="s">
        <v>55</v>
      </c>
      <c r="R1522" s="7" t="str">
        <f>TEXT(Table1[[#This Row],[Date]],"mmm yyyy")</f>
        <v>May 2026</v>
      </c>
      <c r="S1522" s="9">
        <f>YEAR(Table1[[#This Row],[Date]])</f>
        <v>2026</v>
      </c>
      <c r="T1522" s="9"/>
      <c r="U1522" s="9"/>
    </row>
    <row r="1523" spans="1:21" hidden="1" x14ac:dyDescent="0.3">
      <c r="A1523" t="s">
        <v>2197</v>
      </c>
      <c r="B1523" s="6">
        <v>46126</v>
      </c>
      <c r="C1523" t="s">
        <v>26</v>
      </c>
      <c r="D1523" t="s">
        <v>33</v>
      </c>
      <c r="E1523" t="s">
        <v>20</v>
      </c>
      <c r="F1523" t="s">
        <v>605</v>
      </c>
      <c r="G1523" t="s">
        <v>50</v>
      </c>
      <c r="J1523" s="9">
        <v>0</v>
      </c>
      <c r="K1523" s="7">
        <v>0</v>
      </c>
      <c r="L1523" s="7">
        <v>0</v>
      </c>
      <c r="M1523" s="9">
        <v>1</v>
      </c>
      <c r="N1523" s="7">
        <v>7</v>
      </c>
      <c r="O1523" s="7">
        <v>12.2</v>
      </c>
      <c r="P1523" s="7">
        <v>4.0999999999999996</v>
      </c>
      <c r="Q1523" t="s">
        <v>31</v>
      </c>
      <c r="R1523" s="7" t="str">
        <f>TEXT(Table1[[#This Row],[Date]],"mmm yyyy")</f>
        <v>Apr 2026</v>
      </c>
      <c r="S1523" s="9">
        <f>YEAR(Table1[[#This Row],[Date]])</f>
        <v>2026</v>
      </c>
      <c r="T1523" s="9"/>
      <c r="U1523" s="9"/>
    </row>
    <row r="1524" spans="1:21" x14ac:dyDescent="0.3">
      <c r="A1524" t="s">
        <v>2198</v>
      </c>
      <c r="B1524" s="6">
        <v>46145</v>
      </c>
      <c r="C1524" t="s">
        <v>18</v>
      </c>
      <c r="D1524" t="s">
        <v>117</v>
      </c>
      <c r="E1524" t="s">
        <v>20</v>
      </c>
      <c r="F1524" t="s">
        <v>1295</v>
      </c>
      <c r="G1524" t="s">
        <v>22</v>
      </c>
      <c r="H1524" t="s">
        <v>54</v>
      </c>
      <c r="I1524" t="s">
        <v>45</v>
      </c>
      <c r="J1524" s="9">
        <v>1</v>
      </c>
      <c r="K1524" s="7">
        <v>22600</v>
      </c>
      <c r="L1524" s="7">
        <v>0</v>
      </c>
      <c r="M1524" s="9"/>
      <c r="N1524" s="7">
        <v>19.3</v>
      </c>
      <c r="O1524" s="7"/>
      <c r="P1524" s="7"/>
      <c r="Q1524" t="s">
        <v>45</v>
      </c>
      <c r="R1524" s="7" t="str">
        <f>TEXT(Table1[[#This Row],[Date]],"mmm yyyy")</f>
        <v>May 2026</v>
      </c>
      <c r="S1524" s="9">
        <f>YEAR(Table1[[#This Row],[Date]])</f>
        <v>2026</v>
      </c>
      <c r="T1524" s="9"/>
      <c r="U1524" s="9"/>
    </row>
    <row r="1525" spans="1:21" x14ac:dyDescent="0.3">
      <c r="A1525" t="s">
        <v>2199</v>
      </c>
      <c r="B1525" s="6">
        <v>45996</v>
      </c>
      <c r="C1525" t="s">
        <v>18</v>
      </c>
      <c r="D1525" t="s">
        <v>19</v>
      </c>
      <c r="E1525" t="s">
        <v>28</v>
      </c>
      <c r="F1525" t="s">
        <v>600</v>
      </c>
      <c r="G1525" t="s">
        <v>50</v>
      </c>
      <c r="H1525" t="s">
        <v>78</v>
      </c>
      <c r="I1525" t="s">
        <v>67</v>
      </c>
      <c r="J1525" s="9">
        <v>1</v>
      </c>
      <c r="K1525" s="7">
        <v>17400</v>
      </c>
      <c r="L1525" s="7">
        <v>0</v>
      </c>
      <c r="M1525" s="9"/>
      <c r="N1525" s="7">
        <v>3.2</v>
      </c>
      <c r="O1525" s="7"/>
      <c r="P1525" s="7"/>
      <c r="Q1525" t="s">
        <v>67</v>
      </c>
      <c r="R1525" s="7" t="str">
        <f>TEXT(Table1[[#This Row],[Date]],"mmm yyyy")</f>
        <v>Dec 2025</v>
      </c>
      <c r="S1525" s="9">
        <f>YEAR(Table1[[#This Row],[Date]])</f>
        <v>2025</v>
      </c>
      <c r="T1525" s="9"/>
      <c r="U1525" s="9"/>
    </row>
    <row r="1526" spans="1:21" x14ac:dyDescent="0.3">
      <c r="A1526" t="s">
        <v>2200</v>
      </c>
      <c r="B1526" s="6">
        <v>46036</v>
      </c>
      <c r="C1526" t="s">
        <v>18</v>
      </c>
      <c r="D1526" t="s">
        <v>105</v>
      </c>
      <c r="E1526" t="s">
        <v>42</v>
      </c>
      <c r="F1526" t="s">
        <v>796</v>
      </c>
      <c r="G1526" t="s">
        <v>44</v>
      </c>
      <c r="H1526" t="s">
        <v>66</v>
      </c>
      <c r="I1526" t="s">
        <v>67</v>
      </c>
      <c r="J1526" s="9">
        <v>1</v>
      </c>
      <c r="K1526" s="7">
        <v>59500</v>
      </c>
      <c r="L1526" s="7">
        <v>0</v>
      </c>
      <c r="M1526" s="9"/>
      <c r="N1526" s="7">
        <v>10.1</v>
      </c>
      <c r="O1526" s="7"/>
      <c r="P1526" s="7"/>
      <c r="Q1526" t="s">
        <v>67</v>
      </c>
      <c r="R1526" s="7" t="str">
        <f>TEXT(Table1[[#This Row],[Date]],"mmm yyyy")</f>
        <v>Jan 2026</v>
      </c>
      <c r="S1526" s="9">
        <f>YEAR(Table1[[#This Row],[Date]])</f>
        <v>2026</v>
      </c>
      <c r="T1526" s="9"/>
      <c r="U1526" s="9"/>
    </row>
    <row r="1527" spans="1:21" x14ac:dyDescent="0.3">
      <c r="A1527" t="s">
        <v>2201</v>
      </c>
      <c r="B1527" s="6">
        <v>45956</v>
      </c>
      <c r="C1527" t="s">
        <v>18</v>
      </c>
      <c r="D1527" t="s">
        <v>64</v>
      </c>
      <c r="E1527" t="s">
        <v>48</v>
      </c>
      <c r="F1527" t="s">
        <v>1074</v>
      </c>
      <c r="G1527" t="s">
        <v>44</v>
      </c>
      <c r="H1527" t="s">
        <v>78</v>
      </c>
      <c r="I1527" t="s">
        <v>67</v>
      </c>
      <c r="J1527" s="9">
        <v>1</v>
      </c>
      <c r="K1527" s="7">
        <v>67800</v>
      </c>
      <c r="L1527" s="7">
        <v>0</v>
      </c>
      <c r="M1527" s="9"/>
      <c r="N1527" s="7">
        <v>1.1000000000000001</v>
      </c>
      <c r="O1527" s="7"/>
      <c r="P1527" s="7"/>
      <c r="Q1527" t="s">
        <v>67</v>
      </c>
      <c r="R1527" s="7" t="str">
        <f>TEXT(Table1[[#This Row],[Date]],"mmm yyyy")</f>
        <v>Oct 2025</v>
      </c>
      <c r="S1527" s="9">
        <f>YEAR(Table1[[#This Row],[Date]])</f>
        <v>2025</v>
      </c>
      <c r="T1527" s="9"/>
      <c r="U1527" s="9"/>
    </row>
    <row r="1528" spans="1:21" x14ac:dyDescent="0.3">
      <c r="A1528" t="s">
        <v>2202</v>
      </c>
      <c r="B1528" s="6">
        <v>46075</v>
      </c>
      <c r="C1528" t="s">
        <v>18</v>
      </c>
      <c r="D1528" t="s">
        <v>19</v>
      </c>
      <c r="E1528" t="s">
        <v>37</v>
      </c>
      <c r="F1528" t="s">
        <v>796</v>
      </c>
      <c r="G1528" t="s">
        <v>30</v>
      </c>
      <c r="H1528" t="s">
        <v>54</v>
      </c>
      <c r="I1528" t="s">
        <v>79</v>
      </c>
      <c r="J1528" s="9">
        <v>1</v>
      </c>
      <c r="K1528" s="7">
        <v>38200</v>
      </c>
      <c r="L1528" s="7">
        <v>0</v>
      </c>
      <c r="M1528" s="9"/>
      <c r="N1528" s="7">
        <v>12.4</v>
      </c>
      <c r="O1528" s="7"/>
      <c r="P1528" s="7"/>
      <c r="Q1528" t="s">
        <v>79</v>
      </c>
      <c r="R1528" s="7" t="str">
        <f>TEXT(Table1[[#This Row],[Date]],"mmm yyyy")</f>
        <v>Feb 2026</v>
      </c>
      <c r="S1528" s="9">
        <f>YEAR(Table1[[#This Row],[Date]])</f>
        <v>2026</v>
      </c>
      <c r="T1528" s="9"/>
      <c r="U1528" s="9"/>
    </row>
    <row r="1529" spans="1:21" x14ac:dyDescent="0.3">
      <c r="A1529" t="s">
        <v>2203</v>
      </c>
      <c r="B1529" s="6">
        <v>46234</v>
      </c>
      <c r="C1529" t="s">
        <v>18</v>
      </c>
      <c r="D1529" t="s">
        <v>95</v>
      </c>
      <c r="E1529" t="s">
        <v>42</v>
      </c>
      <c r="F1529" t="s">
        <v>1920</v>
      </c>
      <c r="G1529" t="s">
        <v>50</v>
      </c>
      <c r="H1529" t="s">
        <v>86</v>
      </c>
      <c r="I1529" t="s">
        <v>45</v>
      </c>
      <c r="J1529" s="9">
        <v>1</v>
      </c>
      <c r="K1529" s="7">
        <v>56600</v>
      </c>
      <c r="L1529" s="7">
        <v>0</v>
      </c>
      <c r="M1529" s="9"/>
      <c r="N1529" s="7">
        <v>17.899999999999999</v>
      </c>
      <c r="O1529" s="7"/>
      <c r="P1529" s="7"/>
      <c r="Q1529" t="s">
        <v>45</v>
      </c>
      <c r="R1529" s="7" t="str">
        <f>TEXT(Table1[[#This Row],[Date]],"mmm yyyy")</f>
        <v>Jul 2026</v>
      </c>
      <c r="S1529" s="9">
        <f>YEAR(Table1[[#This Row],[Date]])</f>
        <v>2026</v>
      </c>
      <c r="T1529" s="9"/>
      <c r="U1529" s="9"/>
    </row>
    <row r="1530" spans="1:21" hidden="1" x14ac:dyDescent="0.3">
      <c r="A1530" t="s">
        <v>2204</v>
      </c>
      <c r="B1530" s="6">
        <v>45928</v>
      </c>
      <c r="C1530" t="s">
        <v>26</v>
      </c>
      <c r="D1530" t="s">
        <v>69</v>
      </c>
      <c r="E1530" t="s">
        <v>37</v>
      </c>
      <c r="F1530" t="s">
        <v>495</v>
      </c>
      <c r="G1530" t="s">
        <v>50</v>
      </c>
      <c r="J1530" s="9">
        <v>0</v>
      </c>
      <c r="K1530" s="7">
        <v>0</v>
      </c>
      <c r="L1530" s="7">
        <v>0</v>
      </c>
      <c r="M1530" s="9">
        <v>1</v>
      </c>
      <c r="N1530" s="7">
        <v>11.5</v>
      </c>
      <c r="O1530" s="7">
        <v>7.8</v>
      </c>
      <c r="P1530" s="7">
        <v>4.0999999999999996</v>
      </c>
      <c r="Q1530" t="s">
        <v>39</v>
      </c>
      <c r="R1530" s="7" t="str">
        <f>TEXT(Table1[[#This Row],[Date]],"mmm yyyy")</f>
        <v>Sep 2025</v>
      </c>
      <c r="S1530" s="9">
        <f>YEAR(Table1[[#This Row],[Date]])</f>
        <v>2025</v>
      </c>
      <c r="T1530" s="9"/>
      <c r="U1530" s="9"/>
    </row>
    <row r="1531" spans="1:21" x14ac:dyDescent="0.3">
      <c r="A1531" t="s">
        <v>2205</v>
      </c>
      <c r="B1531" s="6">
        <v>46100</v>
      </c>
      <c r="C1531" t="s">
        <v>18</v>
      </c>
      <c r="D1531" t="s">
        <v>52</v>
      </c>
      <c r="E1531" t="s">
        <v>20</v>
      </c>
      <c r="F1531" t="s">
        <v>1511</v>
      </c>
      <c r="G1531" t="s">
        <v>30</v>
      </c>
      <c r="H1531" t="s">
        <v>78</v>
      </c>
      <c r="I1531" t="s">
        <v>89</v>
      </c>
      <c r="J1531" s="9">
        <v>1</v>
      </c>
      <c r="K1531" s="7">
        <v>28200</v>
      </c>
      <c r="L1531" s="7">
        <v>0</v>
      </c>
      <c r="M1531" s="9"/>
      <c r="N1531" s="7">
        <v>11.2</v>
      </c>
      <c r="O1531" s="7"/>
      <c r="P1531" s="7"/>
      <c r="Q1531" t="s">
        <v>89</v>
      </c>
      <c r="R1531" s="7" t="str">
        <f>TEXT(Table1[[#This Row],[Date]],"mmm yyyy")</f>
        <v>Mar 2026</v>
      </c>
      <c r="S1531" s="9">
        <f>YEAR(Table1[[#This Row],[Date]])</f>
        <v>2026</v>
      </c>
      <c r="T1531" s="9"/>
      <c r="U1531" s="9"/>
    </row>
    <row r="1532" spans="1:21" x14ac:dyDescent="0.3">
      <c r="A1532" t="s">
        <v>2206</v>
      </c>
      <c r="B1532" s="6">
        <v>46088</v>
      </c>
      <c r="C1532" t="s">
        <v>18</v>
      </c>
      <c r="D1532" t="s">
        <v>19</v>
      </c>
      <c r="E1532" t="s">
        <v>48</v>
      </c>
      <c r="F1532" t="s">
        <v>262</v>
      </c>
      <c r="G1532" t="s">
        <v>44</v>
      </c>
      <c r="H1532" t="s">
        <v>23</v>
      </c>
      <c r="I1532" t="s">
        <v>89</v>
      </c>
      <c r="J1532" s="9">
        <v>1</v>
      </c>
      <c r="K1532" s="7">
        <v>16700</v>
      </c>
      <c r="L1532" s="7">
        <v>0</v>
      </c>
      <c r="M1532" s="9"/>
      <c r="N1532" s="7">
        <v>17.7</v>
      </c>
      <c r="O1532" s="7"/>
      <c r="P1532" s="7"/>
      <c r="Q1532" t="s">
        <v>89</v>
      </c>
      <c r="R1532" s="7" t="str">
        <f>TEXT(Table1[[#This Row],[Date]],"mmm yyyy")</f>
        <v>Mar 2026</v>
      </c>
      <c r="S1532" s="9">
        <f>YEAR(Table1[[#This Row],[Date]])</f>
        <v>2026</v>
      </c>
      <c r="T1532" s="9"/>
      <c r="U1532" s="9"/>
    </row>
    <row r="1533" spans="1:21" hidden="1" x14ac:dyDescent="0.3">
      <c r="A1533" t="s">
        <v>2207</v>
      </c>
      <c r="B1533" s="6">
        <v>46021</v>
      </c>
      <c r="C1533" t="s">
        <v>26</v>
      </c>
      <c r="D1533" t="s">
        <v>27</v>
      </c>
      <c r="E1533" t="s">
        <v>20</v>
      </c>
      <c r="F1533" t="s">
        <v>268</v>
      </c>
      <c r="G1533" t="s">
        <v>22</v>
      </c>
      <c r="J1533" s="9">
        <v>0</v>
      </c>
      <c r="K1533" s="7">
        <v>0</v>
      </c>
      <c r="L1533" s="7">
        <v>0</v>
      </c>
      <c r="M1533" s="9">
        <v>1</v>
      </c>
      <c r="N1533" s="7">
        <v>6.7</v>
      </c>
      <c r="O1533" s="7">
        <v>12.8</v>
      </c>
      <c r="P1533" s="7">
        <v>3.2</v>
      </c>
      <c r="Q1533" t="s">
        <v>225</v>
      </c>
      <c r="R1533" s="7" t="str">
        <f>TEXT(Table1[[#This Row],[Date]],"mmm yyyy")</f>
        <v>Dec 2025</v>
      </c>
      <c r="S1533" s="9">
        <f>YEAR(Table1[[#This Row],[Date]])</f>
        <v>2025</v>
      </c>
      <c r="T1533" s="9"/>
      <c r="U1533" s="9"/>
    </row>
    <row r="1534" spans="1:21" hidden="1" x14ac:dyDescent="0.3">
      <c r="A1534" t="s">
        <v>2208</v>
      </c>
      <c r="B1534" s="6">
        <v>45916</v>
      </c>
      <c r="C1534" t="s">
        <v>26</v>
      </c>
      <c r="D1534" t="s">
        <v>126</v>
      </c>
      <c r="E1534" t="s">
        <v>37</v>
      </c>
      <c r="F1534" t="s">
        <v>1085</v>
      </c>
      <c r="G1534" t="s">
        <v>22</v>
      </c>
      <c r="J1534" s="9">
        <v>0</v>
      </c>
      <c r="K1534" s="7">
        <v>0</v>
      </c>
      <c r="L1534" s="7">
        <v>0</v>
      </c>
      <c r="M1534" s="9">
        <v>1</v>
      </c>
      <c r="N1534" s="7">
        <v>0.8</v>
      </c>
      <c r="O1534" s="7">
        <v>6.2</v>
      </c>
      <c r="P1534" s="7">
        <v>3.7</v>
      </c>
      <c r="Q1534" t="s">
        <v>31</v>
      </c>
      <c r="R1534" s="7" t="str">
        <f>TEXT(Table1[[#This Row],[Date]],"mmm yyyy")</f>
        <v>Sep 2025</v>
      </c>
      <c r="S1534" s="9">
        <f>YEAR(Table1[[#This Row],[Date]])</f>
        <v>2025</v>
      </c>
      <c r="T1534" s="9"/>
      <c r="U1534" s="9"/>
    </row>
    <row r="1535" spans="1:21" x14ac:dyDescent="0.3">
      <c r="A1535" t="s">
        <v>2209</v>
      </c>
      <c r="B1535" s="6">
        <v>46056</v>
      </c>
      <c r="C1535" t="s">
        <v>18</v>
      </c>
      <c r="D1535" t="s">
        <v>95</v>
      </c>
      <c r="E1535" t="s">
        <v>48</v>
      </c>
      <c r="F1535" t="s">
        <v>2210</v>
      </c>
      <c r="G1535" t="s">
        <v>44</v>
      </c>
      <c r="H1535" t="s">
        <v>86</v>
      </c>
      <c r="I1535" t="s">
        <v>24</v>
      </c>
      <c r="J1535" s="9">
        <v>1</v>
      </c>
      <c r="K1535" s="7">
        <v>33200</v>
      </c>
      <c r="L1535" s="7">
        <v>33200</v>
      </c>
      <c r="M1535" s="9"/>
      <c r="N1535" s="7">
        <v>5.5</v>
      </c>
      <c r="O1535" s="7"/>
      <c r="P1535" s="7"/>
      <c r="Q1535" t="s">
        <v>24</v>
      </c>
      <c r="R1535" s="7" t="str">
        <f>TEXT(Table1[[#This Row],[Date]],"mmm yyyy")</f>
        <v>Feb 2026</v>
      </c>
      <c r="S1535" s="9">
        <f>YEAR(Table1[[#This Row],[Date]])</f>
        <v>2026</v>
      </c>
      <c r="T1535" s="9"/>
      <c r="U1535" s="9"/>
    </row>
    <row r="1536" spans="1:21" x14ac:dyDescent="0.3">
      <c r="A1536" t="s">
        <v>2211</v>
      </c>
      <c r="B1536" s="6">
        <v>46054</v>
      </c>
      <c r="C1536" t="s">
        <v>18</v>
      </c>
      <c r="D1536" t="s">
        <v>19</v>
      </c>
      <c r="E1536" t="s">
        <v>48</v>
      </c>
      <c r="F1536" t="s">
        <v>799</v>
      </c>
      <c r="G1536" t="s">
        <v>44</v>
      </c>
      <c r="H1536" t="s">
        <v>54</v>
      </c>
      <c r="I1536" t="s">
        <v>45</v>
      </c>
      <c r="J1536" s="9">
        <v>1</v>
      </c>
      <c r="K1536" s="7">
        <v>61800</v>
      </c>
      <c r="L1536" s="7">
        <v>0</v>
      </c>
      <c r="M1536" s="9"/>
      <c r="N1536" s="7">
        <v>10.6</v>
      </c>
      <c r="O1536" s="7"/>
      <c r="P1536" s="7"/>
      <c r="Q1536" t="s">
        <v>45</v>
      </c>
      <c r="R1536" s="7" t="str">
        <f>TEXT(Table1[[#This Row],[Date]],"mmm yyyy")</f>
        <v>Feb 2026</v>
      </c>
      <c r="S1536" s="9">
        <f>YEAR(Table1[[#This Row],[Date]])</f>
        <v>2026</v>
      </c>
      <c r="T1536" s="9"/>
      <c r="U1536" s="9"/>
    </row>
    <row r="1537" spans="1:21" x14ac:dyDescent="0.3">
      <c r="A1537" t="s">
        <v>2212</v>
      </c>
      <c r="B1537" s="6">
        <v>45975</v>
      </c>
      <c r="C1537" t="s">
        <v>18</v>
      </c>
      <c r="D1537" t="s">
        <v>64</v>
      </c>
      <c r="E1537" t="s">
        <v>42</v>
      </c>
      <c r="F1537" t="s">
        <v>2213</v>
      </c>
      <c r="G1537" t="s">
        <v>50</v>
      </c>
      <c r="H1537" t="s">
        <v>54</v>
      </c>
      <c r="I1537" t="s">
        <v>24</v>
      </c>
      <c r="J1537" s="9">
        <v>1</v>
      </c>
      <c r="K1537" s="7">
        <v>23500</v>
      </c>
      <c r="L1537" s="7">
        <v>23500</v>
      </c>
      <c r="M1537" s="9"/>
      <c r="N1537" s="7">
        <v>15.7</v>
      </c>
      <c r="O1537" s="7"/>
      <c r="P1537" s="7"/>
      <c r="Q1537" t="s">
        <v>24</v>
      </c>
      <c r="R1537" s="7" t="str">
        <f>TEXT(Table1[[#This Row],[Date]],"mmm yyyy")</f>
        <v>Nov 2025</v>
      </c>
      <c r="S1537" s="9">
        <f>YEAR(Table1[[#This Row],[Date]])</f>
        <v>2025</v>
      </c>
      <c r="T1537" s="9"/>
      <c r="U1537" s="9"/>
    </row>
    <row r="1538" spans="1:21" x14ac:dyDescent="0.3">
      <c r="A1538" t="s">
        <v>2214</v>
      </c>
      <c r="B1538" s="6">
        <v>46163</v>
      </c>
      <c r="C1538" t="s">
        <v>18</v>
      </c>
      <c r="D1538" t="s">
        <v>19</v>
      </c>
      <c r="E1538" t="s">
        <v>48</v>
      </c>
      <c r="F1538" t="s">
        <v>1541</v>
      </c>
      <c r="G1538" t="s">
        <v>22</v>
      </c>
      <c r="H1538" t="s">
        <v>86</v>
      </c>
      <c r="I1538" t="s">
        <v>89</v>
      </c>
      <c r="J1538" s="9">
        <v>1</v>
      </c>
      <c r="K1538" s="7">
        <v>13200</v>
      </c>
      <c r="L1538" s="7">
        <v>0</v>
      </c>
      <c r="M1538" s="9"/>
      <c r="N1538" s="7">
        <v>17.3</v>
      </c>
      <c r="O1538" s="7"/>
      <c r="P1538" s="7"/>
      <c r="Q1538" t="s">
        <v>89</v>
      </c>
      <c r="R1538" s="7" t="str">
        <f>TEXT(Table1[[#This Row],[Date]],"mmm yyyy")</f>
        <v>May 2026</v>
      </c>
      <c r="S1538" s="9">
        <f>YEAR(Table1[[#This Row],[Date]])</f>
        <v>2026</v>
      </c>
      <c r="T1538" s="9"/>
      <c r="U1538" s="9"/>
    </row>
    <row r="1539" spans="1:21" hidden="1" x14ac:dyDescent="0.3">
      <c r="A1539" t="s">
        <v>2215</v>
      </c>
      <c r="B1539" s="6">
        <v>46220</v>
      </c>
      <c r="C1539" t="s">
        <v>26</v>
      </c>
      <c r="D1539" t="s">
        <v>33</v>
      </c>
      <c r="E1539" t="s">
        <v>37</v>
      </c>
      <c r="F1539" t="s">
        <v>91</v>
      </c>
      <c r="G1539" t="s">
        <v>30</v>
      </c>
      <c r="J1539" s="9">
        <v>0</v>
      </c>
      <c r="K1539" s="7">
        <v>0</v>
      </c>
      <c r="L1539" s="7">
        <v>0</v>
      </c>
      <c r="M1539" s="9">
        <v>1</v>
      </c>
      <c r="N1539" s="7">
        <v>10.4</v>
      </c>
      <c r="O1539" s="7">
        <v>27.1</v>
      </c>
      <c r="P1539" s="7">
        <v>4.2</v>
      </c>
      <c r="Q1539" t="s">
        <v>62</v>
      </c>
      <c r="R1539" s="7" t="str">
        <f>TEXT(Table1[[#This Row],[Date]],"mmm yyyy")</f>
        <v>Jul 2026</v>
      </c>
      <c r="S1539" s="9">
        <f>YEAR(Table1[[#This Row],[Date]])</f>
        <v>2026</v>
      </c>
      <c r="T1539" s="9"/>
      <c r="U1539" s="9"/>
    </row>
    <row r="1540" spans="1:21" x14ac:dyDescent="0.3">
      <c r="A1540" t="s">
        <v>2216</v>
      </c>
      <c r="B1540" s="6">
        <v>46109</v>
      </c>
      <c r="C1540" t="s">
        <v>18</v>
      </c>
      <c r="D1540" t="s">
        <v>117</v>
      </c>
      <c r="E1540" t="s">
        <v>20</v>
      </c>
      <c r="F1540" t="s">
        <v>502</v>
      </c>
      <c r="G1540" t="s">
        <v>44</v>
      </c>
      <c r="H1540" t="s">
        <v>23</v>
      </c>
      <c r="I1540" t="s">
        <v>24</v>
      </c>
      <c r="J1540" s="9">
        <v>1</v>
      </c>
      <c r="K1540" s="7">
        <v>22800</v>
      </c>
      <c r="L1540" s="7">
        <v>22800</v>
      </c>
      <c r="M1540" s="9"/>
      <c r="N1540" s="7">
        <v>1.5</v>
      </c>
      <c r="O1540" s="7"/>
      <c r="P1540" s="7"/>
      <c r="Q1540" t="s">
        <v>24</v>
      </c>
      <c r="R1540" s="7" t="str">
        <f>TEXT(Table1[[#This Row],[Date]],"mmm yyyy")</f>
        <v>Mar 2026</v>
      </c>
      <c r="S1540" s="9">
        <f>YEAR(Table1[[#This Row],[Date]])</f>
        <v>2026</v>
      </c>
      <c r="T1540" s="9"/>
      <c r="U1540" s="9"/>
    </row>
    <row r="1541" spans="1:21" x14ac:dyDescent="0.3">
      <c r="A1541" t="s">
        <v>2217</v>
      </c>
      <c r="B1541" s="6">
        <v>46142</v>
      </c>
      <c r="C1541" t="s">
        <v>18</v>
      </c>
      <c r="D1541" t="s">
        <v>64</v>
      </c>
      <c r="E1541" t="s">
        <v>37</v>
      </c>
      <c r="F1541" t="s">
        <v>587</v>
      </c>
      <c r="G1541" t="s">
        <v>22</v>
      </c>
      <c r="H1541" t="s">
        <v>86</v>
      </c>
      <c r="I1541" t="s">
        <v>67</v>
      </c>
      <c r="J1541" s="9">
        <v>1</v>
      </c>
      <c r="K1541" s="7">
        <v>15300</v>
      </c>
      <c r="L1541" s="7">
        <v>0</v>
      </c>
      <c r="M1541" s="9"/>
      <c r="N1541" s="7">
        <v>21.3</v>
      </c>
      <c r="O1541" s="7"/>
      <c r="P1541" s="7"/>
      <c r="Q1541" t="s">
        <v>67</v>
      </c>
      <c r="R1541" s="7" t="str">
        <f>TEXT(Table1[[#This Row],[Date]],"mmm yyyy")</f>
        <v>Apr 2026</v>
      </c>
      <c r="S1541" s="9">
        <f>YEAR(Table1[[#This Row],[Date]])</f>
        <v>2026</v>
      </c>
      <c r="T1541" s="9"/>
      <c r="U1541" s="9"/>
    </row>
    <row r="1542" spans="1:21" hidden="1" x14ac:dyDescent="0.3">
      <c r="A1542" t="s">
        <v>2218</v>
      </c>
      <c r="B1542" s="6">
        <v>46196</v>
      </c>
      <c r="C1542" t="s">
        <v>26</v>
      </c>
      <c r="D1542" t="s">
        <v>27</v>
      </c>
      <c r="E1542" t="s">
        <v>48</v>
      </c>
      <c r="F1542" t="s">
        <v>531</v>
      </c>
      <c r="G1542" t="s">
        <v>50</v>
      </c>
      <c r="J1542" s="9">
        <v>0</v>
      </c>
      <c r="K1542" s="7">
        <v>0</v>
      </c>
      <c r="L1542" s="7">
        <v>0</v>
      </c>
      <c r="M1542" s="9">
        <v>1</v>
      </c>
      <c r="N1542" s="7">
        <v>8.3000000000000007</v>
      </c>
      <c r="O1542" s="7">
        <v>9.3000000000000007</v>
      </c>
      <c r="P1542" s="7">
        <v>3.9</v>
      </c>
      <c r="Q1542" t="s">
        <v>39</v>
      </c>
      <c r="R1542" s="7" t="str">
        <f>TEXT(Table1[[#This Row],[Date]],"mmm yyyy")</f>
        <v>Jun 2026</v>
      </c>
      <c r="S1542" s="9">
        <f>YEAR(Table1[[#This Row],[Date]])</f>
        <v>2026</v>
      </c>
      <c r="T1542" s="9"/>
      <c r="U1542" s="9"/>
    </row>
    <row r="1543" spans="1:21" x14ac:dyDescent="0.3">
      <c r="A1543" t="s">
        <v>2219</v>
      </c>
      <c r="B1543" s="6">
        <v>46182</v>
      </c>
      <c r="C1543" t="s">
        <v>18</v>
      </c>
      <c r="D1543" t="s">
        <v>105</v>
      </c>
      <c r="E1543" t="s">
        <v>28</v>
      </c>
      <c r="F1543" t="s">
        <v>21</v>
      </c>
      <c r="G1543" t="s">
        <v>50</v>
      </c>
      <c r="H1543" t="s">
        <v>23</v>
      </c>
      <c r="I1543" t="s">
        <v>79</v>
      </c>
      <c r="J1543" s="9">
        <v>1</v>
      </c>
      <c r="K1543" s="7">
        <v>8100</v>
      </c>
      <c r="L1543" s="7">
        <v>0</v>
      </c>
      <c r="M1543" s="9"/>
      <c r="N1543" s="7">
        <v>16.600000000000001</v>
      </c>
      <c r="O1543" s="7"/>
      <c r="P1543" s="7"/>
      <c r="Q1543" t="s">
        <v>79</v>
      </c>
      <c r="R1543" s="7" t="str">
        <f>TEXT(Table1[[#This Row],[Date]],"mmm yyyy")</f>
        <v>Jun 2026</v>
      </c>
      <c r="S1543" s="9">
        <f>YEAR(Table1[[#This Row],[Date]])</f>
        <v>2026</v>
      </c>
      <c r="T1543" s="9"/>
      <c r="U1543" s="9"/>
    </row>
    <row r="1544" spans="1:21" hidden="1" x14ac:dyDescent="0.3">
      <c r="A1544" t="s">
        <v>2220</v>
      </c>
      <c r="B1544" s="6">
        <v>45913</v>
      </c>
      <c r="C1544" t="s">
        <v>26</v>
      </c>
      <c r="D1544" t="s">
        <v>69</v>
      </c>
      <c r="E1544" t="s">
        <v>20</v>
      </c>
      <c r="F1544" t="s">
        <v>669</v>
      </c>
      <c r="G1544" t="s">
        <v>22</v>
      </c>
      <c r="J1544" s="9">
        <v>0</v>
      </c>
      <c r="K1544" s="7">
        <v>0</v>
      </c>
      <c r="L1544" s="7">
        <v>0</v>
      </c>
      <c r="M1544" s="9">
        <v>1</v>
      </c>
      <c r="N1544" s="7">
        <v>4</v>
      </c>
      <c r="O1544" s="7">
        <v>2.4</v>
      </c>
      <c r="P1544" s="7">
        <v>5</v>
      </c>
      <c r="Q1544" t="s">
        <v>31</v>
      </c>
      <c r="R1544" s="7" t="str">
        <f>TEXT(Table1[[#This Row],[Date]],"mmm yyyy")</f>
        <v>Sep 2025</v>
      </c>
      <c r="S1544" s="9">
        <f>YEAR(Table1[[#This Row],[Date]])</f>
        <v>2025</v>
      </c>
      <c r="T1544" s="9"/>
      <c r="U1544" s="9"/>
    </row>
    <row r="1545" spans="1:21" x14ac:dyDescent="0.3">
      <c r="A1545" t="s">
        <v>2221</v>
      </c>
      <c r="B1545" s="6">
        <v>46216</v>
      </c>
      <c r="C1545" t="s">
        <v>18</v>
      </c>
      <c r="D1545" t="s">
        <v>41</v>
      </c>
      <c r="E1545" t="s">
        <v>20</v>
      </c>
      <c r="F1545" t="s">
        <v>1311</v>
      </c>
      <c r="G1545" t="s">
        <v>44</v>
      </c>
      <c r="H1545" t="s">
        <v>23</v>
      </c>
      <c r="I1545" t="s">
        <v>24</v>
      </c>
      <c r="J1545" s="9">
        <v>1</v>
      </c>
      <c r="K1545" s="7">
        <v>30200</v>
      </c>
      <c r="L1545" s="7">
        <v>30200</v>
      </c>
      <c r="M1545" s="9"/>
      <c r="N1545" s="7">
        <v>1.3</v>
      </c>
      <c r="O1545" s="7"/>
      <c r="P1545" s="7"/>
      <c r="Q1545" t="s">
        <v>24</v>
      </c>
      <c r="R1545" s="7" t="str">
        <f>TEXT(Table1[[#This Row],[Date]],"mmm yyyy")</f>
        <v>Jul 2026</v>
      </c>
      <c r="S1545" s="9">
        <f>YEAR(Table1[[#This Row],[Date]])</f>
        <v>2026</v>
      </c>
      <c r="T1545" s="9"/>
      <c r="U1545" s="9"/>
    </row>
    <row r="1546" spans="1:21" hidden="1" x14ac:dyDescent="0.3">
      <c r="A1546" t="s">
        <v>2222</v>
      </c>
      <c r="B1546" s="6">
        <v>46240</v>
      </c>
      <c r="C1546" t="s">
        <v>26</v>
      </c>
      <c r="D1546" t="s">
        <v>72</v>
      </c>
      <c r="E1546" t="s">
        <v>42</v>
      </c>
      <c r="F1546" t="s">
        <v>1273</v>
      </c>
      <c r="G1546" t="s">
        <v>50</v>
      </c>
      <c r="J1546" s="9">
        <v>0</v>
      </c>
      <c r="K1546" s="7">
        <v>0</v>
      </c>
      <c r="L1546" s="7">
        <v>0</v>
      </c>
      <c r="M1546" s="9">
        <v>1</v>
      </c>
      <c r="N1546" s="7">
        <v>4</v>
      </c>
      <c r="O1546" s="7">
        <v>4.7</v>
      </c>
      <c r="P1546" s="7">
        <v>1.8</v>
      </c>
      <c r="Q1546" t="s">
        <v>225</v>
      </c>
      <c r="R1546" s="7" t="str">
        <f>TEXT(Table1[[#This Row],[Date]],"mmm yyyy")</f>
        <v>Aug 2026</v>
      </c>
      <c r="S1546" s="9">
        <f>YEAR(Table1[[#This Row],[Date]])</f>
        <v>2026</v>
      </c>
      <c r="T1546" s="9"/>
      <c r="U1546" s="9"/>
    </row>
    <row r="1547" spans="1:21" x14ac:dyDescent="0.3">
      <c r="A1547" t="s">
        <v>2223</v>
      </c>
      <c r="B1547" s="6">
        <v>46112</v>
      </c>
      <c r="C1547" t="s">
        <v>18</v>
      </c>
      <c r="D1547" t="s">
        <v>95</v>
      </c>
      <c r="E1547" t="s">
        <v>37</v>
      </c>
      <c r="F1547" t="s">
        <v>874</v>
      </c>
      <c r="G1547" t="s">
        <v>50</v>
      </c>
      <c r="H1547" t="s">
        <v>86</v>
      </c>
      <c r="I1547" t="s">
        <v>79</v>
      </c>
      <c r="J1547" s="9">
        <v>1</v>
      </c>
      <c r="K1547" s="7">
        <v>39600</v>
      </c>
      <c r="L1547" s="7">
        <v>0</v>
      </c>
      <c r="M1547" s="9"/>
      <c r="N1547" s="7">
        <v>13.1</v>
      </c>
      <c r="O1547" s="7"/>
      <c r="P1547" s="7"/>
      <c r="Q1547" t="s">
        <v>79</v>
      </c>
      <c r="R1547" s="7" t="str">
        <f>TEXT(Table1[[#This Row],[Date]],"mmm yyyy")</f>
        <v>Mar 2026</v>
      </c>
      <c r="S1547" s="9">
        <f>YEAR(Table1[[#This Row],[Date]])</f>
        <v>2026</v>
      </c>
      <c r="T1547" s="9"/>
      <c r="U1547" s="9"/>
    </row>
    <row r="1548" spans="1:21" hidden="1" x14ac:dyDescent="0.3">
      <c r="A1548" t="s">
        <v>2224</v>
      </c>
      <c r="B1548" s="6">
        <v>45978</v>
      </c>
      <c r="C1548" t="s">
        <v>26</v>
      </c>
      <c r="D1548" t="s">
        <v>126</v>
      </c>
      <c r="E1548" t="s">
        <v>48</v>
      </c>
      <c r="F1548" t="s">
        <v>270</v>
      </c>
      <c r="G1548" t="s">
        <v>22</v>
      </c>
      <c r="J1548" s="9">
        <v>0</v>
      </c>
      <c r="K1548" s="7">
        <v>0</v>
      </c>
      <c r="L1548" s="7">
        <v>0</v>
      </c>
      <c r="M1548" s="9">
        <v>1</v>
      </c>
      <c r="N1548" s="7">
        <v>3.1</v>
      </c>
      <c r="O1548" s="7">
        <v>14.6</v>
      </c>
      <c r="P1548" s="7">
        <v>5</v>
      </c>
      <c r="Q1548" t="s">
        <v>31</v>
      </c>
      <c r="R1548" s="7" t="str">
        <f>TEXT(Table1[[#This Row],[Date]],"mmm yyyy")</f>
        <v>Nov 2025</v>
      </c>
      <c r="S1548" s="9">
        <f>YEAR(Table1[[#This Row],[Date]])</f>
        <v>2025</v>
      </c>
      <c r="T1548" s="9"/>
      <c r="U1548" s="9"/>
    </row>
    <row r="1549" spans="1:21" hidden="1" x14ac:dyDescent="0.3">
      <c r="A1549" t="s">
        <v>2225</v>
      </c>
      <c r="B1549" s="6">
        <v>45978</v>
      </c>
      <c r="C1549" t="s">
        <v>26</v>
      </c>
      <c r="D1549" t="s">
        <v>69</v>
      </c>
      <c r="E1549" t="s">
        <v>20</v>
      </c>
      <c r="F1549" t="s">
        <v>1511</v>
      </c>
      <c r="G1549" t="s">
        <v>50</v>
      </c>
      <c r="J1549" s="9">
        <v>0</v>
      </c>
      <c r="K1549" s="7">
        <v>0</v>
      </c>
      <c r="L1549" s="7">
        <v>0</v>
      </c>
      <c r="M1549" s="9">
        <v>1</v>
      </c>
      <c r="N1549" s="7">
        <v>9.3000000000000007</v>
      </c>
      <c r="O1549" s="7">
        <v>14.6</v>
      </c>
      <c r="P1549" s="7">
        <v>3.8</v>
      </c>
      <c r="Q1549" t="s">
        <v>31</v>
      </c>
      <c r="R1549" s="7" t="str">
        <f>TEXT(Table1[[#This Row],[Date]],"mmm yyyy")</f>
        <v>Nov 2025</v>
      </c>
      <c r="S1549" s="9">
        <f>YEAR(Table1[[#This Row],[Date]])</f>
        <v>2025</v>
      </c>
      <c r="T1549" s="9"/>
      <c r="U1549" s="9"/>
    </row>
    <row r="1550" spans="1:21" x14ac:dyDescent="0.3">
      <c r="A1550" t="s">
        <v>2226</v>
      </c>
      <c r="B1550" s="6">
        <v>46211</v>
      </c>
      <c r="C1550" t="s">
        <v>18</v>
      </c>
      <c r="D1550" t="s">
        <v>47</v>
      </c>
      <c r="E1550" t="s">
        <v>20</v>
      </c>
      <c r="F1550" t="s">
        <v>304</v>
      </c>
      <c r="G1550" t="s">
        <v>22</v>
      </c>
      <c r="H1550" t="s">
        <v>78</v>
      </c>
      <c r="I1550" t="s">
        <v>79</v>
      </c>
      <c r="J1550" s="9">
        <v>1</v>
      </c>
      <c r="K1550" s="7">
        <v>20700</v>
      </c>
      <c r="L1550" s="7">
        <v>0</v>
      </c>
      <c r="M1550" s="9"/>
      <c r="N1550" s="7">
        <v>11.1</v>
      </c>
      <c r="O1550" s="7"/>
      <c r="P1550" s="7"/>
      <c r="Q1550" t="s">
        <v>79</v>
      </c>
      <c r="R1550" s="7" t="str">
        <f>TEXT(Table1[[#This Row],[Date]],"mmm yyyy")</f>
        <v>Jul 2026</v>
      </c>
      <c r="S1550" s="9">
        <f>YEAR(Table1[[#This Row],[Date]])</f>
        <v>2026</v>
      </c>
      <c r="T1550" s="9"/>
      <c r="U1550" s="9"/>
    </row>
    <row r="1551" spans="1:21" hidden="1" x14ac:dyDescent="0.3">
      <c r="A1551" t="s">
        <v>2227</v>
      </c>
      <c r="B1551" s="6">
        <v>46105</v>
      </c>
      <c r="C1551" t="s">
        <v>26</v>
      </c>
      <c r="D1551" t="s">
        <v>114</v>
      </c>
      <c r="E1551" t="s">
        <v>20</v>
      </c>
      <c r="F1551" t="s">
        <v>2228</v>
      </c>
      <c r="G1551" t="s">
        <v>30</v>
      </c>
      <c r="J1551" s="9">
        <v>0</v>
      </c>
      <c r="K1551" s="7">
        <v>0</v>
      </c>
      <c r="L1551" s="7">
        <v>0</v>
      </c>
      <c r="M1551" s="9">
        <v>1</v>
      </c>
      <c r="N1551" s="7">
        <v>8.1</v>
      </c>
      <c r="O1551" s="7">
        <v>14.4</v>
      </c>
      <c r="P1551" s="7">
        <v>3.6</v>
      </c>
      <c r="Q1551" t="s">
        <v>39</v>
      </c>
      <c r="R1551" s="7" t="str">
        <f>TEXT(Table1[[#This Row],[Date]],"mmm yyyy")</f>
        <v>Mar 2026</v>
      </c>
      <c r="S1551" s="9">
        <f>YEAR(Table1[[#This Row],[Date]])</f>
        <v>2026</v>
      </c>
      <c r="T1551" s="9"/>
      <c r="U1551" s="9"/>
    </row>
    <row r="1552" spans="1:21" hidden="1" x14ac:dyDescent="0.3">
      <c r="A1552" t="s">
        <v>2229</v>
      </c>
      <c r="B1552" s="6">
        <v>46251</v>
      </c>
      <c r="C1552" t="s">
        <v>26</v>
      </c>
      <c r="D1552" t="s">
        <v>126</v>
      </c>
      <c r="E1552" t="s">
        <v>28</v>
      </c>
      <c r="F1552" t="s">
        <v>1881</v>
      </c>
      <c r="G1552" t="s">
        <v>22</v>
      </c>
      <c r="J1552" s="9">
        <v>0</v>
      </c>
      <c r="K1552" s="7">
        <v>0</v>
      </c>
      <c r="L1552" s="7">
        <v>0</v>
      </c>
      <c r="M1552" s="9">
        <v>1</v>
      </c>
      <c r="N1552" s="7">
        <v>6.5</v>
      </c>
      <c r="O1552" s="7">
        <v>11.2</v>
      </c>
      <c r="P1552" s="7">
        <v>3.9</v>
      </c>
      <c r="Q1552" t="s">
        <v>62</v>
      </c>
      <c r="R1552" s="7" t="str">
        <f>TEXT(Table1[[#This Row],[Date]],"mmm yyyy")</f>
        <v>Aug 2026</v>
      </c>
      <c r="S1552" s="9">
        <f>YEAR(Table1[[#This Row],[Date]])</f>
        <v>2026</v>
      </c>
      <c r="T1552" s="9"/>
      <c r="U1552" s="9"/>
    </row>
    <row r="1553" spans="1:21" hidden="1" x14ac:dyDescent="0.3">
      <c r="A1553" t="s">
        <v>2230</v>
      </c>
      <c r="B1553" s="6">
        <v>46097</v>
      </c>
      <c r="C1553" t="s">
        <v>26</v>
      </c>
      <c r="D1553" t="s">
        <v>36</v>
      </c>
      <c r="E1553" t="s">
        <v>28</v>
      </c>
      <c r="F1553" t="s">
        <v>781</v>
      </c>
      <c r="G1553" t="s">
        <v>44</v>
      </c>
      <c r="J1553" s="9">
        <v>0</v>
      </c>
      <c r="K1553" s="7">
        <v>0</v>
      </c>
      <c r="L1553" s="7">
        <v>0</v>
      </c>
      <c r="M1553" s="9">
        <v>1</v>
      </c>
      <c r="N1553" s="7">
        <v>10.1</v>
      </c>
      <c r="O1553" s="7">
        <v>10.1</v>
      </c>
      <c r="P1553" s="7">
        <v>4</v>
      </c>
      <c r="Q1553" t="s">
        <v>31</v>
      </c>
      <c r="R1553" s="7" t="str">
        <f>TEXT(Table1[[#This Row],[Date]],"mmm yyyy")</f>
        <v>Mar 2026</v>
      </c>
      <c r="S1553" s="9">
        <f>YEAR(Table1[[#This Row],[Date]])</f>
        <v>2026</v>
      </c>
      <c r="T1553" s="9"/>
      <c r="U1553" s="9"/>
    </row>
    <row r="1554" spans="1:21" hidden="1" x14ac:dyDescent="0.3">
      <c r="A1554" t="s">
        <v>2231</v>
      </c>
      <c r="B1554" s="6">
        <v>45964</v>
      </c>
      <c r="C1554" t="s">
        <v>26</v>
      </c>
      <c r="D1554" t="s">
        <v>232</v>
      </c>
      <c r="E1554" t="s">
        <v>20</v>
      </c>
      <c r="F1554" t="s">
        <v>2232</v>
      </c>
      <c r="G1554" t="s">
        <v>30</v>
      </c>
      <c r="J1554" s="9">
        <v>0</v>
      </c>
      <c r="K1554" s="7">
        <v>0</v>
      </c>
      <c r="L1554" s="7">
        <v>0</v>
      </c>
      <c r="M1554" s="9">
        <v>1</v>
      </c>
      <c r="N1554" s="7">
        <v>2.5</v>
      </c>
      <c r="O1554" s="7">
        <v>14.8</v>
      </c>
      <c r="P1554" s="7">
        <v>3.9</v>
      </c>
      <c r="Q1554" t="s">
        <v>39</v>
      </c>
      <c r="R1554" s="7" t="str">
        <f>TEXT(Table1[[#This Row],[Date]],"mmm yyyy")</f>
        <v>Nov 2025</v>
      </c>
      <c r="S1554" s="9">
        <f>YEAR(Table1[[#This Row],[Date]])</f>
        <v>2025</v>
      </c>
      <c r="T1554" s="9"/>
      <c r="U1554" s="9"/>
    </row>
    <row r="1555" spans="1:21" hidden="1" x14ac:dyDescent="0.3">
      <c r="A1555" t="s">
        <v>2233</v>
      </c>
      <c r="B1555" s="6">
        <v>45921</v>
      </c>
      <c r="C1555" t="s">
        <v>26</v>
      </c>
      <c r="D1555" t="s">
        <v>69</v>
      </c>
      <c r="E1555" t="s">
        <v>48</v>
      </c>
      <c r="F1555" t="s">
        <v>587</v>
      </c>
      <c r="G1555" t="s">
        <v>30</v>
      </c>
      <c r="J1555" s="9">
        <v>0</v>
      </c>
      <c r="K1555" s="7">
        <v>0</v>
      </c>
      <c r="L1555" s="7">
        <v>0</v>
      </c>
      <c r="M1555" s="9">
        <v>1</v>
      </c>
      <c r="N1555" s="7">
        <v>10.1</v>
      </c>
      <c r="O1555" s="7">
        <v>5.3</v>
      </c>
      <c r="P1555" s="7">
        <v>4.8</v>
      </c>
      <c r="Q1555" t="s">
        <v>31</v>
      </c>
      <c r="R1555" s="7" t="str">
        <f>TEXT(Table1[[#This Row],[Date]],"mmm yyyy")</f>
        <v>Sep 2025</v>
      </c>
      <c r="S1555" s="9">
        <f>YEAR(Table1[[#This Row],[Date]])</f>
        <v>2025</v>
      </c>
      <c r="T1555" s="9"/>
      <c r="U1555" s="9"/>
    </row>
    <row r="1556" spans="1:21" x14ac:dyDescent="0.3">
      <c r="A1556" t="s">
        <v>2234</v>
      </c>
      <c r="B1556" s="6">
        <v>45972</v>
      </c>
      <c r="C1556" t="s">
        <v>18</v>
      </c>
      <c r="D1556" t="s">
        <v>47</v>
      </c>
      <c r="E1556" t="s">
        <v>28</v>
      </c>
      <c r="F1556" t="s">
        <v>676</v>
      </c>
      <c r="G1556" t="s">
        <v>22</v>
      </c>
      <c r="H1556" t="s">
        <v>78</v>
      </c>
      <c r="I1556" t="s">
        <v>67</v>
      </c>
      <c r="J1556" s="9">
        <v>1</v>
      </c>
      <c r="K1556" s="7">
        <v>11000</v>
      </c>
      <c r="L1556" s="7">
        <v>0</v>
      </c>
      <c r="M1556" s="9"/>
      <c r="N1556" s="7">
        <v>23.9</v>
      </c>
      <c r="O1556" s="7"/>
      <c r="P1556" s="7"/>
      <c r="Q1556" t="s">
        <v>67</v>
      </c>
      <c r="R1556" s="7" t="str">
        <f>TEXT(Table1[[#This Row],[Date]],"mmm yyyy")</f>
        <v>Nov 2025</v>
      </c>
      <c r="S1556" s="9">
        <f>YEAR(Table1[[#This Row],[Date]])</f>
        <v>2025</v>
      </c>
      <c r="T1556" s="9"/>
      <c r="U1556" s="9"/>
    </row>
    <row r="1557" spans="1:21" x14ac:dyDescent="0.3">
      <c r="A1557" t="s">
        <v>2235</v>
      </c>
      <c r="B1557" s="6">
        <v>46002</v>
      </c>
      <c r="C1557" t="s">
        <v>18</v>
      </c>
      <c r="D1557" t="s">
        <v>52</v>
      </c>
      <c r="E1557" t="s">
        <v>20</v>
      </c>
      <c r="F1557" t="s">
        <v>962</v>
      </c>
      <c r="G1557" t="s">
        <v>22</v>
      </c>
      <c r="H1557" t="s">
        <v>54</v>
      </c>
      <c r="I1557" t="s">
        <v>67</v>
      </c>
      <c r="J1557" s="9">
        <v>1</v>
      </c>
      <c r="K1557" s="7">
        <v>29800</v>
      </c>
      <c r="L1557" s="7">
        <v>0</v>
      </c>
      <c r="M1557" s="9"/>
      <c r="N1557" s="7">
        <v>2.5</v>
      </c>
      <c r="O1557" s="7"/>
      <c r="P1557" s="7"/>
      <c r="Q1557" t="s">
        <v>67</v>
      </c>
      <c r="R1557" s="7" t="str">
        <f>TEXT(Table1[[#This Row],[Date]],"mmm yyyy")</f>
        <v>Dec 2025</v>
      </c>
      <c r="S1557" s="9">
        <f>YEAR(Table1[[#This Row],[Date]])</f>
        <v>2025</v>
      </c>
      <c r="T1557" s="9"/>
      <c r="U1557" s="9"/>
    </row>
    <row r="1558" spans="1:21" hidden="1" x14ac:dyDescent="0.3">
      <c r="A1558" t="s">
        <v>2236</v>
      </c>
      <c r="B1558" s="6">
        <v>45987</v>
      </c>
      <c r="C1558" t="s">
        <v>26</v>
      </c>
      <c r="D1558" t="s">
        <v>69</v>
      </c>
      <c r="E1558" t="s">
        <v>20</v>
      </c>
      <c r="F1558" t="s">
        <v>1210</v>
      </c>
      <c r="G1558" t="s">
        <v>30</v>
      </c>
      <c r="J1558" s="9">
        <v>0</v>
      </c>
      <c r="K1558" s="7">
        <v>0</v>
      </c>
      <c r="L1558" s="7">
        <v>0</v>
      </c>
      <c r="M1558" s="9">
        <v>1</v>
      </c>
      <c r="N1558" s="7">
        <v>6.1</v>
      </c>
      <c r="O1558" s="7">
        <v>15.1</v>
      </c>
      <c r="P1558" s="7">
        <v>5</v>
      </c>
      <c r="Q1558" t="s">
        <v>31</v>
      </c>
      <c r="R1558" s="7" t="str">
        <f>TEXT(Table1[[#This Row],[Date]],"mmm yyyy")</f>
        <v>Nov 2025</v>
      </c>
      <c r="S1558" s="9">
        <f>YEAR(Table1[[#This Row],[Date]])</f>
        <v>2025</v>
      </c>
      <c r="T1558" s="9"/>
      <c r="U1558" s="9"/>
    </row>
    <row r="1559" spans="1:21" x14ac:dyDescent="0.3">
      <c r="A1559" t="s">
        <v>2237</v>
      </c>
      <c r="B1559" s="6">
        <v>45927</v>
      </c>
      <c r="C1559" t="s">
        <v>18</v>
      </c>
      <c r="D1559" t="s">
        <v>41</v>
      </c>
      <c r="E1559" t="s">
        <v>28</v>
      </c>
      <c r="F1559" t="s">
        <v>1560</v>
      </c>
      <c r="G1559" t="s">
        <v>22</v>
      </c>
      <c r="H1559" t="s">
        <v>54</v>
      </c>
      <c r="I1559" t="s">
        <v>24</v>
      </c>
      <c r="J1559" s="9">
        <v>1</v>
      </c>
      <c r="K1559" s="7">
        <v>20500</v>
      </c>
      <c r="L1559" s="7">
        <v>20500</v>
      </c>
      <c r="M1559" s="9"/>
      <c r="N1559" s="7">
        <v>2.5</v>
      </c>
      <c r="O1559" s="7"/>
      <c r="P1559" s="7"/>
      <c r="Q1559" t="s">
        <v>24</v>
      </c>
      <c r="R1559" s="7" t="str">
        <f>TEXT(Table1[[#This Row],[Date]],"mmm yyyy")</f>
        <v>Sep 2025</v>
      </c>
      <c r="S1559" s="9">
        <f>YEAR(Table1[[#This Row],[Date]])</f>
        <v>2025</v>
      </c>
      <c r="T1559" s="9"/>
      <c r="U1559" s="9"/>
    </row>
    <row r="1560" spans="1:21" hidden="1" x14ac:dyDescent="0.3">
      <c r="A1560" t="s">
        <v>2238</v>
      </c>
      <c r="B1560" s="6">
        <v>46046</v>
      </c>
      <c r="C1560" t="s">
        <v>26</v>
      </c>
      <c r="D1560" t="s">
        <v>33</v>
      </c>
      <c r="E1560" t="s">
        <v>20</v>
      </c>
      <c r="F1560" t="s">
        <v>2239</v>
      </c>
      <c r="G1560" t="s">
        <v>22</v>
      </c>
      <c r="J1560" s="9">
        <v>0</v>
      </c>
      <c r="K1560" s="7">
        <v>0</v>
      </c>
      <c r="L1560" s="7">
        <v>0</v>
      </c>
      <c r="M1560" s="9">
        <v>1</v>
      </c>
      <c r="N1560" s="7">
        <v>3.3</v>
      </c>
      <c r="O1560" s="7">
        <v>11.4</v>
      </c>
      <c r="P1560" s="7">
        <v>3.2</v>
      </c>
      <c r="Q1560" t="s">
        <v>31</v>
      </c>
      <c r="R1560" s="7" t="str">
        <f>TEXT(Table1[[#This Row],[Date]],"mmm yyyy")</f>
        <v>Jan 2026</v>
      </c>
      <c r="S1560" s="9">
        <f>YEAR(Table1[[#This Row],[Date]])</f>
        <v>2026</v>
      </c>
      <c r="T1560" s="9"/>
      <c r="U1560" s="9"/>
    </row>
    <row r="1561" spans="1:21" hidden="1" x14ac:dyDescent="0.3">
      <c r="A1561" t="s">
        <v>2240</v>
      </c>
      <c r="B1561" s="6">
        <v>45969</v>
      </c>
      <c r="C1561" t="s">
        <v>26</v>
      </c>
      <c r="D1561" t="s">
        <v>232</v>
      </c>
      <c r="E1561" t="s">
        <v>42</v>
      </c>
      <c r="F1561" t="s">
        <v>754</v>
      </c>
      <c r="G1561" t="s">
        <v>30</v>
      </c>
      <c r="J1561" s="9">
        <v>0</v>
      </c>
      <c r="K1561" s="7">
        <v>0</v>
      </c>
      <c r="L1561" s="7">
        <v>0</v>
      </c>
      <c r="M1561" s="9">
        <v>1</v>
      </c>
      <c r="N1561" s="7">
        <v>9.6999999999999993</v>
      </c>
      <c r="O1561" s="7">
        <v>1.6</v>
      </c>
      <c r="P1561" s="7">
        <v>3.7</v>
      </c>
      <c r="Q1561" t="s">
        <v>31</v>
      </c>
      <c r="R1561" s="7" t="str">
        <f>TEXT(Table1[[#This Row],[Date]],"mmm yyyy")</f>
        <v>Nov 2025</v>
      </c>
      <c r="S1561" s="9">
        <f>YEAR(Table1[[#This Row],[Date]])</f>
        <v>2025</v>
      </c>
      <c r="T1561" s="9"/>
      <c r="U1561" s="9"/>
    </row>
    <row r="1562" spans="1:21" x14ac:dyDescent="0.3">
      <c r="A1562" t="s">
        <v>2241</v>
      </c>
      <c r="B1562" s="6">
        <v>46175</v>
      </c>
      <c r="C1562" t="s">
        <v>18</v>
      </c>
      <c r="D1562" t="s">
        <v>64</v>
      </c>
      <c r="E1562" t="s">
        <v>48</v>
      </c>
      <c r="F1562" t="s">
        <v>1573</v>
      </c>
      <c r="G1562" t="s">
        <v>30</v>
      </c>
      <c r="H1562" t="s">
        <v>23</v>
      </c>
      <c r="I1562" t="s">
        <v>24</v>
      </c>
      <c r="J1562" s="9">
        <v>1</v>
      </c>
      <c r="K1562" s="7">
        <v>9700</v>
      </c>
      <c r="L1562" s="7">
        <v>9700</v>
      </c>
      <c r="M1562" s="9"/>
      <c r="N1562" s="7">
        <v>11</v>
      </c>
      <c r="O1562" s="7"/>
      <c r="P1562" s="7"/>
      <c r="Q1562" t="s">
        <v>24</v>
      </c>
      <c r="R1562" s="7" t="str">
        <f>TEXT(Table1[[#This Row],[Date]],"mmm yyyy")</f>
        <v>Jun 2026</v>
      </c>
      <c r="S1562" s="9">
        <f>YEAR(Table1[[#This Row],[Date]])</f>
        <v>2026</v>
      </c>
      <c r="T1562" s="9"/>
      <c r="U1562" s="9"/>
    </row>
    <row r="1563" spans="1:21" x14ac:dyDescent="0.3">
      <c r="A1563" t="s">
        <v>2242</v>
      </c>
      <c r="B1563" s="6">
        <v>45955</v>
      </c>
      <c r="C1563" t="s">
        <v>18</v>
      </c>
      <c r="D1563" t="s">
        <v>117</v>
      </c>
      <c r="E1563" t="s">
        <v>37</v>
      </c>
      <c r="F1563" t="s">
        <v>1264</v>
      </c>
      <c r="G1563" t="s">
        <v>44</v>
      </c>
      <c r="H1563" t="s">
        <v>23</v>
      </c>
      <c r="I1563" t="s">
        <v>89</v>
      </c>
      <c r="J1563" s="9">
        <v>1</v>
      </c>
      <c r="K1563" s="7">
        <v>26600</v>
      </c>
      <c r="L1563" s="7">
        <v>0</v>
      </c>
      <c r="M1563" s="9"/>
      <c r="N1563" s="7">
        <v>1.2</v>
      </c>
      <c r="O1563" s="7"/>
      <c r="P1563" s="7"/>
      <c r="Q1563" t="s">
        <v>89</v>
      </c>
      <c r="R1563" s="7" t="str">
        <f>TEXT(Table1[[#This Row],[Date]],"mmm yyyy")</f>
        <v>Oct 2025</v>
      </c>
      <c r="S1563" s="9">
        <f>YEAR(Table1[[#This Row],[Date]])</f>
        <v>2025</v>
      </c>
      <c r="T1563" s="9"/>
      <c r="U1563" s="9"/>
    </row>
    <row r="1564" spans="1:21" hidden="1" x14ac:dyDescent="0.3">
      <c r="A1564" t="s">
        <v>2243</v>
      </c>
      <c r="B1564" s="6">
        <v>45967</v>
      </c>
      <c r="C1564" t="s">
        <v>26</v>
      </c>
      <c r="D1564" t="s">
        <v>114</v>
      </c>
      <c r="E1564" t="s">
        <v>28</v>
      </c>
      <c r="F1564" t="s">
        <v>2244</v>
      </c>
      <c r="G1564" t="s">
        <v>22</v>
      </c>
      <c r="J1564" s="9">
        <v>0</v>
      </c>
      <c r="K1564" s="7">
        <v>0</v>
      </c>
      <c r="L1564" s="7">
        <v>0</v>
      </c>
      <c r="M1564" s="9">
        <v>1</v>
      </c>
      <c r="N1564" s="7">
        <v>1.4</v>
      </c>
      <c r="O1564" s="7">
        <v>2.2000000000000002</v>
      </c>
      <c r="P1564" s="7">
        <v>4.9000000000000004</v>
      </c>
      <c r="Q1564" t="s">
        <v>39</v>
      </c>
      <c r="R1564" s="7" t="str">
        <f>TEXT(Table1[[#This Row],[Date]],"mmm yyyy")</f>
        <v>Nov 2025</v>
      </c>
      <c r="S1564" s="9">
        <f>YEAR(Table1[[#This Row],[Date]])</f>
        <v>2025</v>
      </c>
      <c r="T1564" s="9"/>
      <c r="U1564" s="9"/>
    </row>
    <row r="1565" spans="1:21" x14ac:dyDescent="0.3">
      <c r="A1565" t="s">
        <v>2245</v>
      </c>
      <c r="B1565" s="6">
        <v>46244</v>
      </c>
      <c r="C1565" t="s">
        <v>18</v>
      </c>
      <c r="D1565" t="s">
        <v>41</v>
      </c>
      <c r="E1565" t="s">
        <v>37</v>
      </c>
      <c r="F1565" t="s">
        <v>212</v>
      </c>
      <c r="G1565" t="s">
        <v>22</v>
      </c>
      <c r="H1565" t="s">
        <v>54</v>
      </c>
      <c r="I1565" t="s">
        <v>79</v>
      </c>
      <c r="J1565" s="9">
        <v>1</v>
      </c>
      <c r="K1565" s="7">
        <v>17200</v>
      </c>
      <c r="L1565" s="7">
        <v>0</v>
      </c>
      <c r="M1565" s="9"/>
      <c r="N1565" s="7">
        <v>22.4</v>
      </c>
      <c r="O1565" s="7"/>
      <c r="P1565" s="7"/>
      <c r="Q1565" t="s">
        <v>79</v>
      </c>
      <c r="R1565" s="7" t="str">
        <f>TEXT(Table1[[#This Row],[Date]],"mmm yyyy")</f>
        <v>Aug 2026</v>
      </c>
      <c r="S1565" s="9">
        <f>YEAR(Table1[[#This Row],[Date]])</f>
        <v>2026</v>
      </c>
      <c r="T1565" s="9"/>
      <c r="U1565" s="9"/>
    </row>
    <row r="1566" spans="1:21" hidden="1" x14ac:dyDescent="0.3">
      <c r="A1566" t="s">
        <v>2246</v>
      </c>
      <c r="B1566" s="6">
        <v>46170</v>
      </c>
      <c r="C1566" t="s">
        <v>26</v>
      </c>
      <c r="D1566" t="s">
        <v>33</v>
      </c>
      <c r="E1566" t="s">
        <v>20</v>
      </c>
      <c r="F1566" t="s">
        <v>1249</v>
      </c>
      <c r="G1566" t="s">
        <v>50</v>
      </c>
      <c r="J1566" s="9">
        <v>0</v>
      </c>
      <c r="K1566" s="7">
        <v>0</v>
      </c>
      <c r="L1566" s="7">
        <v>0</v>
      </c>
      <c r="M1566" s="9">
        <v>1</v>
      </c>
      <c r="N1566" s="7">
        <v>2.1</v>
      </c>
      <c r="O1566" s="7">
        <v>8.3000000000000007</v>
      </c>
      <c r="P1566" s="7">
        <v>4.2</v>
      </c>
      <c r="Q1566" t="s">
        <v>31</v>
      </c>
      <c r="R1566" s="7" t="str">
        <f>TEXT(Table1[[#This Row],[Date]],"mmm yyyy")</f>
        <v>May 2026</v>
      </c>
      <c r="S1566" s="9">
        <f>YEAR(Table1[[#This Row],[Date]])</f>
        <v>2026</v>
      </c>
      <c r="T1566" s="9"/>
      <c r="U1566" s="9"/>
    </row>
    <row r="1567" spans="1:21" x14ac:dyDescent="0.3">
      <c r="A1567" t="s">
        <v>2247</v>
      </c>
      <c r="B1567" s="6">
        <v>46250</v>
      </c>
      <c r="C1567" t="s">
        <v>18</v>
      </c>
      <c r="D1567" t="s">
        <v>95</v>
      </c>
      <c r="E1567" t="s">
        <v>20</v>
      </c>
      <c r="F1567" t="s">
        <v>1012</v>
      </c>
      <c r="G1567" t="s">
        <v>22</v>
      </c>
      <c r="H1567" t="s">
        <v>86</v>
      </c>
      <c r="I1567" t="s">
        <v>67</v>
      </c>
      <c r="J1567" s="9">
        <v>1</v>
      </c>
      <c r="K1567" s="7">
        <v>46000</v>
      </c>
      <c r="L1567" s="7">
        <v>0</v>
      </c>
      <c r="M1567" s="9"/>
      <c r="N1567" s="7">
        <v>8.6</v>
      </c>
      <c r="O1567" s="7"/>
      <c r="P1567" s="7"/>
      <c r="Q1567" t="s">
        <v>67</v>
      </c>
      <c r="R1567" s="7" t="str">
        <f>TEXT(Table1[[#This Row],[Date]],"mmm yyyy")</f>
        <v>Aug 2026</v>
      </c>
      <c r="S1567" s="9">
        <f>YEAR(Table1[[#This Row],[Date]])</f>
        <v>2026</v>
      </c>
      <c r="T1567" s="9"/>
      <c r="U1567" s="9"/>
    </row>
    <row r="1568" spans="1:21" hidden="1" x14ac:dyDescent="0.3">
      <c r="A1568" t="s">
        <v>2248</v>
      </c>
      <c r="B1568" s="6">
        <v>45956</v>
      </c>
      <c r="C1568" t="s">
        <v>26</v>
      </c>
      <c r="D1568" t="s">
        <v>232</v>
      </c>
      <c r="E1568" t="s">
        <v>20</v>
      </c>
      <c r="F1568" t="s">
        <v>1067</v>
      </c>
      <c r="G1568" t="s">
        <v>30</v>
      </c>
      <c r="J1568" s="9">
        <v>0</v>
      </c>
      <c r="K1568" s="7">
        <v>0</v>
      </c>
      <c r="L1568" s="7">
        <v>0</v>
      </c>
      <c r="M1568" s="9">
        <v>1</v>
      </c>
      <c r="N1568" s="7">
        <v>7.2</v>
      </c>
      <c r="O1568" s="7">
        <v>7</v>
      </c>
      <c r="P1568" s="7">
        <v>2.7</v>
      </c>
      <c r="Q1568" t="s">
        <v>62</v>
      </c>
      <c r="R1568" s="7" t="str">
        <f>TEXT(Table1[[#This Row],[Date]],"mmm yyyy")</f>
        <v>Oct 2025</v>
      </c>
      <c r="S1568" s="9">
        <f>YEAR(Table1[[#This Row],[Date]])</f>
        <v>2025</v>
      </c>
      <c r="T1568" s="9"/>
      <c r="U1568" s="9"/>
    </row>
    <row r="1569" spans="1:21" x14ac:dyDescent="0.3">
      <c r="A1569" t="s">
        <v>2249</v>
      </c>
      <c r="B1569" s="6">
        <v>45964</v>
      </c>
      <c r="C1569" t="s">
        <v>18</v>
      </c>
      <c r="D1569" t="s">
        <v>64</v>
      </c>
      <c r="E1569" t="s">
        <v>28</v>
      </c>
      <c r="F1569" t="s">
        <v>1631</v>
      </c>
      <c r="G1569" t="s">
        <v>30</v>
      </c>
      <c r="H1569" t="s">
        <v>66</v>
      </c>
      <c r="I1569" t="s">
        <v>89</v>
      </c>
      <c r="J1569" s="9">
        <v>1</v>
      </c>
      <c r="K1569" s="7">
        <v>14400</v>
      </c>
      <c r="L1569" s="7">
        <v>0</v>
      </c>
      <c r="M1569" s="9"/>
      <c r="N1569" s="7">
        <v>12.9</v>
      </c>
      <c r="O1569" s="7"/>
      <c r="P1569" s="7"/>
      <c r="Q1569" t="s">
        <v>89</v>
      </c>
      <c r="R1569" s="7" t="str">
        <f>TEXT(Table1[[#This Row],[Date]],"mmm yyyy")</f>
        <v>Nov 2025</v>
      </c>
      <c r="S1569" s="9">
        <f>YEAR(Table1[[#This Row],[Date]])</f>
        <v>2025</v>
      </c>
      <c r="T1569" s="9"/>
      <c r="U1569" s="9"/>
    </row>
    <row r="1570" spans="1:21" hidden="1" x14ac:dyDescent="0.3">
      <c r="A1570" t="s">
        <v>2250</v>
      </c>
      <c r="B1570" s="6">
        <v>46220</v>
      </c>
      <c r="C1570" t="s">
        <v>26</v>
      </c>
      <c r="D1570" t="s">
        <v>114</v>
      </c>
      <c r="E1570" t="s">
        <v>20</v>
      </c>
      <c r="F1570" t="s">
        <v>1186</v>
      </c>
      <c r="G1570" t="s">
        <v>22</v>
      </c>
      <c r="J1570" s="9">
        <v>0</v>
      </c>
      <c r="K1570" s="7">
        <v>0</v>
      </c>
      <c r="L1570" s="7">
        <v>0</v>
      </c>
      <c r="M1570" s="9">
        <v>1</v>
      </c>
      <c r="N1570" s="7">
        <v>9.1999999999999993</v>
      </c>
      <c r="O1570" s="7">
        <v>9.6999999999999993</v>
      </c>
      <c r="P1570" s="7">
        <v>4.5999999999999996</v>
      </c>
      <c r="Q1570" t="s">
        <v>39</v>
      </c>
      <c r="R1570" s="7" t="str">
        <f>TEXT(Table1[[#This Row],[Date]],"mmm yyyy")</f>
        <v>Jul 2026</v>
      </c>
      <c r="S1570" s="9">
        <f>YEAR(Table1[[#This Row],[Date]])</f>
        <v>2026</v>
      </c>
      <c r="T1570" s="9"/>
      <c r="U1570" s="9"/>
    </row>
    <row r="1571" spans="1:21" x14ac:dyDescent="0.3">
      <c r="A1571" t="s">
        <v>2251</v>
      </c>
      <c r="B1571" s="6">
        <v>45986</v>
      </c>
      <c r="C1571" t="s">
        <v>18</v>
      </c>
      <c r="D1571" t="s">
        <v>117</v>
      </c>
      <c r="E1571" t="s">
        <v>42</v>
      </c>
      <c r="F1571" t="s">
        <v>489</v>
      </c>
      <c r="G1571" t="s">
        <v>22</v>
      </c>
      <c r="H1571" t="s">
        <v>86</v>
      </c>
      <c r="I1571" t="s">
        <v>45</v>
      </c>
      <c r="J1571" s="9">
        <v>1</v>
      </c>
      <c r="K1571" s="7">
        <v>26600</v>
      </c>
      <c r="L1571" s="7">
        <v>0</v>
      </c>
      <c r="M1571" s="9"/>
      <c r="N1571" s="7">
        <v>4.5999999999999996</v>
      </c>
      <c r="O1571" s="7"/>
      <c r="P1571" s="7"/>
      <c r="Q1571" t="s">
        <v>45</v>
      </c>
      <c r="R1571" s="7" t="str">
        <f>TEXT(Table1[[#This Row],[Date]],"mmm yyyy")</f>
        <v>Nov 2025</v>
      </c>
      <c r="S1571" s="9">
        <f>YEAR(Table1[[#This Row],[Date]])</f>
        <v>2025</v>
      </c>
      <c r="T1571" s="9"/>
      <c r="U1571" s="9"/>
    </row>
    <row r="1572" spans="1:21" hidden="1" x14ac:dyDescent="0.3">
      <c r="A1572" t="s">
        <v>2252</v>
      </c>
      <c r="B1572" s="6">
        <v>45910</v>
      </c>
      <c r="C1572" t="s">
        <v>26</v>
      </c>
      <c r="D1572" t="s">
        <v>126</v>
      </c>
      <c r="E1572" t="s">
        <v>20</v>
      </c>
      <c r="F1572" t="s">
        <v>917</v>
      </c>
      <c r="G1572" t="s">
        <v>30</v>
      </c>
      <c r="J1572" s="9">
        <v>0</v>
      </c>
      <c r="K1572" s="7">
        <v>0</v>
      </c>
      <c r="L1572" s="7">
        <v>0</v>
      </c>
      <c r="M1572" s="9">
        <v>1</v>
      </c>
      <c r="N1572" s="7">
        <v>2.8</v>
      </c>
      <c r="O1572" s="7">
        <v>8.1</v>
      </c>
      <c r="P1572" s="7">
        <v>4.4000000000000004</v>
      </c>
      <c r="Q1572" t="s">
        <v>39</v>
      </c>
      <c r="R1572" s="7" t="str">
        <f>TEXT(Table1[[#This Row],[Date]],"mmm yyyy")</f>
        <v>Sep 2025</v>
      </c>
      <c r="S1572" s="9">
        <f>YEAR(Table1[[#This Row],[Date]])</f>
        <v>2025</v>
      </c>
      <c r="T1572" s="9"/>
      <c r="U1572" s="9"/>
    </row>
    <row r="1573" spans="1:21" x14ac:dyDescent="0.3">
      <c r="A1573" t="s">
        <v>2253</v>
      </c>
      <c r="B1573" s="6">
        <v>46061</v>
      </c>
      <c r="C1573" t="s">
        <v>18</v>
      </c>
      <c r="D1573" t="s">
        <v>41</v>
      </c>
      <c r="E1573" t="s">
        <v>20</v>
      </c>
      <c r="F1573" t="s">
        <v>172</v>
      </c>
      <c r="G1573" t="s">
        <v>50</v>
      </c>
      <c r="H1573" t="s">
        <v>66</v>
      </c>
      <c r="I1573" t="s">
        <v>55</v>
      </c>
      <c r="J1573" s="9">
        <v>1</v>
      </c>
      <c r="K1573" s="7">
        <v>16600</v>
      </c>
      <c r="L1573" s="7">
        <v>0</v>
      </c>
      <c r="M1573" s="9"/>
      <c r="N1573" s="7">
        <v>1.1000000000000001</v>
      </c>
      <c r="O1573" s="7"/>
      <c r="P1573" s="7"/>
      <c r="Q1573" t="s">
        <v>55</v>
      </c>
      <c r="R1573" s="7" t="str">
        <f>TEXT(Table1[[#This Row],[Date]],"mmm yyyy")</f>
        <v>Feb 2026</v>
      </c>
      <c r="S1573" s="9">
        <f>YEAR(Table1[[#This Row],[Date]])</f>
        <v>2026</v>
      </c>
      <c r="T1573" s="9"/>
      <c r="U1573" s="9"/>
    </row>
    <row r="1574" spans="1:21" hidden="1" x14ac:dyDescent="0.3">
      <c r="A1574" t="s">
        <v>2254</v>
      </c>
      <c r="B1574" s="6">
        <v>46124</v>
      </c>
      <c r="C1574" t="s">
        <v>26</v>
      </c>
      <c r="D1574" t="s">
        <v>69</v>
      </c>
      <c r="E1574" t="s">
        <v>20</v>
      </c>
      <c r="F1574" t="s">
        <v>2255</v>
      </c>
      <c r="G1574" t="s">
        <v>44</v>
      </c>
      <c r="J1574" s="9">
        <v>0</v>
      </c>
      <c r="K1574" s="7">
        <v>0</v>
      </c>
      <c r="L1574" s="7">
        <v>0</v>
      </c>
      <c r="M1574" s="9">
        <v>1</v>
      </c>
      <c r="N1574" s="7">
        <v>1.5</v>
      </c>
      <c r="O1574" s="7">
        <v>8.6</v>
      </c>
      <c r="P1574" s="7">
        <v>4.3</v>
      </c>
      <c r="Q1574" t="s">
        <v>39</v>
      </c>
      <c r="R1574" s="7" t="str">
        <f>TEXT(Table1[[#This Row],[Date]],"mmm yyyy")</f>
        <v>Apr 2026</v>
      </c>
      <c r="S1574" s="9">
        <f>YEAR(Table1[[#This Row],[Date]])</f>
        <v>2026</v>
      </c>
      <c r="T1574" s="9"/>
      <c r="U1574" s="9"/>
    </row>
    <row r="1575" spans="1:21" hidden="1" x14ac:dyDescent="0.3">
      <c r="A1575" t="s">
        <v>2256</v>
      </c>
      <c r="B1575" s="6">
        <v>45912</v>
      </c>
      <c r="C1575" t="s">
        <v>26</v>
      </c>
      <c r="D1575" t="s">
        <v>232</v>
      </c>
      <c r="E1575" t="s">
        <v>28</v>
      </c>
      <c r="F1575" t="s">
        <v>465</v>
      </c>
      <c r="G1575" t="s">
        <v>22</v>
      </c>
      <c r="J1575" s="9">
        <v>0</v>
      </c>
      <c r="K1575" s="7">
        <v>0</v>
      </c>
      <c r="L1575" s="7">
        <v>0</v>
      </c>
      <c r="M1575" s="9">
        <v>1</v>
      </c>
      <c r="N1575" s="7">
        <v>8.5</v>
      </c>
      <c r="O1575" s="7">
        <v>7.5</v>
      </c>
      <c r="P1575" s="7">
        <v>3.7</v>
      </c>
      <c r="Q1575" t="s">
        <v>225</v>
      </c>
      <c r="R1575" s="7" t="str">
        <f>TEXT(Table1[[#This Row],[Date]],"mmm yyyy")</f>
        <v>Sep 2025</v>
      </c>
      <c r="S1575" s="9">
        <f>YEAR(Table1[[#This Row],[Date]])</f>
        <v>2025</v>
      </c>
      <c r="T1575" s="9"/>
      <c r="U1575" s="9"/>
    </row>
    <row r="1576" spans="1:21" x14ac:dyDescent="0.3">
      <c r="A1576" t="s">
        <v>2257</v>
      </c>
      <c r="B1576" s="6">
        <v>46173</v>
      </c>
      <c r="C1576" t="s">
        <v>18</v>
      </c>
      <c r="D1576" t="s">
        <v>19</v>
      </c>
      <c r="E1576" t="s">
        <v>48</v>
      </c>
      <c r="F1576" t="s">
        <v>193</v>
      </c>
      <c r="G1576" t="s">
        <v>22</v>
      </c>
      <c r="H1576" t="s">
        <v>54</v>
      </c>
      <c r="I1576" t="s">
        <v>24</v>
      </c>
      <c r="J1576" s="9">
        <v>1</v>
      </c>
      <c r="K1576" s="7">
        <v>7300</v>
      </c>
      <c r="L1576" s="7">
        <v>7300</v>
      </c>
      <c r="M1576" s="9"/>
      <c r="N1576" s="7">
        <v>8.3000000000000007</v>
      </c>
      <c r="O1576" s="7"/>
      <c r="P1576" s="7"/>
      <c r="Q1576" t="s">
        <v>24</v>
      </c>
      <c r="R1576" s="7" t="str">
        <f>TEXT(Table1[[#This Row],[Date]],"mmm yyyy")</f>
        <v>May 2026</v>
      </c>
      <c r="S1576" s="9">
        <f>YEAR(Table1[[#This Row],[Date]])</f>
        <v>2026</v>
      </c>
      <c r="T1576" s="9"/>
      <c r="U1576" s="9"/>
    </row>
    <row r="1577" spans="1:21" x14ac:dyDescent="0.3">
      <c r="A1577" t="s">
        <v>2258</v>
      </c>
      <c r="B1577" s="6">
        <v>45945</v>
      </c>
      <c r="C1577" t="s">
        <v>18</v>
      </c>
      <c r="D1577" t="s">
        <v>117</v>
      </c>
      <c r="E1577" t="s">
        <v>20</v>
      </c>
      <c r="F1577" t="s">
        <v>896</v>
      </c>
      <c r="G1577" t="s">
        <v>50</v>
      </c>
      <c r="H1577" t="s">
        <v>78</v>
      </c>
      <c r="I1577" t="s">
        <v>45</v>
      </c>
      <c r="J1577" s="9">
        <v>1</v>
      </c>
      <c r="K1577" s="7">
        <v>63000</v>
      </c>
      <c r="L1577" s="7">
        <v>0</v>
      </c>
      <c r="M1577" s="9"/>
      <c r="N1577" s="7">
        <v>19.399999999999999</v>
      </c>
      <c r="O1577" s="7"/>
      <c r="P1577" s="7"/>
      <c r="Q1577" t="s">
        <v>45</v>
      </c>
      <c r="R1577" s="7" t="str">
        <f>TEXT(Table1[[#This Row],[Date]],"mmm yyyy")</f>
        <v>Oct 2025</v>
      </c>
      <c r="S1577" s="9">
        <f>YEAR(Table1[[#This Row],[Date]])</f>
        <v>2025</v>
      </c>
      <c r="T1577" s="9"/>
      <c r="U1577" s="9"/>
    </row>
    <row r="1578" spans="1:21" x14ac:dyDescent="0.3">
      <c r="A1578" t="s">
        <v>2259</v>
      </c>
      <c r="B1578" s="6">
        <v>46022</v>
      </c>
      <c r="C1578" t="s">
        <v>18</v>
      </c>
      <c r="D1578" t="s">
        <v>64</v>
      </c>
      <c r="E1578" t="s">
        <v>37</v>
      </c>
      <c r="F1578" t="s">
        <v>1000</v>
      </c>
      <c r="G1578" t="s">
        <v>30</v>
      </c>
      <c r="H1578" t="s">
        <v>23</v>
      </c>
      <c r="I1578" t="s">
        <v>55</v>
      </c>
      <c r="J1578" s="9">
        <v>1</v>
      </c>
      <c r="K1578" s="7">
        <v>20700</v>
      </c>
      <c r="L1578" s="7">
        <v>0</v>
      </c>
      <c r="M1578" s="9"/>
      <c r="N1578" s="7">
        <v>3.3</v>
      </c>
      <c r="O1578" s="7"/>
      <c r="P1578" s="7"/>
      <c r="Q1578" t="s">
        <v>55</v>
      </c>
      <c r="R1578" s="7" t="str">
        <f>TEXT(Table1[[#This Row],[Date]],"mmm yyyy")</f>
        <v>Dec 2025</v>
      </c>
      <c r="S1578" s="9">
        <f>YEAR(Table1[[#This Row],[Date]])</f>
        <v>2025</v>
      </c>
      <c r="T1578" s="9"/>
      <c r="U1578" s="9"/>
    </row>
    <row r="1579" spans="1:21" hidden="1" x14ac:dyDescent="0.3">
      <c r="A1579" t="s">
        <v>2260</v>
      </c>
      <c r="B1579" s="6">
        <v>46120</v>
      </c>
      <c r="C1579" t="s">
        <v>26</v>
      </c>
      <c r="D1579" t="s">
        <v>33</v>
      </c>
      <c r="E1579" t="s">
        <v>28</v>
      </c>
      <c r="F1579" t="s">
        <v>887</v>
      </c>
      <c r="G1579" t="s">
        <v>30</v>
      </c>
      <c r="J1579" s="9">
        <v>0</v>
      </c>
      <c r="K1579" s="7">
        <v>0</v>
      </c>
      <c r="L1579" s="7">
        <v>0</v>
      </c>
      <c r="M1579" s="9">
        <v>1</v>
      </c>
      <c r="N1579" s="7">
        <v>6.2</v>
      </c>
      <c r="O1579" s="7">
        <v>2.9</v>
      </c>
      <c r="P1579" s="7">
        <v>4.3</v>
      </c>
      <c r="Q1579" t="s">
        <v>31</v>
      </c>
      <c r="R1579" s="7" t="str">
        <f>TEXT(Table1[[#This Row],[Date]],"mmm yyyy")</f>
        <v>Apr 2026</v>
      </c>
      <c r="S1579" s="9">
        <f>YEAR(Table1[[#This Row],[Date]])</f>
        <v>2026</v>
      </c>
      <c r="T1579" s="9"/>
      <c r="U1579" s="9"/>
    </row>
    <row r="1580" spans="1:21" hidden="1" x14ac:dyDescent="0.3">
      <c r="A1580" t="s">
        <v>2261</v>
      </c>
      <c r="B1580" s="6">
        <v>46024</v>
      </c>
      <c r="C1580" t="s">
        <v>26</v>
      </c>
      <c r="D1580" t="s">
        <v>36</v>
      </c>
      <c r="E1580" t="s">
        <v>20</v>
      </c>
      <c r="F1580" t="s">
        <v>1521</v>
      </c>
      <c r="G1580" t="s">
        <v>44</v>
      </c>
      <c r="J1580" s="9">
        <v>0</v>
      </c>
      <c r="K1580" s="7">
        <v>0</v>
      </c>
      <c r="L1580" s="7">
        <v>0</v>
      </c>
      <c r="M1580" s="9">
        <v>1</v>
      </c>
      <c r="N1580" s="7">
        <v>10.7</v>
      </c>
      <c r="O1580" s="7">
        <v>12.7</v>
      </c>
      <c r="P1580" s="7">
        <v>2.6</v>
      </c>
      <c r="Q1580" t="s">
        <v>62</v>
      </c>
      <c r="R1580" s="7" t="str">
        <f>TEXT(Table1[[#This Row],[Date]],"mmm yyyy")</f>
        <v>Jan 2026</v>
      </c>
      <c r="S1580" s="9">
        <f>YEAR(Table1[[#This Row],[Date]])</f>
        <v>2026</v>
      </c>
      <c r="T1580" s="9"/>
      <c r="U1580" s="9"/>
    </row>
    <row r="1581" spans="1:21" x14ac:dyDescent="0.3">
      <c r="A1581" t="s">
        <v>2262</v>
      </c>
      <c r="B1581" s="6">
        <v>46228</v>
      </c>
      <c r="C1581" t="s">
        <v>18</v>
      </c>
      <c r="D1581" t="s">
        <v>52</v>
      </c>
      <c r="E1581" t="s">
        <v>37</v>
      </c>
      <c r="F1581" t="s">
        <v>110</v>
      </c>
      <c r="G1581" t="s">
        <v>22</v>
      </c>
      <c r="H1581" t="s">
        <v>78</v>
      </c>
      <c r="I1581" t="s">
        <v>45</v>
      </c>
      <c r="J1581" s="9">
        <v>1</v>
      </c>
      <c r="K1581" s="7">
        <v>58600</v>
      </c>
      <c r="L1581" s="7">
        <v>0</v>
      </c>
      <c r="M1581" s="9"/>
      <c r="N1581" s="7">
        <v>18.399999999999999</v>
      </c>
      <c r="O1581" s="7"/>
      <c r="P1581" s="7"/>
      <c r="Q1581" t="s">
        <v>45</v>
      </c>
      <c r="R1581" s="7" t="str">
        <f>TEXT(Table1[[#This Row],[Date]],"mmm yyyy")</f>
        <v>Jul 2026</v>
      </c>
      <c r="S1581" s="9">
        <f>YEAR(Table1[[#This Row],[Date]])</f>
        <v>2026</v>
      </c>
      <c r="T1581" s="9"/>
      <c r="U1581" s="9"/>
    </row>
    <row r="1582" spans="1:21" x14ac:dyDescent="0.3">
      <c r="A1582" t="s">
        <v>2263</v>
      </c>
      <c r="B1582" s="6">
        <v>46095</v>
      </c>
      <c r="C1582" t="s">
        <v>18</v>
      </c>
      <c r="D1582" t="s">
        <v>117</v>
      </c>
      <c r="E1582" t="s">
        <v>48</v>
      </c>
      <c r="F1582" t="s">
        <v>57</v>
      </c>
      <c r="G1582" t="s">
        <v>22</v>
      </c>
      <c r="H1582" t="s">
        <v>66</v>
      </c>
      <c r="I1582" t="s">
        <v>79</v>
      </c>
      <c r="J1582" s="9">
        <v>1</v>
      </c>
      <c r="K1582" s="7">
        <v>15900</v>
      </c>
      <c r="L1582" s="7">
        <v>0</v>
      </c>
      <c r="M1582" s="9"/>
      <c r="N1582" s="7">
        <v>7.2</v>
      </c>
      <c r="O1582" s="7"/>
      <c r="P1582" s="7"/>
      <c r="Q1582" t="s">
        <v>79</v>
      </c>
      <c r="R1582" s="7" t="str">
        <f>TEXT(Table1[[#This Row],[Date]],"mmm yyyy")</f>
        <v>Mar 2026</v>
      </c>
      <c r="S1582" s="9">
        <f>YEAR(Table1[[#This Row],[Date]])</f>
        <v>2026</v>
      </c>
      <c r="T1582" s="9"/>
      <c r="U1582" s="9"/>
    </row>
    <row r="1583" spans="1:21" x14ac:dyDescent="0.3">
      <c r="A1583" t="s">
        <v>2264</v>
      </c>
      <c r="B1583" s="6">
        <v>46042</v>
      </c>
      <c r="C1583" t="s">
        <v>18</v>
      </c>
      <c r="D1583" t="s">
        <v>105</v>
      </c>
      <c r="E1583" t="s">
        <v>48</v>
      </c>
      <c r="F1583" t="s">
        <v>838</v>
      </c>
      <c r="G1583" t="s">
        <v>30</v>
      </c>
      <c r="H1583" t="s">
        <v>23</v>
      </c>
      <c r="I1583" t="s">
        <v>79</v>
      </c>
      <c r="J1583" s="9">
        <v>1</v>
      </c>
      <c r="K1583" s="7">
        <v>47700</v>
      </c>
      <c r="L1583" s="7">
        <v>0</v>
      </c>
      <c r="M1583" s="9"/>
      <c r="N1583" s="7">
        <v>21.5</v>
      </c>
      <c r="O1583" s="7"/>
      <c r="P1583" s="7"/>
      <c r="Q1583" t="s">
        <v>79</v>
      </c>
      <c r="R1583" s="7" t="str">
        <f>TEXT(Table1[[#This Row],[Date]],"mmm yyyy")</f>
        <v>Jan 2026</v>
      </c>
      <c r="S1583" s="9">
        <f>YEAR(Table1[[#This Row],[Date]])</f>
        <v>2026</v>
      </c>
      <c r="T1583" s="9"/>
      <c r="U1583" s="9"/>
    </row>
    <row r="1584" spans="1:21" hidden="1" x14ac:dyDescent="0.3">
      <c r="A1584" t="s">
        <v>2265</v>
      </c>
      <c r="B1584" s="6">
        <v>46191</v>
      </c>
      <c r="C1584" t="s">
        <v>26</v>
      </c>
      <c r="D1584" t="s">
        <v>27</v>
      </c>
      <c r="E1584" t="s">
        <v>48</v>
      </c>
      <c r="F1584" t="s">
        <v>193</v>
      </c>
      <c r="G1584" t="s">
        <v>30</v>
      </c>
      <c r="J1584" s="9">
        <v>0</v>
      </c>
      <c r="K1584" s="7">
        <v>0</v>
      </c>
      <c r="L1584" s="7">
        <v>0</v>
      </c>
      <c r="M1584" s="9">
        <v>1</v>
      </c>
      <c r="N1584" s="7">
        <v>1.3</v>
      </c>
      <c r="O1584" s="7">
        <v>1.8</v>
      </c>
      <c r="P1584" s="7">
        <v>3.7</v>
      </c>
      <c r="Q1584" t="s">
        <v>62</v>
      </c>
      <c r="R1584" s="7" t="str">
        <f>TEXT(Table1[[#This Row],[Date]],"mmm yyyy")</f>
        <v>Jun 2026</v>
      </c>
      <c r="S1584" s="9">
        <f>YEAR(Table1[[#This Row],[Date]])</f>
        <v>2026</v>
      </c>
      <c r="T1584" s="9"/>
      <c r="U1584" s="9"/>
    </row>
    <row r="1585" spans="1:21" x14ac:dyDescent="0.3">
      <c r="A1585" t="s">
        <v>2266</v>
      </c>
      <c r="B1585" s="6">
        <v>45916</v>
      </c>
      <c r="C1585" t="s">
        <v>18</v>
      </c>
      <c r="D1585" t="s">
        <v>64</v>
      </c>
      <c r="E1585" t="s">
        <v>20</v>
      </c>
      <c r="F1585" t="s">
        <v>1146</v>
      </c>
      <c r="G1585" t="s">
        <v>30</v>
      </c>
      <c r="H1585" t="s">
        <v>78</v>
      </c>
      <c r="I1585" t="s">
        <v>79</v>
      </c>
      <c r="J1585" s="9">
        <v>1</v>
      </c>
      <c r="K1585" s="7">
        <v>12600</v>
      </c>
      <c r="L1585" s="7">
        <v>0</v>
      </c>
      <c r="M1585" s="9"/>
      <c r="N1585" s="7">
        <v>4.2</v>
      </c>
      <c r="O1585" s="7"/>
      <c r="P1585" s="7"/>
      <c r="Q1585" t="s">
        <v>79</v>
      </c>
      <c r="R1585" s="7" t="str">
        <f>TEXT(Table1[[#This Row],[Date]],"mmm yyyy")</f>
        <v>Sep 2025</v>
      </c>
      <c r="S1585" s="9">
        <f>YEAR(Table1[[#This Row],[Date]])</f>
        <v>2025</v>
      </c>
      <c r="T1585" s="9"/>
      <c r="U1585" s="9"/>
    </row>
    <row r="1586" spans="1:21" hidden="1" x14ac:dyDescent="0.3">
      <c r="A1586" t="s">
        <v>2267</v>
      </c>
      <c r="B1586" s="6">
        <v>45963</v>
      </c>
      <c r="C1586" t="s">
        <v>26</v>
      </c>
      <c r="D1586" t="s">
        <v>232</v>
      </c>
      <c r="E1586" t="s">
        <v>20</v>
      </c>
      <c r="F1586" t="s">
        <v>2210</v>
      </c>
      <c r="G1586" t="s">
        <v>50</v>
      </c>
      <c r="J1586" s="9">
        <v>0</v>
      </c>
      <c r="K1586" s="7">
        <v>0</v>
      </c>
      <c r="L1586" s="7">
        <v>0</v>
      </c>
      <c r="M1586" s="9">
        <v>1</v>
      </c>
      <c r="N1586" s="7">
        <v>4.4000000000000004</v>
      </c>
      <c r="O1586" s="7">
        <v>4.0999999999999996</v>
      </c>
      <c r="P1586" s="7">
        <v>3.8</v>
      </c>
      <c r="Q1586" t="s">
        <v>62</v>
      </c>
      <c r="R1586" s="7" t="str">
        <f>TEXT(Table1[[#This Row],[Date]],"mmm yyyy")</f>
        <v>Nov 2025</v>
      </c>
      <c r="S1586" s="9">
        <f>YEAR(Table1[[#This Row],[Date]])</f>
        <v>2025</v>
      </c>
      <c r="T1586" s="9"/>
      <c r="U1586" s="9"/>
    </row>
    <row r="1587" spans="1:21" x14ac:dyDescent="0.3">
      <c r="A1587" t="s">
        <v>2268</v>
      </c>
      <c r="B1587" s="6">
        <v>45977</v>
      </c>
      <c r="C1587" t="s">
        <v>18</v>
      </c>
      <c r="D1587" t="s">
        <v>19</v>
      </c>
      <c r="E1587" t="s">
        <v>28</v>
      </c>
      <c r="F1587" t="s">
        <v>2269</v>
      </c>
      <c r="G1587" t="s">
        <v>44</v>
      </c>
      <c r="H1587" t="s">
        <v>66</v>
      </c>
      <c r="I1587" t="s">
        <v>89</v>
      </c>
      <c r="J1587" s="9">
        <v>1</v>
      </c>
      <c r="K1587" s="7">
        <v>33200</v>
      </c>
      <c r="L1587" s="7">
        <v>0</v>
      </c>
      <c r="M1587" s="9"/>
      <c r="N1587" s="7">
        <v>16.2</v>
      </c>
      <c r="O1587" s="7"/>
      <c r="P1587" s="7"/>
      <c r="Q1587" t="s">
        <v>89</v>
      </c>
      <c r="R1587" s="7" t="str">
        <f>TEXT(Table1[[#This Row],[Date]],"mmm yyyy")</f>
        <v>Nov 2025</v>
      </c>
      <c r="S1587" s="9">
        <f>YEAR(Table1[[#This Row],[Date]])</f>
        <v>2025</v>
      </c>
      <c r="T1587" s="9"/>
      <c r="U1587" s="9"/>
    </row>
    <row r="1588" spans="1:21" hidden="1" x14ac:dyDescent="0.3">
      <c r="A1588" t="s">
        <v>2270</v>
      </c>
      <c r="B1588" s="6">
        <v>45962</v>
      </c>
      <c r="C1588" t="s">
        <v>26</v>
      </c>
      <c r="D1588" t="s">
        <v>232</v>
      </c>
      <c r="E1588" t="s">
        <v>37</v>
      </c>
      <c r="F1588" t="s">
        <v>1841</v>
      </c>
      <c r="G1588" t="s">
        <v>50</v>
      </c>
      <c r="J1588" s="9">
        <v>0</v>
      </c>
      <c r="K1588" s="7">
        <v>0</v>
      </c>
      <c r="L1588" s="7">
        <v>0</v>
      </c>
      <c r="M1588" s="9">
        <v>1</v>
      </c>
      <c r="N1588" s="7">
        <v>3.9</v>
      </c>
      <c r="O1588" s="7">
        <v>12.6</v>
      </c>
      <c r="P1588" s="7">
        <v>5</v>
      </c>
      <c r="Q1588" t="s">
        <v>39</v>
      </c>
      <c r="R1588" s="7" t="str">
        <f>TEXT(Table1[[#This Row],[Date]],"mmm yyyy")</f>
        <v>Nov 2025</v>
      </c>
      <c r="S1588" s="9">
        <f>YEAR(Table1[[#This Row],[Date]])</f>
        <v>2025</v>
      </c>
      <c r="T1588" s="9"/>
      <c r="U1588" s="9"/>
    </row>
    <row r="1589" spans="1:21" x14ac:dyDescent="0.3">
      <c r="A1589" t="s">
        <v>2271</v>
      </c>
      <c r="B1589" s="6">
        <v>45920</v>
      </c>
      <c r="C1589" t="s">
        <v>18</v>
      </c>
      <c r="D1589" t="s">
        <v>64</v>
      </c>
      <c r="E1589" t="s">
        <v>48</v>
      </c>
      <c r="F1589" t="s">
        <v>683</v>
      </c>
      <c r="G1589" t="s">
        <v>30</v>
      </c>
      <c r="H1589" t="s">
        <v>86</v>
      </c>
      <c r="I1589" t="s">
        <v>45</v>
      </c>
      <c r="J1589" s="9">
        <v>1</v>
      </c>
      <c r="K1589" s="7">
        <v>36100</v>
      </c>
      <c r="L1589" s="7">
        <v>0</v>
      </c>
      <c r="M1589" s="9"/>
      <c r="N1589" s="7">
        <v>10.1</v>
      </c>
      <c r="O1589" s="7"/>
      <c r="P1589" s="7"/>
      <c r="Q1589" t="s">
        <v>45</v>
      </c>
      <c r="R1589" s="7" t="str">
        <f>TEXT(Table1[[#This Row],[Date]],"mmm yyyy")</f>
        <v>Sep 2025</v>
      </c>
      <c r="S1589" s="9">
        <f>YEAR(Table1[[#This Row],[Date]])</f>
        <v>2025</v>
      </c>
      <c r="T1589" s="9"/>
      <c r="U1589" s="9"/>
    </row>
    <row r="1590" spans="1:21" x14ac:dyDescent="0.3">
      <c r="A1590" t="s">
        <v>2272</v>
      </c>
      <c r="B1590" s="6">
        <v>46128</v>
      </c>
      <c r="C1590" t="s">
        <v>18</v>
      </c>
      <c r="D1590" t="s">
        <v>117</v>
      </c>
      <c r="E1590" t="s">
        <v>20</v>
      </c>
      <c r="F1590" t="s">
        <v>1020</v>
      </c>
      <c r="G1590" t="s">
        <v>44</v>
      </c>
      <c r="H1590" t="s">
        <v>66</v>
      </c>
      <c r="I1590" t="s">
        <v>79</v>
      </c>
      <c r="J1590" s="9">
        <v>1</v>
      </c>
      <c r="K1590" s="7">
        <v>77600</v>
      </c>
      <c r="L1590" s="7">
        <v>0</v>
      </c>
      <c r="M1590" s="9"/>
      <c r="N1590" s="7">
        <v>17.899999999999999</v>
      </c>
      <c r="O1590" s="7"/>
      <c r="P1590" s="7"/>
      <c r="Q1590" t="s">
        <v>79</v>
      </c>
      <c r="R1590" s="7" t="str">
        <f>TEXT(Table1[[#This Row],[Date]],"mmm yyyy")</f>
        <v>Apr 2026</v>
      </c>
      <c r="S1590" s="9">
        <f>YEAR(Table1[[#This Row],[Date]])</f>
        <v>2026</v>
      </c>
      <c r="T1590" s="9"/>
      <c r="U1590" s="9"/>
    </row>
    <row r="1591" spans="1:21" hidden="1" x14ac:dyDescent="0.3">
      <c r="A1591" t="s">
        <v>2273</v>
      </c>
      <c r="B1591" s="6">
        <v>46029</v>
      </c>
      <c r="C1591" t="s">
        <v>26</v>
      </c>
      <c r="D1591" t="s">
        <v>72</v>
      </c>
      <c r="E1591" t="s">
        <v>20</v>
      </c>
      <c r="F1591" t="s">
        <v>1150</v>
      </c>
      <c r="G1591" t="s">
        <v>50</v>
      </c>
      <c r="J1591" s="9">
        <v>0</v>
      </c>
      <c r="K1591" s="7">
        <v>0</v>
      </c>
      <c r="L1591" s="7">
        <v>0</v>
      </c>
      <c r="M1591" s="9">
        <v>1</v>
      </c>
      <c r="N1591" s="7">
        <v>4.2</v>
      </c>
      <c r="O1591" s="7">
        <v>3.4</v>
      </c>
      <c r="P1591" s="7">
        <v>2.2999999999999998</v>
      </c>
      <c r="Q1591" t="s">
        <v>31</v>
      </c>
      <c r="R1591" s="7" t="str">
        <f>TEXT(Table1[[#This Row],[Date]],"mmm yyyy")</f>
        <v>Jan 2026</v>
      </c>
      <c r="S1591" s="9">
        <f>YEAR(Table1[[#This Row],[Date]])</f>
        <v>2026</v>
      </c>
      <c r="T1591" s="9"/>
      <c r="U1591" s="9"/>
    </row>
    <row r="1592" spans="1:21" hidden="1" x14ac:dyDescent="0.3">
      <c r="A1592" t="s">
        <v>2274</v>
      </c>
      <c r="B1592" s="6">
        <v>46102</v>
      </c>
      <c r="C1592" t="s">
        <v>26</v>
      </c>
      <c r="D1592" t="s">
        <v>126</v>
      </c>
      <c r="E1592" t="s">
        <v>20</v>
      </c>
      <c r="F1592" t="s">
        <v>1083</v>
      </c>
      <c r="G1592" t="s">
        <v>50</v>
      </c>
      <c r="J1592" s="9">
        <v>0</v>
      </c>
      <c r="K1592" s="7">
        <v>0</v>
      </c>
      <c r="L1592" s="7">
        <v>0</v>
      </c>
      <c r="M1592" s="9">
        <v>1</v>
      </c>
      <c r="N1592" s="7">
        <v>4.3</v>
      </c>
      <c r="O1592" s="7">
        <v>5.3</v>
      </c>
      <c r="P1592" s="7">
        <v>5</v>
      </c>
      <c r="Q1592" t="s">
        <v>62</v>
      </c>
      <c r="R1592" s="7" t="str">
        <f>TEXT(Table1[[#This Row],[Date]],"mmm yyyy")</f>
        <v>Mar 2026</v>
      </c>
      <c r="S1592" s="9">
        <f>YEAR(Table1[[#This Row],[Date]])</f>
        <v>2026</v>
      </c>
      <c r="T1592" s="9"/>
      <c r="U1592" s="9"/>
    </row>
    <row r="1593" spans="1:21" hidden="1" x14ac:dyDescent="0.3">
      <c r="A1593" t="s">
        <v>2275</v>
      </c>
      <c r="B1593" s="6">
        <v>46197</v>
      </c>
      <c r="C1593" t="s">
        <v>26</v>
      </c>
      <c r="D1593" t="s">
        <v>36</v>
      </c>
      <c r="E1593" t="s">
        <v>20</v>
      </c>
      <c r="F1593" t="s">
        <v>2276</v>
      </c>
      <c r="G1593" t="s">
        <v>30</v>
      </c>
      <c r="J1593" s="9">
        <v>0</v>
      </c>
      <c r="K1593" s="7">
        <v>0</v>
      </c>
      <c r="L1593" s="7">
        <v>0</v>
      </c>
      <c r="M1593" s="9">
        <v>1</v>
      </c>
      <c r="N1593" s="7">
        <v>4.2</v>
      </c>
      <c r="O1593" s="7">
        <v>2.2000000000000002</v>
      </c>
      <c r="P1593" s="7">
        <v>4.8</v>
      </c>
      <c r="Q1593" t="s">
        <v>39</v>
      </c>
      <c r="R1593" s="7" t="str">
        <f>TEXT(Table1[[#This Row],[Date]],"mmm yyyy")</f>
        <v>Jun 2026</v>
      </c>
      <c r="S1593" s="9">
        <f>YEAR(Table1[[#This Row],[Date]])</f>
        <v>2026</v>
      </c>
      <c r="T1593" s="9"/>
      <c r="U1593" s="9"/>
    </row>
    <row r="1594" spans="1:21" x14ac:dyDescent="0.3">
      <c r="A1594" t="s">
        <v>2277</v>
      </c>
      <c r="B1594" s="6">
        <v>46125</v>
      </c>
      <c r="C1594" t="s">
        <v>18</v>
      </c>
      <c r="D1594" t="s">
        <v>19</v>
      </c>
      <c r="E1594" t="s">
        <v>37</v>
      </c>
      <c r="F1594" t="s">
        <v>1521</v>
      </c>
      <c r="G1594" t="s">
        <v>22</v>
      </c>
      <c r="H1594" t="s">
        <v>23</v>
      </c>
      <c r="I1594" t="s">
        <v>24</v>
      </c>
      <c r="J1594" s="9">
        <v>1</v>
      </c>
      <c r="K1594" s="7">
        <v>12500</v>
      </c>
      <c r="L1594" s="7">
        <v>12500</v>
      </c>
      <c r="M1594" s="9"/>
      <c r="N1594" s="7">
        <v>1</v>
      </c>
      <c r="O1594" s="7"/>
      <c r="P1594" s="7"/>
      <c r="Q1594" t="s">
        <v>24</v>
      </c>
      <c r="R1594" s="7" t="str">
        <f>TEXT(Table1[[#This Row],[Date]],"mmm yyyy")</f>
        <v>Apr 2026</v>
      </c>
      <c r="S1594" s="9">
        <f>YEAR(Table1[[#This Row],[Date]])</f>
        <v>2026</v>
      </c>
      <c r="T1594" s="9"/>
      <c r="U1594" s="9"/>
    </row>
    <row r="1595" spans="1:21" x14ac:dyDescent="0.3">
      <c r="A1595" t="s">
        <v>2278</v>
      </c>
      <c r="B1595" s="6">
        <v>46061</v>
      </c>
      <c r="C1595" t="s">
        <v>18</v>
      </c>
      <c r="D1595" t="s">
        <v>41</v>
      </c>
      <c r="E1595" t="s">
        <v>20</v>
      </c>
      <c r="F1595" t="s">
        <v>971</v>
      </c>
      <c r="G1595" t="s">
        <v>44</v>
      </c>
      <c r="H1595" t="s">
        <v>78</v>
      </c>
      <c r="I1595" t="s">
        <v>45</v>
      </c>
      <c r="J1595" s="9">
        <v>1</v>
      </c>
      <c r="K1595" s="7">
        <v>28100</v>
      </c>
      <c r="L1595" s="7">
        <v>0</v>
      </c>
      <c r="M1595" s="9"/>
      <c r="N1595" s="7">
        <v>23.6</v>
      </c>
      <c r="O1595" s="7"/>
      <c r="P1595" s="7"/>
      <c r="Q1595" t="s">
        <v>45</v>
      </c>
      <c r="R1595" s="7" t="str">
        <f>TEXT(Table1[[#This Row],[Date]],"mmm yyyy")</f>
        <v>Feb 2026</v>
      </c>
      <c r="S1595" s="9">
        <f>YEAR(Table1[[#This Row],[Date]])</f>
        <v>2026</v>
      </c>
      <c r="T1595" s="9"/>
      <c r="U1595" s="9"/>
    </row>
    <row r="1596" spans="1:21" hidden="1" x14ac:dyDescent="0.3">
      <c r="A1596" t="s">
        <v>2279</v>
      </c>
      <c r="B1596" s="6">
        <v>46120</v>
      </c>
      <c r="C1596" t="s">
        <v>26</v>
      </c>
      <c r="D1596" t="s">
        <v>114</v>
      </c>
      <c r="E1596" t="s">
        <v>37</v>
      </c>
      <c r="F1596" t="s">
        <v>2027</v>
      </c>
      <c r="G1596" t="s">
        <v>22</v>
      </c>
      <c r="J1596" s="9">
        <v>0</v>
      </c>
      <c r="K1596" s="7">
        <v>0</v>
      </c>
      <c r="L1596" s="7">
        <v>0</v>
      </c>
      <c r="M1596" s="9">
        <v>1</v>
      </c>
      <c r="N1596" s="7">
        <v>4.0999999999999996</v>
      </c>
      <c r="O1596" s="7">
        <v>3.5</v>
      </c>
      <c r="P1596" s="7">
        <v>3.9</v>
      </c>
      <c r="Q1596" t="s">
        <v>31</v>
      </c>
      <c r="R1596" s="7" t="str">
        <f>TEXT(Table1[[#This Row],[Date]],"mmm yyyy")</f>
        <v>Apr 2026</v>
      </c>
      <c r="S1596" s="9">
        <f>YEAR(Table1[[#This Row],[Date]])</f>
        <v>2026</v>
      </c>
      <c r="T1596" s="9"/>
      <c r="U1596" s="9"/>
    </row>
    <row r="1597" spans="1:21" hidden="1" x14ac:dyDescent="0.3">
      <c r="A1597" t="s">
        <v>2280</v>
      </c>
      <c r="B1597" s="6">
        <v>45906</v>
      </c>
      <c r="C1597" t="s">
        <v>26</v>
      </c>
      <c r="D1597" t="s">
        <v>69</v>
      </c>
      <c r="E1597" t="s">
        <v>48</v>
      </c>
      <c r="F1597" t="s">
        <v>328</v>
      </c>
      <c r="G1597" t="s">
        <v>22</v>
      </c>
      <c r="J1597" s="9">
        <v>0</v>
      </c>
      <c r="K1597" s="7">
        <v>0</v>
      </c>
      <c r="L1597" s="7">
        <v>0</v>
      </c>
      <c r="M1597" s="9">
        <v>1</v>
      </c>
      <c r="N1597" s="7">
        <v>5.2</v>
      </c>
      <c r="O1597" s="7">
        <v>3</v>
      </c>
      <c r="P1597" s="7">
        <v>4.5</v>
      </c>
      <c r="Q1597" t="s">
        <v>39</v>
      </c>
      <c r="R1597" s="7" t="str">
        <f>TEXT(Table1[[#This Row],[Date]],"mmm yyyy")</f>
        <v>Sep 2025</v>
      </c>
      <c r="S1597" s="9">
        <f>YEAR(Table1[[#This Row],[Date]])</f>
        <v>2025</v>
      </c>
      <c r="T1597" s="9"/>
      <c r="U1597" s="9"/>
    </row>
    <row r="1598" spans="1:21" x14ac:dyDescent="0.3">
      <c r="A1598" t="s">
        <v>2281</v>
      </c>
      <c r="B1598" s="6">
        <v>46063</v>
      </c>
      <c r="C1598" t="s">
        <v>18</v>
      </c>
      <c r="D1598" t="s">
        <v>19</v>
      </c>
      <c r="E1598" t="s">
        <v>20</v>
      </c>
      <c r="F1598" t="s">
        <v>358</v>
      </c>
      <c r="G1598" t="s">
        <v>22</v>
      </c>
      <c r="H1598" t="s">
        <v>66</v>
      </c>
      <c r="I1598" t="s">
        <v>89</v>
      </c>
      <c r="J1598" s="9">
        <v>1</v>
      </c>
      <c r="K1598" s="7">
        <v>8800</v>
      </c>
      <c r="L1598" s="7">
        <v>0</v>
      </c>
      <c r="M1598" s="9"/>
      <c r="N1598" s="7">
        <v>23.4</v>
      </c>
      <c r="O1598" s="7"/>
      <c r="P1598" s="7"/>
      <c r="Q1598" t="s">
        <v>89</v>
      </c>
      <c r="R1598" s="7" t="str">
        <f>TEXT(Table1[[#This Row],[Date]],"mmm yyyy")</f>
        <v>Feb 2026</v>
      </c>
      <c r="S1598" s="9">
        <f>YEAR(Table1[[#This Row],[Date]])</f>
        <v>2026</v>
      </c>
      <c r="T1598" s="9"/>
      <c r="U1598" s="9"/>
    </row>
    <row r="1599" spans="1:21" x14ac:dyDescent="0.3">
      <c r="A1599" t="s">
        <v>2282</v>
      </c>
      <c r="B1599" s="6">
        <v>46047</v>
      </c>
      <c r="C1599" t="s">
        <v>18</v>
      </c>
      <c r="D1599" t="s">
        <v>52</v>
      </c>
      <c r="E1599" t="s">
        <v>48</v>
      </c>
      <c r="F1599" t="s">
        <v>252</v>
      </c>
      <c r="G1599" t="s">
        <v>30</v>
      </c>
      <c r="H1599" t="s">
        <v>78</v>
      </c>
      <c r="I1599" t="s">
        <v>79</v>
      </c>
      <c r="J1599" s="9">
        <v>1</v>
      </c>
      <c r="K1599" s="7">
        <v>60400</v>
      </c>
      <c r="L1599" s="7">
        <v>0</v>
      </c>
      <c r="M1599" s="9"/>
      <c r="N1599" s="7">
        <v>14.5</v>
      </c>
      <c r="O1599" s="7"/>
      <c r="P1599" s="7"/>
      <c r="Q1599" t="s">
        <v>79</v>
      </c>
      <c r="R1599" s="7" t="str">
        <f>TEXT(Table1[[#This Row],[Date]],"mmm yyyy")</f>
        <v>Jan 2026</v>
      </c>
      <c r="S1599" s="9">
        <f>YEAR(Table1[[#This Row],[Date]])</f>
        <v>2026</v>
      </c>
      <c r="T1599" s="9"/>
      <c r="U1599" s="9"/>
    </row>
    <row r="1600" spans="1:21" x14ac:dyDescent="0.3">
      <c r="A1600" t="s">
        <v>2283</v>
      </c>
      <c r="B1600" s="6">
        <v>46019</v>
      </c>
      <c r="C1600" t="s">
        <v>18</v>
      </c>
      <c r="D1600" t="s">
        <v>19</v>
      </c>
      <c r="E1600" t="s">
        <v>48</v>
      </c>
      <c r="F1600" t="s">
        <v>706</v>
      </c>
      <c r="G1600" t="s">
        <v>30</v>
      </c>
      <c r="H1600" t="s">
        <v>78</v>
      </c>
      <c r="I1600" t="s">
        <v>24</v>
      </c>
      <c r="J1600" s="9">
        <v>1</v>
      </c>
      <c r="K1600" s="7">
        <v>14000</v>
      </c>
      <c r="L1600" s="7">
        <v>14000</v>
      </c>
      <c r="M1600" s="9"/>
      <c r="N1600" s="7">
        <v>13.9</v>
      </c>
      <c r="O1600" s="7"/>
      <c r="P1600" s="7"/>
      <c r="Q1600" t="s">
        <v>24</v>
      </c>
      <c r="R1600" s="7" t="str">
        <f>TEXT(Table1[[#This Row],[Date]],"mmm yyyy")</f>
        <v>Dec 2025</v>
      </c>
      <c r="S1600" s="9">
        <f>YEAR(Table1[[#This Row],[Date]])</f>
        <v>2025</v>
      </c>
      <c r="T1600" s="9"/>
      <c r="U1600" s="9"/>
    </row>
    <row r="1601" spans="1:21" hidden="1" x14ac:dyDescent="0.3">
      <c r="A1601" t="s">
        <v>2284</v>
      </c>
      <c r="B1601" s="6">
        <v>46159</v>
      </c>
      <c r="C1601" t="s">
        <v>26</v>
      </c>
      <c r="D1601" t="s">
        <v>72</v>
      </c>
      <c r="E1601" t="s">
        <v>20</v>
      </c>
      <c r="F1601" t="s">
        <v>1249</v>
      </c>
      <c r="G1601" t="s">
        <v>30</v>
      </c>
      <c r="J1601" s="9">
        <v>0</v>
      </c>
      <c r="K1601" s="7">
        <v>0</v>
      </c>
      <c r="L1601" s="7">
        <v>0</v>
      </c>
      <c r="M1601" s="9">
        <v>1</v>
      </c>
      <c r="N1601" s="7">
        <v>0.1</v>
      </c>
      <c r="O1601" s="7">
        <v>5.7</v>
      </c>
      <c r="P1601" s="7">
        <v>3.2</v>
      </c>
      <c r="Q1601" t="s">
        <v>62</v>
      </c>
      <c r="R1601" s="7" t="str">
        <f>TEXT(Table1[[#This Row],[Date]],"mmm yyyy")</f>
        <v>May 2026</v>
      </c>
      <c r="S1601" s="9">
        <f>YEAR(Table1[[#This Row],[Date]])</f>
        <v>2026</v>
      </c>
      <c r="T1601" s="9"/>
      <c r="U1601" s="9"/>
    </row>
    <row r="1602" spans="1:21" x14ac:dyDescent="0.3">
      <c r="A1602" t="s">
        <v>2285</v>
      </c>
      <c r="B1602" s="6">
        <v>46204</v>
      </c>
      <c r="C1602" t="s">
        <v>18</v>
      </c>
      <c r="D1602" t="s">
        <v>105</v>
      </c>
      <c r="E1602" t="s">
        <v>20</v>
      </c>
      <c r="F1602" t="s">
        <v>814</v>
      </c>
      <c r="G1602" t="s">
        <v>30</v>
      </c>
      <c r="H1602" t="s">
        <v>54</v>
      </c>
      <c r="I1602" t="s">
        <v>45</v>
      </c>
      <c r="J1602" s="9">
        <v>1</v>
      </c>
      <c r="K1602" s="7">
        <v>50300</v>
      </c>
      <c r="L1602" s="7">
        <v>0</v>
      </c>
      <c r="M1602" s="9"/>
      <c r="N1602" s="7">
        <v>22.2</v>
      </c>
      <c r="O1602" s="7"/>
      <c r="P1602" s="7"/>
      <c r="Q1602" t="s">
        <v>45</v>
      </c>
      <c r="R1602" s="7" t="str">
        <f>TEXT(Table1[[#This Row],[Date]],"mmm yyyy")</f>
        <v>Jul 2026</v>
      </c>
      <c r="S1602" s="9">
        <f>YEAR(Table1[[#This Row],[Date]])</f>
        <v>2026</v>
      </c>
      <c r="T1602" s="9"/>
      <c r="U1602" s="9"/>
    </row>
    <row r="1603" spans="1:21" x14ac:dyDescent="0.3">
      <c r="A1603" t="s">
        <v>2286</v>
      </c>
      <c r="B1603" s="6">
        <v>46155</v>
      </c>
      <c r="C1603" t="s">
        <v>18</v>
      </c>
      <c r="D1603" t="s">
        <v>41</v>
      </c>
      <c r="E1603" t="s">
        <v>28</v>
      </c>
      <c r="F1603" t="s">
        <v>1582</v>
      </c>
      <c r="G1603" t="s">
        <v>22</v>
      </c>
      <c r="H1603" t="s">
        <v>23</v>
      </c>
      <c r="I1603" t="s">
        <v>45</v>
      </c>
      <c r="J1603" s="9">
        <v>1</v>
      </c>
      <c r="K1603" s="7">
        <v>47600</v>
      </c>
      <c r="L1603" s="7">
        <v>0</v>
      </c>
      <c r="M1603" s="9"/>
      <c r="N1603" s="7">
        <v>21.6</v>
      </c>
      <c r="O1603" s="7"/>
      <c r="P1603" s="7"/>
      <c r="Q1603" t="s">
        <v>45</v>
      </c>
      <c r="R1603" s="7" t="str">
        <f>TEXT(Table1[[#This Row],[Date]],"mmm yyyy")</f>
        <v>May 2026</v>
      </c>
      <c r="S1603" s="9">
        <f>YEAR(Table1[[#This Row],[Date]])</f>
        <v>2026</v>
      </c>
      <c r="T1603" s="9"/>
      <c r="U1603" s="9"/>
    </row>
    <row r="1604" spans="1:21" x14ac:dyDescent="0.3">
      <c r="A1604" t="s">
        <v>2287</v>
      </c>
      <c r="B1604" s="6">
        <v>45933</v>
      </c>
      <c r="C1604" t="s">
        <v>18</v>
      </c>
      <c r="D1604" t="s">
        <v>117</v>
      </c>
      <c r="E1604" t="s">
        <v>48</v>
      </c>
      <c r="F1604" t="s">
        <v>1757</v>
      </c>
      <c r="G1604" t="s">
        <v>30</v>
      </c>
      <c r="H1604" t="s">
        <v>23</v>
      </c>
      <c r="I1604" t="s">
        <v>89</v>
      </c>
      <c r="J1604" s="9">
        <v>1</v>
      </c>
      <c r="K1604" s="7">
        <v>14800</v>
      </c>
      <c r="L1604" s="7">
        <v>0</v>
      </c>
      <c r="M1604" s="9"/>
      <c r="N1604" s="7">
        <v>19</v>
      </c>
      <c r="O1604" s="7"/>
      <c r="P1604" s="7"/>
      <c r="Q1604" t="s">
        <v>89</v>
      </c>
      <c r="R1604" s="7" t="str">
        <f>TEXT(Table1[[#This Row],[Date]],"mmm yyyy")</f>
        <v>Oct 2025</v>
      </c>
      <c r="S1604" s="9">
        <f>YEAR(Table1[[#This Row],[Date]])</f>
        <v>2025</v>
      </c>
      <c r="T1604" s="9"/>
      <c r="U1604" s="9"/>
    </row>
    <row r="1605" spans="1:21" x14ac:dyDescent="0.3">
      <c r="A1605" t="s">
        <v>2288</v>
      </c>
      <c r="B1605" s="6">
        <v>46055</v>
      </c>
      <c r="C1605" t="s">
        <v>18</v>
      </c>
      <c r="D1605" t="s">
        <v>52</v>
      </c>
      <c r="E1605" t="s">
        <v>48</v>
      </c>
      <c r="F1605" t="s">
        <v>1639</v>
      </c>
      <c r="G1605" t="s">
        <v>22</v>
      </c>
      <c r="H1605" t="s">
        <v>86</v>
      </c>
      <c r="I1605" t="s">
        <v>79</v>
      </c>
      <c r="J1605" s="9">
        <v>1</v>
      </c>
      <c r="K1605" s="7">
        <v>7700</v>
      </c>
      <c r="L1605" s="7">
        <v>0</v>
      </c>
      <c r="M1605" s="9"/>
      <c r="N1605" s="7">
        <v>6.4</v>
      </c>
      <c r="O1605" s="7"/>
      <c r="P1605" s="7"/>
      <c r="Q1605" t="s">
        <v>79</v>
      </c>
      <c r="R1605" s="7" t="str">
        <f>TEXT(Table1[[#This Row],[Date]],"mmm yyyy")</f>
        <v>Feb 2026</v>
      </c>
      <c r="S1605" s="9">
        <f>YEAR(Table1[[#This Row],[Date]])</f>
        <v>2026</v>
      </c>
      <c r="T1605" s="9"/>
      <c r="U1605" s="9"/>
    </row>
    <row r="1606" spans="1:21" x14ac:dyDescent="0.3">
      <c r="A1606" t="s">
        <v>2289</v>
      </c>
      <c r="B1606" s="6">
        <v>46043</v>
      </c>
      <c r="C1606" t="s">
        <v>18</v>
      </c>
      <c r="D1606" t="s">
        <v>19</v>
      </c>
      <c r="E1606" t="s">
        <v>20</v>
      </c>
      <c r="F1606" t="s">
        <v>1063</v>
      </c>
      <c r="G1606" t="s">
        <v>44</v>
      </c>
      <c r="H1606" t="s">
        <v>78</v>
      </c>
      <c r="I1606" t="s">
        <v>67</v>
      </c>
      <c r="J1606" s="9">
        <v>1</v>
      </c>
      <c r="K1606" s="7">
        <v>16900</v>
      </c>
      <c r="L1606" s="7">
        <v>0</v>
      </c>
      <c r="M1606" s="9"/>
      <c r="N1606" s="7">
        <v>16.8</v>
      </c>
      <c r="O1606" s="7"/>
      <c r="P1606" s="7"/>
      <c r="Q1606" t="s">
        <v>67</v>
      </c>
      <c r="R1606" s="7" t="str">
        <f>TEXT(Table1[[#This Row],[Date]],"mmm yyyy")</f>
        <v>Jan 2026</v>
      </c>
      <c r="S1606" s="9">
        <f>YEAR(Table1[[#This Row],[Date]])</f>
        <v>2026</v>
      </c>
      <c r="T1606" s="9"/>
      <c r="U1606" s="9"/>
    </row>
    <row r="1607" spans="1:21" x14ac:dyDescent="0.3">
      <c r="A1607" t="s">
        <v>2290</v>
      </c>
      <c r="B1607" s="6">
        <v>46239</v>
      </c>
      <c r="C1607" t="s">
        <v>18</v>
      </c>
      <c r="D1607" t="s">
        <v>19</v>
      </c>
      <c r="E1607" t="s">
        <v>20</v>
      </c>
      <c r="F1607" t="s">
        <v>1528</v>
      </c>
      <c r="G1607" t="s">
        <v>30</v>
      </c>
      <c r="H1607" t="s">
        <v>78</v>
      </c>
      <c r="I1607" t="s">
        <v>45</v>
      </c>
      <c r="J1607" s="9">
        <v>1</v>
      </c>
      <c r="K1607" s="7">
        <v>37300</v>
      </c>
      <c r="L1607" s="7">
        <v>0</v>
      </c>
      <c r="M1607" s="9"/>
      <c r="N1607" s="7">
        <v>16.600000000000001</v>
      </c>
      <c r="O1607" s="7"/>
      <c r="P1607" s="7"/>
      <c r="Q1607" t="s">
        <v>45</v>
      </c>
      <c r="R1607" s="7" t="str">
        <f>TEXT(Table1[[#This Row],[Date]],"mmm yyyy")</f>
        <v>Aug 2026</v>
      </c>
      <c r="S1607" s="9">
        <f>YEAR(Table1[[#This Row],[Date]])</f>
        <v>2026</v>
      </c>
      <c r="T1607" s="9"/>
      <c r="U1607" s="9"/>
    </row>
    <row r="1608" spans="1:21" x14ac:dyDescent="0.3">
      <c r="A1608" t="s">
        <v>2291</v>
      </c>
      <c r="B1608" s="6">
        <v>46206</v>
      </c>
      <c r="C1608" t="s">
        <v>18</v>
      </c>
      <c r="D1608" t="s">
        <v>95</v>
      </c>
      <c r="E1608" t="s">
        <v>20</v>
      </c>
      <c r="F1608" t="s">
        <v>61</v>
      </c>
      <c r="G1608" t="s">
        <v>30</v>
      </c>
      <c r="H1608" t="s">
        <v>54</v>
      </c>
      <c r="I1608" t="s">
        <v>55</v>
      </c>
      <c r="J1608" s="9">
        <v>1</v>
      </c>
      <c r="K1608" s="7">
        <v>16100</v>
      </c>
      <c r="L1608" s="7">
        <v>0</v>
      </c>
      <c r="M1608" s="9"/>
      <c r="N1608" s="7">
        <v>15</v>
      </c>
      <c r="O1608" s="7"/>
      <c r="P1608" s="7"/>
      <c r="Q1608" t="s">
        <v>55</v>
      </c>
      <c r="R1608" s="7" t="str">
        <f>TEXT(Table1[[#This Row],[Date]],"mmm yyyy")</f>
        <v>Jul 2026</v>
      </c>
      <c r="S1608" s="9">
        <f>YEAR(Table1[[#This Row],[Date]])</f>
        <v>2026</v>
      </c>
      <c r="T1608" s="9"/>
      <c r="U1608" s="9"/>
    </row>
    <row r="1609" spans="1:21" hidden="1" x14ac:dyDescent="0.3">
      <c r="A1609" t="s">
        <v>2292</v>
      </c>
      <c r="B1609" s="6">
        <v>45967</v>
      </c>
      <c r="C1609" t="s">
        <v>26</v>
      </c>
      <c r="D1609" t="s">
        <v>114</v>
      </c>
      <c r="E1609" t="s">
        <v>28</v>
      </c>
      <c r="F1609" t="s">
        <v>237</v>
      </c>
      <c r="G1609" t="s">
        <v>50</v>
      </c>
      <c r="J1609" s="9">
        <v>0</v>
      </c>
      <c r="K1609" s="7">
        <v>0</v>
      </c>
      <c r="L1609" s="7">
        <v>0</v>
      </c>
      <c r="M1609" s="9">
        <v>1</v>
      </c>
      <c r="N1609" s="7">
        <v>4.8</v>
      </c>
      <c r="O1609" s="7">
        <v>11.5</v>
      </c>
      <c r="P1609" s="7">
        <v>4.5999999999999996</v>
      </c>
      <c r="Q1609" t="s">
        <v>31</v>
      </c>
      <c r="R1609" s="7" t="str">
        <f>TEXT(Table1[[#This Row],[Date]],"mmm yyyy")</f>
        <v>Nov 2025</v>
      </c>
      <c r="S1609" s="9">
        <f>YEAR(Table1[[#This Row],[Date]])</f>
        <v>2025</v>
      </c>
      <c r="T1609" s="9"/>
      <c r="U1609" s="9"/>
    </row>
    <row r="1610" spans="1:21" x14ac:dyDescent="0.3">
      <c r="A1610" t="s">
        <v>2293</v>
      </c>
      <c r="B1610" s="6">
        <v>45980</v>
      </c>
      <c r="C1610" t="s">
        <v>18</v>
      </c>
      <c r="D1610" t="s">
        <v>19</v>
      </c>
      <c r="E1610" t="s">
        <v>20</v>
      </c>
      <c r="F1610" t="s">
        <v>417</v>
      </c>
      <c r="G1610" t="s">
        <v>30</v>
      </c>
      <c r="H1610" t="s">
        <v>23</v>
      </c>
      <c r="I1610" t="s">
        <v>67</v>
      </c>
      <c r="J1610" s="9">
        <v>1</v>
      </c>
      <c r="K1610" s="7">
        <v>5000</v>
      </c>
      <c r="L1610" s="7">
        <v>0</v>
      </c>
      <c r="M1610" s="9"/>
      <c r="N1610" s="7">
        <v>11.3</v>
      </c>
      <c r="O1610" s="7"/>
      <c r="P1610" s="7"/>
      <c r="Q1610" t="s">
        <v>67</v>
      </c>
      <c r="R1610" s="7" t="str">
        <f>TEXT(Table1[[#This Row],[Date]],"mmm yyyy")</f>
        <v>Nov 2025</v>
      </c>
      <c r="S1610" s="9">
        <f>YEAR(Table1[[#This Row],[Date]])</f>
        <v>2025</v>
      </c>
      <c r="T1610" s="9"/>
      <c r="U1610" s="9"/>
    </row>
    <row r="1611" spans="1:21" x14ac:dyDescent="0.3">
      <c r="A1611" t="s">
        <v>2294</v>
      </c>
      <c r="B1611" s="6">
        <v>46069</v>
      </c>
      <c r="C1611" t="s">
        <v>18</v>
      </c>
      <c r="D1611" t="s">
        <v>64</v>
      </c>
      <c r="E1611" t="s">
        <v>20</v>
      </c>
      <c r="F1611" t="s">
        <v>572</v>
      </c>
      <c r="G1611" t="s">
        <v>30</v>
      </c>
      <c r="H1611" t="s">
        <v>78</v>
      </c>
      <c r="I1611" t="s">
        <v>67</v>
      </c>
      <c r="J1611" s="9">
        <v>1</v>
      </c>
      <c r="K1611" s="7">
        <v>7700</v>
      </c>
      <c r="L1611" s="7">
        <v>0</v>
      </c>
      <c r="M1611" s="9"/>
      <c r="N1611" s="7">
        <v>11.7</v>
      </c>
      <c r="O1611" s="7"/>
      <c r="P1611" s="7"/>
      <c r="Q1611" t="s">
        <v>67</v>
      </c>
      <c r="R1611" s="7" t="str">
        <f>TEXT(Table1[[#This Row],[Date]],"mmm yyyy")</f>
        <v>Feb 2026</v>
      </c>
      <c r="S1611" s="9">
        <f>YEAR(Table1[[#This Row],[Date]])</f>
        <v>2026</v>
      </c>
      <c r="T1611" s="9"/>
      <c r="U1611" s="9"/>
    </row>
    <row r="1612" spans="1:21" hidden="1" x14ac:dyDescent="0.3">
      <c r="A1612" t="s">
        <v>2295</v>
      </c>
      <c r="B1612" s="6">
        <v>46228</v>
      </c>
      <c r="C1612" t="s">
        <v>26</v>
      </c>
      <c r="D1612" t="s">
        <v>36</v>
      </c>
      <c r="E1612" t="s">
        <v>20</v>
      </c>
      <c r="F1612" t="s">
        <v>2296</v>
      </c>
      <c r="G1612" t="s">
        <v>30</v>
      </c>
      <c r="J1612" s="9">
        <v>0</v>
      </c>
      <c r="K1612" s="7">
        <v>0</v>
      </c>
      <c r="L1612" s="7">
        <v>0</v>
      </c>
      <c r="M1612" s="9">
        <v>1</v>
      </c>
      <c r="N1612" s="7">
        <v>2.1</v>
      </c>
      <c r="O1612" s="7">
        <v>5.5</v>
      </c>
      <c r="P1612" s="7">
        <v>4.0999999999999996</v>
      </c>
      <c r="Q1612" t="s">
        <v>39</v>
      </c>
      <c r="R1612" s="7" t="str">
        <f>TEXT(Table1[[#This Row],[Date]],"mmm yyyy")</f>
        <v>Jul 2026</v>
      </c>
      <c r="S1612" s="9">
        <f>YEAR(Table1[[#This Row],[Date]])</f>
        <v>2026</v>
      </c>
      <c r="T1612" s="9"/>
      <c r="U1612" s="9"/>
    </row>
    <row r="1613" spans="1:21" hidden="1" x14ac:dyDescent="0.3">
      <c r="A1613" t="s">
        <v>2297</v>
      </c>
      <c r="B1613" s="6">
        <v>46203</v>
      </c>
      <c r="C1613" t="s">
        <v>26</v>
      </c>
      <c r="D1613" t="s">
        <v>72</v>
      </c>
      <c r="E1613" t="s">
        <v>28</v>
      </c>
      <c r="F1613" t="s">
        <v>172</v>
      </c>
      <c r="G1613" t="s">
        <v>30</v>
      </c>
      <c r="J1613" s="9">
        <v>0</v>
      </c>
      <c r="K1613" s="7">
        <v>0</v>
      </c>
      <c r="L1613" s="7">
        <v>0</v>
      </c>
      <c r="M1613" s="9">
        <v>1</v>
      </c>
      <c r="N1613" s="7">
        <v>8.9</v>
      </c>
      <c r="O1613" s="7">
        <v>10.5</v>
      </c>
      <c r="P1613" s="7">
        <v>4.9000000000000004</v>
      </c>
      <c r="Q1613" t="s">
        <v>39</v>
      </c>
      <c r="R1613" s="7" t="str">
        <f>TEXT(Table1[[#This Row],[Date]],"mmm yyyy")</f>
        <v>Jun 2026</v>
      </c>
      <c r="S1613" s="9">
        <f>YEAR(Table1[[#This Row],[Date]])</f>
        <v>2026</v>
      </c>
      <c r="T1613" s="9"/>
      <c r="U1613" s="9"/>
    </row>
    <row r="1614" spans="1:21" x14ac:dyDescent="0.3">
      <c r="A1614" t="s">
        <v>2298</v>
      </c>
      <c r="B1614" s="6">
        <v>46126</v>
      </c>
      <c r="C1614" t="s">
        <v>18</v>
      </c>
      <c r="D1614" t="s">
        <v>95</v>
      </c>
      <c r="E1614" t="s">
        <v>28</v>
      </c>
      <c r="F1614" t="s">
        <v>777</v>
      </c>
      <c r="G1614" t="s">
        <v>22</v>
      </c>
      <c r="H1614" t="s">
        <v>66</v>
      </c>
      <c r="I1614" t="s">
        <v>67</v>
      </c>
      <c r="J1614" s="9">
        <v>1</v>
      </c>
      <c r="K1614" s="7">
        <v>59600</v>
      </c>
      <c r="L1614" s="7">
        <v>0</v>
      </c>
      <c r="M1614" s="9"/>
      <c r="N1614" s="7">
        <v>5.5</v>
      </c>
      <c r="O1614" s="7"/>
      <c r="P1614" s="7"/>
      <c r="Q1614" t="s">
        <v>67</v>
      </c>
      <c r="R1614" s="7" t="str">
        <f>TEXT(Table1[[#This Row],[Date]],"mmm yyyy")</f>
        <v>Apr 2026</v>
      </c>
      <c r="S1614" s="9">
        <f>YEAR(Table1[[#This Row],[Date]])</f>
        <v>2026</v>
      </c>
      <c r="T1614" s="9"/>
      <c r="U1614" s="9"/>
    </row>
    <row r="1615" spans="1:21" x14ac:dyDescent="0.3">
      <c r="A1615" t="s">
        <v>2299</v>
      </c>
      <c r="B1615" s="6">
        <v>46149</v>
      </c>
      <c r="C1615" t="s">
        <v>18</v>
      </c>
      <c r="D1615" t="s">
        <v>52</v>
      </c>
      <c r="E1615" t="s">
        <v>20</v>
      </c>
      <c r="F1615" t="s">
        <v>596</v>
      </c>
      <c r="G1615" t="s">
        <v>22</v>
      </c>
      <c r="H1615" t="s">
        <v>23</v>
      </c>
      <c r="I1615" t="s">
        <v>45</v>
      </c>
      <c r="J1615" s="9">
        <v>1</v>
      </c>
      <c r="K1615" s="7">
        <v>40900</v>
      </c>
      <c r="L1615" s="7">
        <v>0</v>
      </c>
      <c r="M1615" s="9"/>
      <c r="N1615" s="7">
        <v>13.2</v>
      </c>
      <c r="O1615" s="7"/>
      <c r="P1615" s="7"/>
      <c r="Q1615" t="s">
        <v>45</v>
      </c>
      <c r="R1615" s="7" t="str">
        <f>TEXT(Table1[[#This Row],[Date]],"mmm yyyy")</f>
        <v>May 2026</v>
      </c>
      <c r="S1615" s="9">
        <f>YEAR(Table1[[#This Row],[Date]])</f>
        <v>2026</v>
      </c>
      <c r="T1615" s="9"/>
      <c r="U1615" s="9"/>
    </row>
    <row r="1616" spans="1:21" x14ac:dyDescent="0.3">
      <c r="A1616" t="s">
        <v>2300</v>
      </c>
      <c r="B1616" s="6">
        <v>46169</v>
      </c>
      <c r="C1616" t="s">
        <v>18</v>
      </c>
      <c r="D1616" t="s">
        <v>95</v>
      </c>
      <c r="E1616" t="s">
        <v>20</v>
      </c>
      <c r="F1616" t="s">
        <v>1304</v>
      </c>
      <c r="G1616" t="s">
        <v>30</v>
      </c>
      <c r="H1616" t="s">
        <v>54</v>
      </c>
      <c r="I1616" t="s">
        <v>89</v>
      </c>
      <c r="J1616" s="9">
        <v>1</v>
      </c>
      <c r="K1616" s="7">
        <v>23300</v>
      </c>
      <c r="L1616" s="7">
        <v>0</v>
      </c>
      <c r="M1616" s="9"/>
      <c r="N1616" s="7">
        <v>7.6</v>
      </c>
      <c r="O1616" s="7"/>
      <c r="P1616" s="7"/>
      <c r="Q1616" t="s">
        <v>89</v>
      </c>
      <c r="R1616" s="7" t="str">
        <f>TEXT(Table1[[#This Row],[Date]],"mmm yyyy")</f>
        <v>May 2026</v>
      </c>
      <c r="S1616" s="9">
        <f>YEAR(Table1[[#This Row],[Date]])</f>
        <v>2026</v>
      </c>
      <c r="T1616" s="9"/>
      <c r="U1616" s="9"/>
    </row>
    <row r="1617" spans="1:21" hidden="1" x14ac:dyDescent="0.3">
      <c r="A1617" t="s">
        <v>2301</v>
      </c>
      <c r="B1617" s="6">
        <v>46073</v>
      </c>
      <c r="C1617" t="s">
        <v>26</v>
      </c>
      <c r="D1617" t="s">
        <v>114</v>
      </c>
      <c r="E1617" t="s">
        <v>20</v>
      </c>
      <c r="F1617" t="s">
        <v>1940</v>
      </c>
      <c r="G1617" t="s">
        <v>22</v>
      </c>
      <c r="J1617" s="9">
        <v>0</v>
      </c>
      <c r="K1617" s="7">
        <v>0</v>
      </c>
      <c r="L1617" s="7">
        <v>0</v>
      </c>
      <c r="M1617" s="9">
        <v>1</v>
      </c>
      <c r="N1617" s="7">
        <v>1</v>
      </c>
      <c r="O1617" s="7">
        <v>8.5</v>
      </c>
      <c r="P1617" s="7">
        <v>4.8</v>
      </c>
      <c r="Q1617" t="s">
        <v>39</v>
      </c>
      <c r="R1617" s="7" t="str">
        <f>TEXT(Table1[[#This Row],[Date]],"mmm yyyy")</f>
        <v>Feb 2026</v>
      </c>
      <c r="S1617" s="9">
        <f>YEAR(Table1[[#This Row],[Date]])</f>
        <v>2026</v>
      </c>
      <c r="T1617" s="9"/>
      <c r="U1617" s="9"/>
    </row>
    <row r="1618" spans="1:21" hidden="1" x14ac:dyDescent="0.3">
      <c r="A1618" t="s">
        <v>2302</v>
      </c>
      <c r="B1618" s="6">
        <v>46132</v>
      </c>
      <c r="C1618" t="s">
        <v>26</v>
      </c>
      <c r="D1618" t="s">
        <v>72</v>
      </c>
      <c r="E1618" t="s">
        <v>28</v>
      </c>
      <c r="F1618" t="s">
        <v>827</v>
      </c>
      <c r="G1618" t="s">
        <v>30</v>
      </c>
      <c r="J1618" s="9">
        <v>0</v>
      </c>
      <c r="K1618" s="7">
        <v>0</v>
      </c>
      <c r="L1618" s="7">
        <v>0</v>
      </c>
      <c r="M1618" s="9">
        <v>1</v>
      </c>
      <c r="N1618" s="7">
        <v>2.2999999999999998</v>
      </c>
      <c r="O1618" s="7">
        <v>4.5999999999999996</v>
      </c>
      <c r="P1618" s="7">
        <v>4.8</v>
      </c>
      <c r="Q1618" t="s">
        <v>31</v>
      </c>
      <c r="R1618" s="7" t="str">
        <f>TEXT(Table1[[#This Row],[Date]],"mmm yyyy")</f>
        <v>Apr 2026</v>
      </c>
      <c r="S1618" s="9">
        <f>YEAR(Table1[[#This Row],[Date]])</f>
        <v>2026</v>
      </c>
      <c r="T1618" s="9"/>
      <c r="U1618" s="9"/>
    </row>
    <row r="1619" spans="1:21" hidden="1" x14ac:dyDescent="0.3">
      <c r="A1619" t="s">
        <v>2303</v>
      </c>
      <c r="B1619" s="6">
        <v>46165</v>
      </c>
      <c r="C1619" t="s">
        <v>26</v>
      </c>
      <c r="D1619" t="s">
        <v>126</v>
      </c>
      <c r="E1619" t="s">
        <v>20</v>
      </c>
      <c r="F1619" t="s">
        <v>1784</v>
      </c>
      <c r="G1619" t="s">
        <v>30</v>
      </c>
      <c r="J1619" s="9">
        <v>0</v>
      </c>
      <c r="K1619" s="7">
        <v>0</v>
      </c>
      <c r="L1619" s="7">
        <v>0</v>
      </c>
      <c r="M1619" s="9">
        <v>1</v>
      </c>
      <c r="N1619" s="7">
        <v>3.5</v>
      </c>
      <c r="O1619" s="7">
        <v>13.1</v>
      </c>
      <c r="P1619" s="7">
        <v>3.7</v>
      </c>
      <c r="Q1619" t="s">
        <v>31</v>
      </c>
      <c r="R1619" s="7" t="str">
        <f>TEXT(Table1[[#This Row],[Date]],"mmm yyyy")</f>
        <v>May 2026</v>
      </c>
      <c r="S1619" s="9">
        <f>YEAR(Table1[[#This Row],[Date]])</f>
        <v>2026</v>
      </c>
      <c r="T1619" s="9"/>
      <c r="U1619" s="9"/>
    </row>
    <row r="1620" spans="1:21" hidden="1" x14ac:dyDescent="0.3">
      <c r="A1620" t="s">
        <v>2304</v>
      </c>
      <c r="B1620" s="6">
        <v>46133</v>
      </c>
      <c r="C1620" t="s">
        <v>26</v>
      </c>
      <c r="D1620" t="s">
        <v>36</v>
      </c>
      <c r="E1620" t="s">
        <v>42</v>
      </c>
      <c r="F1620" t="s">
        <v>178</v>
      </c>
      <c r="G1620" t="s">
        <v>44</v>
      </c>
      <c r="J1620" s="9">
        <v>0</v>
      </c>
      <c r="K1620" s="7">
        <v>0</v>
      </c>
      <c r="L1620" s="7">
        <v>0</v>
      </c>
      <c r="M1620" s="9">
        <v>1</v>
      </c>
      <c r="N1620" s="7">
        <v>6.5</v>
      </c>
      <c r="O1620" s="7">
        <v>5.9</v>
      </c>
      <c r="P1620" s="7">
        <v>4.3</v>
      </c>
      <c r="Q1620" t="s">
        <v>225</v>
      </c>
      <c r="R1620" s="7" t="str">
        <f>TEXT(Table1[[#This Row],[Date]],"mmm yyyy")</f>
        <v>Apr 2026</v>
      </c>
      <c r="S1620" s="9">
        <f>YEAR(Table1[[#This Row],[Date]])</f>
        <v>2026</v>
      </c>
      <c r="T1620" s="9"/>
      <c r="U1620" s="9"/>
    </row>
    <row r="1621" spans="1:21" hidden="1" x14ac:dyDescent="0.3">
      <c r="A1621" t="s">
        <v>2305</v>
      </c>
      <c r="B1621" s="6">
        <v>46175</v>
      </c>
      <c r="C1621" t="s">
        <v>26</v>
      </c>
      <c r="D1621" t="s">
        <v>72</v>
      </c>
      <c r="E1621" t="s">
        <v>42</v>
      </c>
      <c r="F1621" t="s">
        <v>2306</v>
      </c>
      <c r="G1621" t="s">
        <v>50</v>
      </c>
      <c r="J1621" s="9">
        <v>0</v>
      </c>
      <c r="K1621" s="7">
        <v>0</v>
      </c>
      <c r="L1621" s="7">
        <v>0</v>
      </c>
      <c r="M1621" s="9">
        <v>1</v>
      </c>
      <c r="N1621" s="7">
        <v>9.5</v>
      </c>
      <c r="O1621" s="7">
        <v>6.4</v>
      </c>
      <c r="P1621" s="7">
        <v>3</v>
      </c>
      <c r="Q1621" t="s">
        <v>39</v>
      </c>
      <c r="R1621" s="7" t="str">
        <f>TEXT(Table1[[#This Row],[Date]],"mmm yyyy")</f>
        <v>Jun 2026</v>
      </c>
      <c r="S1621" s="9">
        <f>YEAR(Table1[[#This Row],[Date]])</f>
        <v>2026</v>
      </c>
      <c r="T1621" s="9"/>
      <c r="U1621" s="9"/>
    </row>
    <row r="1622" spans="1:21" x14ac:dyDescent="0.3">
      <c r="A1622" t="s">
        <v>2307</v>
      </c>
      <c r="B1622" s="6">
        <v>46192</v>
      </c>
      <c r="C1622" t="s">
        <v>18</v>
      </c>
      <c r="D1622" t="s">
        <v>19</v>
      </c>
      <c r="E1622" t="s">
        <v>48</v>
      </c>
      <c r="F1622" t="s">
        <v>1373</v>
      </c>
      <c r="G1622" t="s">
        <v>22</v>
      </c>
      <c r="H1622" t="s">
        <v>66</v>
      </c>
      <c r="I1622" t="s">
        <v>24</v>
      </c>
      <c r="J1622" s="9">
        <v>1</v>
      </c>
      <c r="K1622" s="7">
        <v>17700</v>
      </c>
      <c r="L1622" s="7">
        <v>17700</v>
      </c>
      <c r="M1622" s="9"/>
      <c r="N1622" s="7">
        <v>16.100000000000001</v>
      </c>
      <c r="O1622" s="7"/>
      <c r="P1622" s="7"/>
      <c r="Q1622" t="s">
        <v>24</v>
      </c>
      <c r="R1622" s="7" t="str">
        <f>TEXT(Table1[[#This Row],[Date]],"mmm yyyy")</f>
        <v>Jun 2026</v>
      </c>
      <c r="S1622" s="9">
        <f>YEAR(Table1[[#This Row],[Date]])</f>
        <v>2026</v>
      </c>
      <c r="T1622" s="9"/>
      <c r="U1622" s="9"/>
    </row>
    <row r="1623" spans="1:21" x14ac:dyDescent="0.3">
      <c r="A1623" t="s">
        <v>2308</v>
      </c>
      <c r="B1623" s="6">
        <v>46057</v>
      </c>
      <c r="C1623" t="s">
        <v>18</v>
      </c>
      <c r="D1623" t="s">
        <v>47</v>
      </c>
      <c r="E1623" t="s">
        <v>42</v>
      </c>
      <c r="F1623" t="s">
        <v>197</v>
      </c>
      <c r="G1623" t="s">
        <v>22</v>
      </c>
      <c r="H1623" t="s">
        <v>86</v>
      </c>
      <c r="I1623" t="s">
        <v>89</v>
      </c>
      <c r="J1623" s="9">
        <v>1</v>
      </c>
      <c r="K1623" s="7">
        <v>147900</v>
      </c>
      <c r="L1623" s="7">
        <v>0</v>
      </c>
      <c r="M1623" s="9"/>
      <c r="N1623" s="7">
        <v>9.8000000000000007</v>
      </c>
      <c r="O1623" s="7"/>
      <c r="P1623" s="7"/>
      <c r="Q1623" t="s">
        <v>89</v>
      </c>
      <c r="R1623" s="7" t="str">
        <f>TEXT(Table1[[#This Row],[Date]],"mmm yyyy")</f>
        <v>Feb 2026</v>
      </c>
      <c r="S1623" s="9">
        <f>YEAR(Table1[[#This Row],[Date]])</f>
        <v>2026</v>
      </c>
      <c r="T1623" s="9"/>
      <c r="U1623" s="9"/>
    </row>
    <row r="1624" spans="1:21" hidden="1" x14ac:dyDescent="0.3">
      <c r="A1624" t="s">
        <v>2309</v>
      </c>
      <c r="B1624" s="6">
        <v>46102</v>
      </c>
      <c r="C1624" t="s">
        <v>26</v>
      </c>
      <c r="D1624" t="s">
        <v>36</v>
      </c>
      <c r="E1624" t="s">
        <v>20</v>
      </c>
      <c r="F1624" t="s">
        <v>2310</v>
      </c>
      <c r="G1624" t="s">
        <v>22</v>
      </c>
      <c r="J1624" s="9">
        <v>0</v>
      </c>
      <c r="K1624" s="7">
        <v>0</v>
      </c>
      <c r="L1624" s="7">
        <v>0</v>
      </c>
      <c r="M1624" s="9">
        <v>1</v>
      </c>
      <c r="N1624" s="7">
        <v>8.9</v>
      </c>
      <c r="O1624" s="7">
        <v>10.8</v>
      </c>
      <c r="P1624" s="7">
        <v>3.7</v>
      </c>
      <c r="Q1624" t="s">
        <v>39</v>
      </c>
      <c r="R1624" s="7" t="str">
        <f>TEXT(Table1[[#This Row],[Date]],"mmm yyyy")</f>
        <v>Mar 2026</v>
      </c>
      <c r="S1624" s="9">
        <f>YEAR(Table1[[#This Row],[Date]])</f>
        <v>2026</v>
      </c>
      <c r="T1624" s="9"/>
      <c r="U1624" s="9"/>
    </row>
    <row r="1625" spans="1:21" hidden="1" x14ac:dyDescent="0.3">
      <c r="A1625" t="s">
        <v>2311</v>
      </c>
      <c r="B1625" s="6">
        <v>46163</v>
      </c>
      <c r="C1625" t="s">
        <v>26</v>
      </c>
      <c r="D1625" t="s">
        <v>27</v>
      </c>
      <c r="E1625" t="s">
        <v>20</v>
      </c>
      <c r="F1625" t="s">
        <v>195</v>
      </c>
      <c r="G1625" t="s">
        <v>22</v>
      </c>
      <c r="J1625" s="9">
        <v>0</v>
      </c>
      <c r="K1625" s="7">
        <v>0</v>
      </c>
      <c r="L1625" s="7">
        <v>0</v>
      </c>
      <c r="M1625" s="9">
        <v>1</v>
      </c>
      <c r="N1625" s="7">
        <v>6.2</v>
      </c>
      <c r="O1625" s="7">
        <v>5.5</v>
      </c>
      <c r="P1625" s="7">
        <v>3.4</v>
      </c>
      <c r="Q1625" t="s">
        <v>39</v>
      </c>
      <c r="R1625" s="7" t="str">
        <f>TEXT(Table1[[#This Row],[Date]],"mmm yyyy")</f>
        <v>May 2026</v>
      </c>
      <c r="S1625" s="9">
        <f>YEAR(Table1[[#This Row],[Date]])</f>
        <v>2026</v>
      </c>
      <c r="T1625" s="9"/>
      <c r="U1625" s="9"/>
    </row>
    <row r="1626" spans="1:21" x14ac:dyDescent="0.3">
      <c r="A1626" t="s">
        <v>2312</v>
      </c>
      <c r="B1626" s="6">
        <v>46060</v>
      </c>
      <c r="C1626" t="s">
        <v>18</v>
      </c>
      <c r="D1626" t="s">
        <v>117</v>
      </c>
      <c r="E1626" t="s">
        <v>20</v>
      </c>
      <c r="F1626" t="s">
        <v>1691</v>
      </c>
      <c r="G1626" t="s">
        <v>44</v>
      </c>
      <c r="H1626" t="s">
        <v>78</v>
      </c>
      <c r="I1626" t="s">
        <v>79</v>
      </c>
      <c r="J1626" s="9">
        <v>1</v>
      </c>
      <c r="K1626" s="7">
        <v>21300</v>
      </c>
      <c r="L1626" s="7">
        <v>0</v>
      </c>
      <c r="M1626" s="9"/>
      <c r="N1626" s="7">
        <v>1.7</v>
      </c>
      <c r="O1626" s="7"/>
      <c r="P1626" s="7"/>
      <c r="Q1626" t="s">
        <v>79</v>
      </c>
      <c r="R1626" s="7" t="str">
        <f>TEXT(Table1[[#This Row],[Date]],"mmm yyyy")</f>
        <v>Feb 2026</v>
      </c>
      <c r="S1626" s="9">
        <f>YEAR(Table1[[#This Row],[Date]])</f>
        <v>2026</v>
      </c>
      <c r="T1626" s="9"/>
      <c r="U1626" s="9"/>
    </row>
    <row r="1627" spans="1:21" hidden="1" x14ac:dyDescent="0.3">
      <c r="A1627" t="s">
        <v>2313</v>
      </c>
      <c r="B1627" s="6">
        <v>46119</v>
      </c>
      <c r="C1627" t="s">
        <v>26</v>
      </c>
      <c r="D1627" t="s">
        <v>114</v>
      </c>
      <c r="E1627" t="s">
        <v>20</v>
      </c>
      <c r="F1627" t="s">
        <v>2190</v>
      </c>
      <c r="G1627" t="s">
        <v>22</v>
      </c>
      <c r="J1627" s="9">
        <v>0</v>
      </c>
      <c r="K1627" s="7">
        <v>0</v>
      </c>
      <c r="L1627" s="7">
        <v>0</v>
      </c>
      <c r="M1627" s="9">
        <v>1</v>
      </c>
      <c r="N1627" s="7">
        <v>6.7</v>
      </c>
      <c r="O1627" s="7">
        <v>6</v>
      </c>
      <c r="P1627" s="7">
        <v>3.4</v>
      </c>
      <c r="Q1627" t="s">
        <v>39</v>
      </c>
      <c r="R1627" s="7" t="str">
        <f>TEXT(Table1[[#This Row],[Date]],"mmm yyyy")</f>
        <v>Apr 2026</v>
      </c>
      <c r="S1627" s="9">
        <f>YEAR(Table1[[#This Row],[Date]])</f>
        <v>2026</v>
      </c>
      <c r="T1627" s="9"/>
      <c r="U1627" s="9"/>
    </row>
    <row r="1628" spans="1:21" x14ac:dyDescent="0.3">
      <c r="A1628" t="s">
        <v>2314</v>
      </c>
      <c r="B1628" s="6">
        <v>46212</v>
      </c>
      <c r="C1628" t="s">
        <v>18</v>
      </c>
      <c r="D1628" t="s">
        <v>105</v>
      </c>
      <c r="E1628" t="s">
        <v>20</v>
      </c>
      <c r="F1628" t="s">
        <v>246</v>
      </c>
      <c r="G1628" t="s">
        <v>22</v>
      </c>
      <c r="H1628" t="s">
        <v>54</v>
      </c>
      <c r="I1628" t="s">
        <v>45</v>
      </c>
      <c r="J1628" s="9">
        <v>1</v>
      </c>
      <c r="K1628" s="7">
        <v>13900</v>
      </c>
      <c r="L1628" s="7">
        <v>0</v>
      </c>
      <c r="M1628" s="9"/>
      <c r="N1628" s="7">
        <v>0.6</v>
      </c>
      <c r="O1628" s="7"/>
      <c r="P1628" s="7"/>
      <c r="Q1628" t="s">
        <v>45</v>
      </c>
      <c r="R1628" s="7" t="str">
        <f>TEXT(Table1[[#This Row],[Date]],"mmm yyyy")</f>
        <v>Jul 2026</v>
      </c>
      <c r="S1628" s="9">
        <f>YEAR(Table1[[#This Row],[Date]])</f>
        <v>2026</v>
      </c>
      <c r="T1628" s="9"/>
      <c r="U1628" s="9"/>
    </row>
    <row r="1629" spans="1:21" x14ac:dyDescent="0.3">
      <c r="A1629" t="s">
        <v>2315</v>
      </c>
      <c r="B1629" s="6">
        <v>46069</v>
      </c>
      <c r="C1629" t="s">
        <v>18</v>
      </c>
      <c r="D1629" t="s">
        <v>64</v>
      </c>
      <c r="E1629" t="s">
        <v>20</v>
      </c>
      <c r="F1629" t="s">
        <v>514</v>
      </c>
      <c r="G1629" t="s">
        <v>44</v>
      </c>
      <c r="H1629" t="s">
        <v>23</v>
      </c>
      <c r="I1629" t="s">
        <v>24</v>
      </c>
      <c r="J1629" s="9">
        <v>1</v>
      </c>
      <c r="K1629" s="7">
        <v>14200</v>
      </c>
      <c r="L1629" s="7">
        <v>14200</v>
      </c>
      <c r="M1629" s="9"/>
      <c r="N1629" s="7">
        <v>23.2</v>
      </c>
      <c r="O1629" s="7"/>
      <c r="P1629" s="7"/>
      <c r="Q1629" t="s">
        <v>24</v>
      </c>
      <c r="R1629" s="7" t="str">
        <f>TEXT(Table1[[#This Row],[Date]],"mmm yyyy")</f>
        <v>Feb 2026</v>
      </c>
      <c r="S1629" s="9">
        <f>YEAR(Table1[[#This Row],[Date]])</f>
        <v>2026</v>
      </c>
      <c r="T1629" s="9"/>
      <c r="U1629" s="9"/>
    </row>
    <row r="1630" spans="1:21" x14ac:dyDescent="0.3">
      <c r="A1630" t="s">
        <v>2316</v>
      </c>
      <c r="B1630" s="6">
        <v>46041</v>
      </c>
      <c r="C1630" t="s">
        <v>18</v>
      </c>
      <c r="D1630" t="s">
        <v>47</v>
      </c>
      <c r="E1630" t="s">
        <v>20</v>
      </c>
      <c r="F1630" t="s">
        <v>1182</v>
      </c>
      <c r="G1630" t="s">
        <v>30</v>
      </c>
      <c r="H1630" t="s">
        <v>23</v>
      </c>
      <c r="I1630" t="s">
        <v>45</v>
      </c>
      <c r="J1630" s="9">
        <v>1</v>
      </c>
      <c r="K1630" s="7">
        <v>9600</v>
      </c>
      <c r="L1630" s="7">
        <v>0</v>
      </c>
      <c r="M1630" s="9"/>
      <c r="N1630" s="7">
        <v>23.7</v>
      </c>
      <c r="O1630" s="7"/>
      <c r="P1630" s="7"/>
      <c r="Q1630" t="s">
        <v>45</v>
      </c>
      <c r="R1630" s="7" t="str">
        <f>TEXT(Table1[[#This Row],[Date]],"mmm yyyy")</f>
        <v>Jan 2026</v>
      </c>
      <c r="S1630" s="9">
        <f>YEAR(Table1[[#This Row],[Date]])</f>
        <v>2026</v>
      </c>
      <c r="T1630" s="9"/>
      <c r="U1630" s="9"/>
    </row>
    <row r="1631" spans="1:21" x14ac:dyDescent="0.3">
      <c r="A1631" t="s">
        <v>2317</v>
      </c>
      <c r="B1631" s="6">
        <v>45957</v>
      </c>
      <c r="C1631" t="s">
        <v>18</v>
      </c>
      <c r="D1631" t="s">
        <v>117</v>
      </c>
      <c r="E1631" t="s">
        <v>20</v>
      </c>
      <c r="F1631" t="s">
        <v>716</v>
      </c>
      <c r="G1631" t="s">
        <v>22</v>
      </c>
      <c r="H1631" t="s">
        <v>86</v>
      </c>
      <c r="I1631" t="s">
        <v>67</v>
      </c>
      <c r="J1631" s="9">
        <v>1</v>
      </c>
      <c r="K1631" s="7">
        <v>5300</v>
      </c>
      <c r="L1631" s="7">
        <v>0</v>
      </c>
      <c r="M1631" s="9"/>
      <c r="N1631" s="7">
        <v>20.3</v>
      </c>
      <c r="O1631" s="7"/>
      <c r="P1631" s="7"/>
      <c r="Q1631" t="s">
        <v>67</v>
      </c>
      <c r="R1631" s="7" t="str">
        <f>TEXT(Table1[[#This Row],[Date]],"mmm yyyy")</f>
        <v>Oct 2025</v>
      </c>
      <c r="S1631" s="9">
        <f>YEAR(Table1[[#This Row],[Date]])</f>
        <v>2025</v>
      </c>
      <c r="T1631" s="9"/>
      <c r="U1631" s="9"/>
    </row>
    <row r="1632" spans="1:21" hidden="1" x14ac:dyDescent="0.3">
      <c r="A1632" t="s">
        <v>2318</v>
      </c>
      <c r="B1632" s="6">
        <v>46127</v>
      </c>
      <c r="C1632" t="s">
        <v>26</v>
      </c>
      <c r="D1632" t="s">
        <v>36</v>
      </c>
      <c r="E1632" t="s">
        <v>20</v>
      </c>
      <c r="F1632" t="s">
        <v>299</v>
      </c>
      <c r="G1632" t="s">
        <v>30</v>
      </c>
      <c r="J1632" s="9">
        <v>0</v>
      </c>
      <c r="K1632" s="7">
        <v>0</v>
      </c>
      <c r="L1632" s="7">
        <v>0</v>
      </c>
      <c r="M1632" s="9">
        <v>1</v>
      </c>
      <c r="N1632" s="7">
        <v>10.5</v>
      </c>
      <c r="O1632" s="7">
        <v>3.4</v>
      </c>
      <c r="P1632" s="7">
        <v>2.8</v>
      </c>
      <c r="Q1632" t="s">
        <v>31</v>
      </c>
      <c r="R1632" s="7" t="str">
        <f>TEXT(Table1[[#This Row],[Date]],"mmm yyyy")</f>
        <v>Apr 2026</v>
      </c>
      <c r="S1632" s="9">
        <f>YEAR(Table1[[#This Row],[Date]])</f>
        <v>2026</v>
      </c>
      <c r="T1632" s="9"/>
      <c r="U1632" s="9"/>
    </row>
    <row r="1633" spans="1:21" x14ac:dyDescent="0.3">
      <c r="A1633" t="s">
        <v>2319</v>
      </c>
      <c r="B1633" s="6">
        <v>46193</v>
      </c>
      <c r="C1633" t="s">
        <v>18</v>
      </c>
      <c r="D1633" t="s">
        <v>95</v>
      </c>
      <c r="E1633" t="s">
        <v>20</v>
      </c>
      <c r="F1633" t="s">
        <v>2320</v>
      </c>
      <c r="G1633" t="s">
        <v>22</v>
      </c>
      <c r="H1633" t="s">
        <v>54</v>
      </c>
      <c r="I1633" t="s">
        <v>45</v>
      </c>
      <c r="J1633" s="9">
        <v>1</v>
      </c>
      <c r="K1633" s="7">
        <v>5000</v>
      </c>
      <c r="L1633" s="7">
        <v>0</v>
      </c>
      <c r="M1633" s="9"/>
      <c r="N1633" s="7">
        <v>21.6</v>
      </c>
      <c r="O1633" s="7"/>
      <c r="P1633" s="7"/>
      <c r="Q1633" t="s">
        <v>45</v>
      </c>
      <c r="R1633" s="7" t="str">
        <f>TEXT(Table1[[#This Row],[Date]],"mmm yyyy")</f>
        <v>Jun 2026</v>
      </c>
      <c r="S1633" s="9">
        <f>YEAR(Table1[[#This Row],[Date]])</f>
        <v>2026</v>
      </c>
      <c r="T1633" s="9"/>
      <c r="U1633" s="9"/>
    </row>
    <row r="1634" spans="1:21" hidden="1" x14ac:dyDescent="0.3">
      <c r="A1634" t="s">
        <v>2321</v>
      </c>
      <c r="B1634" s="6">
        <v>46184</v>
      </c>
      <c r="C1634" t="s">
        <v>26</v>
      </c>
      <c r="D1634" t="s">
        <v>27</v>
      </c>
      <c r="E1634" t="s">
        <v>20</v>
      </c>
      <c r="F1634" t="s">
        <v>295</v>
      </c>
      <c r="G1634" t="s">
        <v>22</v>
      </c>
      <c r="J1634" s="9">
        <v>0</v>
      </c>
      <c r="K1634" s="7">
        <v>0</v>
      </c>
      <c r="L1634" s="7">
        <v>0</v>
      </c>
      <c r="M1634" s="9">
        <v>1</v>
      </c>
      <c r="N1634" s="7">
        <v>3.1</v>
      </c>
      <c r="O1634" s="7">
        <v>10.3</v>
      </c>
      <c r="P1634" s="7">
        <v>3.7</v>
      </c>
      <c r="Q1634" t="s">
        <v>39</v>
      </c>
      <c r="R1634" s="7" t="str">
        <f>TEXT(Table1[[#This Row],[Date]],"mmm yyyy")</f>
        <v>Jun 2026</v>
      </c>
      <c r="S1634" s="9">
        <f>YEAR(Table1[[#This Row],[Date]])</f>
        <v>2026</v>
      </c>
      <c r="T1634" s="9"/>
      <c r="U1634" s="9"/>
    </row>
    <row r="1635" spans="1:21" hidden="1" x14ac:dyDescent="0.3">
      <c r="A1635" t="s">
        <v>2322</v>
      </c>
      <c r="B1635" s="6">
        <v>46255</v>
      </c>
      <c r="C1635" t="s">
        <v>26</v>
      </c>
      <c r="D1635" t="s">
        <v>33</v>
      </c>
      <c r="E1635" t="s">
        <v>20</v>
      </c>
      <c r="F1635" t="s">
        <v>304</v>
      </c>
      <c r="G1635" t="s">
        <v>44</v>
      </c>
      <c r="J1635" s="9">
        <v>0</v>
      </c>
      <c r="K1635" s="7">
        <v>0</v>
      </c>
      <c r="L1635" s="7">
        <v>0</v>
      </c>
      <c r="M1635" s="9">
        <v>1</v>
      </c>
      <c r="N1635" s="7">
        <v>2.5</v>
      </c>
      <c r="O1635" s="7">
        <v>1.7</v>
      </c>
      <c r="P1635" s="7">
        <v>3.9</v>
      </c>
      <c r="Q1635" t="s">
        <v>39</v>
      </c>
      <c r="R1635" s="7" t="str">
        <f>TEXT(Table1[[#This Row],[Date]],"mmm yyyy")</f>
        <v>Aug 2026</v>
      </c>
      <c r="S1635" s="9">
        <f>YEAR(Table1[[#This Row],[Date]])</f>
        <v>2026</v>
      </c>
      <c r="T1635" s="9"/>
      <c r="U1635" s="9"/>
    </row>
    <row r="1636" spans="1:21" hidden="1" x14ac:dyDescent="0.3">
      <c r="A1636" t="s">
        <v>2323</v>
      </c>
      <c r="B1636" s="6">
        <v>46178</v>
      </c>
      <c r="C1636" t="s">
        <v>26</v>
      </c>
      <c r="D1636" t="s">
        <v>33</v>
      </c>
      <c r="E1636" t="s">
        <v>48</v>
      </c>
      <c r="F1636" t="s">
        <v>1450</v>
      </c>
      <c r="G1636" t="s">
        <v>50</v>
      </c>
      <c r="J1636" s="9">
        <v>0</v>
      </c>
      <c r="K1636" s="7">
        <v>0</v>
      </c>
      <c r="L1636" s="7">
        <v>0</v>
      </c>
      <c r="M1636" s="9">
        <v>1</v>
      </c>
      <c r="N1636" s="7">
        <v>6.3</v>
      </c>
      <c r="O1636" s="7">
        <v>3.8</v>
      </c>
      <c r="P1636" s="7">
        <v>4.4000000000000004</v>
      </c>
      <c r="Q1636" t="s">
        <v>39</v>
      </c>
      <c r="R1636" s="7" t="str">
        <f>TEXT(Table1[[#This Row],[Date]],"mmm yyyy")</f>
        <v>Jun 2026</v>
      </c>
      <c r="S1636" s="9">
        <f>YEAR(Table1[[#This Row],[Date]])</f>
        <v>2026</v>
      </c>
      <c r="T1636" s="9"/>
      <c r="U1636" s="9"/>
    </row>
    <row r="1637" spans="1:21" x14ac:dyDescent="0.3">
      <c r="A1637" t="s">
        <v>2324</v>
      </c>
      <c r="B1637" s="6">
        <v>46134</v>
      </c>
      <c r="C1637" t="s">
        <v>18</v>
      </c>
      <c r="D1637" t="s">
        <v>19</v>
      </c>
      <c r="E1637" t="s">
        <v>48</v>
      </c>
      <c r="F1637" t="s">
        <v>1077</v>
      </c>
      <c r="G1637" t="s">
        <v>30</v>
      </c>
      <c r="H1637" t="s">
        <v>54</v>
      </c>
      <c r="I1637" t="s">
        <v>45</v>
      </c>
      <c r="J1637" s="9">
        <v>1</v>
      </c>
      <c r="K1637" s="7">
        <v>36600</v>
      </c>
      <c r="L1637" s="7">
        <v>0</v>
      </c>
      <c r="M1637" s="9"/>
      <c r="N1637" s="7">
        <v>0.6</v>
      </c>
      <c r="O1637" s="7"/>
      <c r="P1637" s="7"/>
      <c r="Q1637" t="s">
        <v>45</v>
      </c>
      <c r="R1637" s="7" t="str">
        <f>TEXT(Table1[[#This Row],[Date]],"mmm yyyy")</f>
        <v>Apr 2026</v>
      </c>
      <c r="S1637" s="9">
        <f>YEAR(Table1[[#This Row],[Date]])</f>
        <v>2026</v>
      </c>
      <c r="T1637" s="9"/>
      <c r="U1637" s="9"/>
    </row>
    <row r="1638" spans="1:21" x14ac:dyDescent="0.3">
      <c r="A1638" t="s">
        <v>2325</v>
      </c>
      <c r="B1638" s="6">
        <v>45983</v>
      </c>
      <c r="C1638" t="s">
        <v>18</v>
      </c>
      <c r="D1638" t="s">
        <v>19</v>
      </c>
      <c r="E1638" t="s">
        <v>48</v>
      </c>
      <c r="F1638" t="s">
        <v>1201</v>
      </c>
      <c r="G1638" t="s">
        <v>44</v>
      </c>
      <c r="H1638" t="s">
        <v>86</v>
      </c>
      <c r="I1638" t="s">
        <v>79</v>
      </c>
      <c r="J1638" s="9">
        <v>1</v>
      </c>
      <c r="K1638" s="7">
        <v>16100</v>
      </c>
      <c r="L1638" s="7">
        <v>0</v>
      </c>
      <c r="M1638" s="9"/>
      <c r="N1638" s="7">
        <v>3.3</v>
      </c>
      <c r="O1638" s="7"/>
      <c r="P1638" s="7"/>
      <c r="Q1638" t="s">
        <v>79</v>
      </c>
      <c r="R1638" s="7" t="str">
        <f>TEXT(Table1[[#This Row],[Date]],"mmm yyyy")</f>
        <v>Nov 2025</v>
      </c>
      <c r="S1638" s="9">
        <f>YEAR(Table1[[#This Row],[Date]])</f>
        <v>2025</v>
      </c>
      <c r="T1638" s="9"/>
      <c r="U1638" s="9"/>
    </row>
    <row r="1639" spans="1:21" x14ac:dyDescent="0.3">
      <c r="A1639" t="s">
        <v>2326</v>
      </c>
      <c r="B1639" s="6">
        <v>45941</v>
      </c>
      <c r="C1639" t="s">
        <v>18</v>
      </c>
      <c r="D1639" t="s">
        <v>41</v>
      </c>
      <c r="E1639" t="s">
        <v>48</v>
      </c>
      <c r="F1639" t="s">
        <v>1972</v>
      </c>
      <c r="G1639" t="s">
        <v>30</v>
      </c>
      <c r="H1639" t="s">
        <v>54</v>
      </c>
      <c r="I1639" t="s">
        <v>55</v>
      </c>
      <c r="J1639" s="9">
        <v>1</v>
      </c>
      <c r="K1639" s="7">
        <v>25100</v>
      </c>
      <c r="L1639" s="7">
        <v>0</v>
      </c>
      <c r="M1639" s="9"/>
      <c r="N1639" s="7">
        <v>20.5</v>
      </c>
      <c r="O1639" s="7"/>
      <c r="P1639" s="7"/>
      <c r="Q1639" t="s">
        <v>55</v>
      </c>
      <c r="R1639" s="7" t="str">
        <f>TEXT(Table1[[#This Row],[Date]],"mmm yyyy")</f>
        <v>Oct 2025</v>
      </c>
      <c r="S1639" s="9">
        <f>YEAR(Table1[[#This Row],[Date]])</f>
        <v>2025</v>
      </c>
      <c r="T1639" s="9"/>
      <c r="U1639" s="9"/>
    </row>
    <row r="1640" spans="1:21" hidden="1" x14ac:dyDescent="0.3">
      <c r="A1640" t="s">
        <v>2327</v>
      </c>
      <c r="B1640" s="6">
        <v>45927</v>
      </c>
      <c r="C1640" t="s">
        <v>26</v>
      </c>
      <c r="D1640" t="s">
        <v>69</v>
      </c>
      <c r="E1640" t="s">
        <v>48</v>
      </c>
      <c r="F1640" t="s">
        <v>2328</v>
      </c>
      <c r="G1640" t="s">
        <v>44</v>
      </c>
      <c r="J1640" s="9">
        <v>0</v>
      </c>
      <c r="K1640" s="7">
        <v>0</v>
      </c>
      <c r="L1640" s="7">
        <v>0</v>
      </c>
      <c r="M1640" s="9">
        <v>1</v>
      </c>
      <c r="N1640" s="7">
        <v>1</v>
      </c>
      <c r="O1640" s="7">
        <v>7.1</v>
      </c>
      <c r="P1640" s="7">
        <v>2.7</v>
      </c>
      <c r="Q1640" t="s">
        <v>31</v>
      </c>
      <c r="R1640" s="7" t="str">
        <f>TEXT(Table1[[#This Row],[Date]],"mmm yyyy")</f>
        <v>Sep 2025</v>
      </c>
      <c r="S1640" s="9">
        <f>YEAR(Table1[[#This Row],[Date]])</f>
        <v>2025</v>
      </c>
      <c r="T1640" s="9"/>
      <c r="U1640" s="9"/>
    </row>
    <row r="1641" spans="1:21" hidden="1" x14ac:dyDescent="0.3">
      <c r="A1641" t="s">
        <v>2329</v>
      </c>
      <c r="B1641" s="6">
        <v>46052</v>
      </c>
      <c r="C1641" t="s">
        <v>26</v>
      </c>
      <c r="D1641" t="s">
        <v>126</v>
      </c>
      <c r="E1641" t="s">
        <v>20</v>
      </c>
      <c r="F1641" t="s">
        <v>1599</v>
      </c>
      <c r="G1641" t="s">
        <v>30</v>
      </c>
      <c r="J1641" s="9">
        <v>0</v>
      </c>
      <c r="K1641" s="7">
        <v>0</v>
      </c>
      <c r="L1641" s="7">
        <v>0</v>
      </c>
      <c r="M1641" s="9">
        <v>1</v>
      </c>
      <c r="N1641" s="7">
        <v>6.6</v>
      </c>
      <c r="O1641" s="7">
        <v>17.600000000000001</v>
      </c>
      <c r="P1641" s="7">
        <v>4.5999999999999996</v>
      </c>
      <c r="Q1641" t="s">
        <v>39</v>
      </c>
      <c r="R1641" s="7" t="str">
        <f>TEXT(Table1[[#This Row],[Date]],"mmm yyyy")</f>
        <v>Jan 2026</v>
      </c>
      <c r="S1641" s="9">
        <f>YEAR(Table1[[#This Row],[Date]])</f>
        <v>2026</v>
      </c>
      <c r="T1641" s="9"/>
      <c r="U1641" s="9"/>
    </row>
    <row r="1642" spans="1:21" x14ac:dyDescent="0.3">
      <c r="A1642" t="s">
        <v>2330</v>
      </c>
      <c r="B1642" s="6">
        <v>46007</v>
      </c>
      <c r="C1642" t="s">
        <v>18</v>
      </c>
      <c r="D1642" t="s">
        <v>41</v>
      </c>
      <c r="E1642" t="s">
        <v>20</v>
      </c>
      <c r="F1642" t="s">
        <v>398</v>
      </c>
      <c r="G1642" t="s">
        <v>22</v>
      </c>
      <c r="H1642" t="s">
        <v>54</v>
      </c>
      <c r="I1642" t="s">
        <v>45</v>
      </c>
      <c r="J1642" s="9">
        <v>1</v>
      </c>
      <c r="K1642" s="7">
        <v>12300</v>
      </c>
      <c r="L1642" s="7">
        <v>0</v>
      </c>
      <c r="M1642" s="9"/>
      <c r="N1642" s="7">
        <v>4.8</v>
      </c>
      <c r="O1642" s="7"/>
      <c r="P1642" s="7"/>
      <c r="Q1642" t="s">
        <v>45</v>
      </c>
      <c r="R1642" s="7" t="str">
        <f>TEXT(Table1[[#This Row],[Date]],"mmm yyyy")</f>
        <v>Dec 2025</v>
      </c>
      <c r="S1642" s="9">
        <f>YEAR(Table1[[#This Row],[Date]])</f>
        <v>2025</v>
      </c>
      <c r="T1642" s="9"/>
      <c r="U1642" s="9"/>
    </row>
    <row r="1643" spans="1:21" hidden="1" x14ac:dyDescent="0.3">
      <c r="A1643" t="s">
        <v>2331</v>
      </c>
      <c r="B1643" s="6">
        <v>46106</v>
      </c>
      <c r="C1643" t="s">
        <v>26</v>
      </c>
      <c r="D1643" t="s">
        <v>232</v>
      </c>
      <c r="E1643" t="s">
        <v>42</v>
      </c>
      <c r="F1643" t="s">
        <v>2332</v>
      </c>
      <c r="G1643" t="s">
        <v>30</v>
      </c>
      <c r="J1643" s="9">
        <v>0</v>
      </c>
      <c r="K1643" s="7">
        <v>0</v>
      </c>
      <c r="L1643" s="7">
        <v>0</v>
      </c>
      <c r="M1643" s="9">
        <v>1</v>
      </c>
      <c r="N1643" s="7">
        <v>3.2</v>
      </c>
      <c r="O1643" s="7">
        <v>16.3</v>
      </c>
      <c r="P1643" s="7">
        <v>3.5</v>
      </c>
      <c r="Q1643" t="s">
        <v>39</v>
      </c>
      <c r="R1643" s="7" t="str">
        <f>TEXT(Table1[[#This Row],[Date]],"mmm yyyy")</f>
        <v>Mar 2026</v>
      </c>
      <c r="S1643" s="9">
        <f>YEAR(Table1[[#This Row],[Date]])</f>
        <v>2026</v>
      </c>
      <c r="T1643" s="9"/>
      <c r="U1643" s="9"/>
    </row>
    <row r="1644" spans="1:21" x14ac:dyDescent="0.3">
      <c r="A1644" t="s">
        <v>2333</v>
      </c>
      <c r="B1644" s="6">
        <v>45962</v>
      </c>
      <c r="C1644" t="s">
        <v>18</v>
      </c>
      <c r="D1644" t="s">
        <v>47</v>
      </c>
      <c r="E1644" t="s">
        <v>20</v>
      </c>
      <c r="F1644" t="s">
        <v>1521</v>
      </c>
      <c r="G1644" t="s">
        <v>30</v>
      </c>
      <c r="H1644" t="s">
        <v>54</v>
      </c>
      <c r="I1644" t="s">
        <v>55</v>
      </c>
      <c r="J1644" s="9">
        <v>1</v>
      </c>
      <c r="K1644" s="7">
        <v>18100</v>
      </c>
      <c r="L1644" s="7">
        <v>0</v>
      </c>
      <c r="M1644" s="9"/>
      <c r="N1644" s="7">
        <v>5.7</v>
      </c>
      <c r="O1644" s="7"/>
      <c r="P1644" s="7"/>
      <c r="Q1644" t="s">
        <v>55</v>
      </c>
      <c r="R1644" s="7" t="str">
        <f>TEXT(Table1[[#This Row],[Date]],"mmm yyyy")</f>
        <v>Nov 2025</v>
      </c>
      <c r="S1644" s="9">
        <f>YEAR(Table1[[#This Row],[Date]])</f>
        <v>2025</v>
      </c>
      <c r="T1644" s="9"/>
      <c r="U1644" s="9"/>
    </row>
    <row r="1645" spans="1:21" hidden="1" x14ac:dyDescent="0.3">
      <c r="A1645" t="s">
        <v>2334</v>
      </c>
      <c r="B1645" s="6">
        <v>45957</v>
      </c>
      <c r="C1645" t="s">
        <v>26</v>
      </c>
      <c r="D1645" t="s">
        <v>69</v>
      </c>
      <c r="E1645" t="s">
        <v>20</v>
      </c>
      <c r="F1645" t="s">
        <v>2335</v>
      </c>
      <c r="G1645" t="s">
        <v>50</v>
      </c>
      <c r="J1645" s="9">
        <v>0</v>
      </c>
      <c r="K1645" s="7">
        <v>0</v>
      </c>
      <c r="L1645" s="7">
        <v>0</v>
      </c>
      <c r="M1645" s="9">
        <v>1</v>
      </c>
      <c r="N1645" s="7">
        <v>1.9</v>
      </c>
      <c r="O1645" s="7">
        <v>14</v>
      </c>
      <c r="P1645" s="7">
        <v>5</v>
      </c>
      <c r="Q1645" t="s">
        <v>225</v>
      </c>
      <c r="R1645" s="7" t="str">
        <f>TEXT(Table1[[#This Row],[Date]],"mmm yyyy")</f>
        <v>Oct 2025</v>
      </c>
      <c r="S1645" s="9">
        <f>YEAR(Table1[[#This Row],[Date]])</f>
        <v>2025</v>
      </c>
      <c r="T1645" s="9"/>
      <c r="U1645" s="9"/>
    </row>
    <row r="1646" spans="1:21" x14ac:dyDescent="0.3">
      <c r="A1646" t="s">
        <v>2336</v>
      </c>
      <c r="B1646" s="6">
        <v>45917</v>
      </c>
      <c r="C1646" t="s">
        <v>18</v>
      </c>
      <c r="D1646" t="s">
        <v>41</v>
      </c>
      <c r="E1646" t="s">
        <v>20</v>
      </c>
      <c r="F1646" t="s">
        <v>2337</v>
      </c>
      <c r="G1646" t="s">
        <v>22</v>
      </c>
      <c r="H1646" t="s">
        <v>23</v>
      </c>
      <c r="I1646" t="s">
        <v>89</v>
      </c>
      <c r="J1646" s="9">
        <v>1</v>
      </c>
      <c r="K1646" s="7">
        <v>20200</v>
      </c>
      <c r="L1646" s="7">
        <v>0</v>
      </c>
      <c r="M1646" s="9"/>
      <c r="N1646" s="7">
        <v>15.4</v>
      </c>
      <c r="O1646" s="7"/>
      <c r="P1646" s="7"/>
      <c r="Q1646" t="s">
        <v>89</v>
      </c>
      <c r="R1646" s="7" t="str">
        <f>TEXT(Table1[[#This Row],[Date]],"mmm yyyy")</f>
        <v>Sep 2025</v>
      </c>
      <c r="S1646" s="9">
        <f>YEAR(Table1[[#This Row],[Date]])</f>
        <v>2025</v>
      </c>
      <c r="T1646" s="9"/>
      <c r="U1646" s="9"/>
    </row>
    <row r="1647" spans="1:21" hidden="1" x14ac:dyDescent="0.3">
      <c r="A1647" t="s">
        <v>2338</v>
      </c>
      <c r="B1647" s="6">
        <v>46010</v>
      </c>
      <c r="C1647" t="s">
        <v>26</v>
      </c>
      <c r="D1647" t="s">
        <v>27</v>
      </c>
      <c r="E1647" t="s">
        <v>37</v>
      </c>
      <c r="F1647" t="s">
        <v>1063</v>
      </c>
      <c r="G1647" t="s">
        <v>22</v>
      </c>
      <c r="J1647" s="9">
        <v>0</v>
      </c>
      <c r="K1647" s="7">
        <v>0</v>
      </c>
      <c r="L1647" s="7">
        <v>0</v>
      </c>
      <c r="M1647" s="9">
        <v>1</v>
      </c>
      <c r="N1647" s="7">
        <v>9.3000000000000007</v>
      </c>
      <c r="O1647" s="7">
        <v>11.5</v>
      </c>
      <c r="P1647" s="7">
        <v>3.9</v>
      </c>
      <c r="Q1647" t="s">
        <v>39</v>
      </c>
      <c r="R1647" s="7" t="str">
        <f>TEXT(Table1[[#This Row],[Date]],"mmm yyyy")</f>
        <v>Dec 2025</v>
      </c>
      <c r="S1647" s="9">
        <f>YEAR(Table1[[#This Row],[Date]])</f>
        <v>2025</v>
      </c>
      <c r="T1647" s="9"/>
      <c r="U1647" s="9"/>
    </row>
    <row r="1648" spans="1:21" x14ac:dyDescent="0.3">
      <c r="A1648" t="s">
        <v>2339</v>
      </c>
      <c r="B1648" s="6">
        <v>46256</v>
      </c>
      <c r="C1648" t="s">
        <v>18</v>
      </c>
      <c r="D1648" t="s">
        <v>19</v>
      </c>
      <c r="E1648" t="s">
        <v>37</v>
      </c>
      <c r="F1648" t="s">
        <v>481</v>
      </c>
      <c r="G1648" t="s">
        <v>22</v>
      </c>
      <c r="H1648" t="s">
        <v>66</v>
      </c>
      <c r="I1648" t="s">
        <v>24</v>
      </c>
      <c r="J1648" s="9">
        <v>1</v>
      </c>
      <c r="K1648" s="7">
        <v>13700</v>
      </c>
      <c r="L1648" s="7">
        <v>13700</v>
      </c>
      <c r="M1648" s="9"/>
      <c r="N1648" s="7">
        <v>15.7</v>
      </c>
      <c r="O1648" s="7"/>
      <c r="P1648" s="7"/>
      <c r="Q1648" t="s">
        <v>24</v>
      </c>
      <c r="R1648" s="7" t="str">
        <f>TEXT(Table1[[#This Row],[Date]],"mmm yyyy")</f>
        <v>Aug 2026</v>
      </c>
      <c r="S1648" s="9">
        <f>YEAR(Table1[[#This Row],[Date]])</f>
        <v>2026</v>
      </c>
      <c r="T1648" s="9"/>
      <c r="U1648" s="9"/>
    </row>
    <row r="1649" spans="1:21" hidden="1" x14ac:dyDescent="0.3">
      <c r="A1649" t="s">
        <v>2340</v>
      </c>
      <c r="B1649" s="6">
        <v>46056</v>
      </c>
      <c r="C1649" t="s">
        <v>26</v>
      </c>
      <c r="D1649" t="s">
        <v>232</v>
      </c>
      <c r="E1649" t="s">
        <v>20</v>
      </c>
      <c r="F1649" t="s">
        <v>514</v>
      </c>
      <c r="G1649" t="s">
        <v>22</v>
      </c>
      <c r="J1649" s="9">
        <v>0</v>
      </c>
      <c r="K1649" s="7">
        <v>0</v>
      </c>
      <c r="L1649" s="7">
        <v>0</v>
      </c>
      <c r="M1649" s="9">
        <v>1</v>
      </c>
      <c r="N1649" s="7">
        <v>10.6</v>
      </c>
      <c r="O1649" s="7">
        <v>2.2999999999999998</v>
      </c>
      <c r="P1649" s="7">
        <v>3</v>
      </c>
      <c r="Q1649" t="s">
        <v>31</v>
      </c>
      <c r="R1649" s="7" t="str">
        <f>TEXT(Table1[[#This Row],[Date]],"mmm yyyy")</f>
        <v>Feb 2026</v>
      </c>
      <c r="S1649" s="9">
        <f>YEAR(Table1[[#This Row],[Date]])</f>
        <v>2026</v>
      </c>
      <c r="T1649" s="9"/>
      <c r="U1649" s="9"/>
    </row>
    <row r="1650" spans="1:21" hidden="1" x14ac:dyDescent="0.3">
      <c r="A1650" t="s">
        <v>2341</v>
      </c>
      <c r="B1650" s="6">
        <v>45996</v>
      </c>
      <c r="C1650" t="s">
        <v>26</v>
      </c>
      <c r="D1650" t="s">
        <v>232</v>
      </c>
      <c r="E1650" t="s">
        <v>20</v>
      </c>
      <c r="F1650" t="s">
        <v>570</v>
      </c>
      <c r="G1650" t="s">
        <v>50</v>
      </c>
      <c r="J1650" s="9">
        <v>0</v>
      </c>
      <c r="K1650" s="7">
        <v>0</v>
      </c>
      <c r="L1650" s="7">
        <v>0</v>
      </c>
      <c r="M1650" s="9">
        <v>1</v>
      </c>
      <c r="N1650" s="7">
        <v>1.7</v>
      </c>
      <c r="O1650" s="7">
        <v>7.3</v>
      </c>
      <c r="P1650" s="7">
        <v>4.4000000000000004</v>
      </c>
      <c r="Q1650" t="s">
        <v>39</v>
      </c>
      <c r="R1650" s="7" t="str">
        <f>TEXT(Table1[[#This Row],[Date]],"mmm yyyy")</f>
        <v>Dec 2025</v>
      </c>
      <c r="S1650" s="9">
        <f>YEAR(Table1[[#This Row],[Date]])</f>
        <v>2025</v>
      </c>
      <c r="T1650" s="9"/>
      <c r="U1650" s="9"/>
    </row>
    <row r="1651" spans="1:21" hidden="1" x14ac:dyDescent="0.3">
      <c r="A1651" t="s">
        <v>2342</v>
      </c>
      <c r="B1651" s="6">
        <v>46162</v>
      </c>
      <c r="C1651" t="s">
        <v>26</v>
      </c>
      <c r="D1651" t="s">
        <v>126</v>
      </c>
      <c r="E1651" t="s">
        <v>20</v>
      </c>
      <c r="F1651" t="s">
        <v>838</v>
      </c>
      <c r="G1651" t="s">
        <v>44</v>
      </c>
      <c r="J1651" s="9">
        <v>0</v>
      </c>
      <c r="K1651" s="7">
        <v>0</v>
      </c>
      <c r="L1651" s="7">
        <v>0</v>
      </c>
      <c r="M1651" s="9">
        <v>1</v>
      </c>
      <c r="N1651" s="7">
        <v>11.5</v>
      </c>
      <c r="O1651" s="7">
        <v>5.2</v>
      </c>
      <c r="P1651" s="7">
        <v>3.3</v>
      </c>
      <c r="Q1651" t="s">
        <v>62</v>
      </c>
      <c r="R1651" s="7" t="str">
        <f>TEXT(Table1[[#This Row],[Date]],"mmm yyyy")</f>
        <v>May 2026</v>
      </c>
      <c r="S1651" s="9">
        <f>YEAR(Table1[[#This Row],[Date]])</f>
        <v>2026</v>
      </c>
      <c r="T1651" s="9"/>
      <c r="U1651" s="9"/>
    </row>
    <row r="1652" spans="1:21" x14ac:dyDescent="0.3">
      <c r="A1652" t="s">
        <v>2343</v>
      </c>
      <c r="B1652" s="6">
        <v>46174</v>
      </c>
      <c r="C1652" t="s">
        <v>18</v>
      </c>
      <c r="D1652" t="s">
        <v>95</v>
      </c>
      <c r="E1652" t="s">
        <v>20</v>
      </c>
      <c r="F1652" t="s">
        <v>969</v>
      </c>
      <c r="G1652" t="s">
        <v>44</v>
      </c>
      <c r="H1652" t="s">
        <v>86</v>
      </c>
      <c r="I1652" t="s">
        <v>24</v>
      </c>
      <c r="J1652" s="9">
        <v>1</v>
      </c>
      <c r="K1652" s="7">
        <v>11000</v>
      </c>
      <c r="L1652" s="7">
        <v>11000</v>
      </c>
      <c r="M1652" s="9"/>
      <c r="N1652" s="7">
        <v>9.5</v>
      </c>
      <c r="O1652" s="7"/>
      <c r="P1652" s="7"/>
      <c r="Q1652" t="s">
        <v>24</v>
      </c>
      <c r="R1652" s="7" t="str">
        <f>TEXT(Table1[[#This Row],[Date]],"mmm yyyy")</f>
        <v>Jun 2026</v>
      </c>
      <c r="S1652" s="9">
        <f>YEAR(Table1[[#This Row],[Date]])</f>
        <v>2026</v>
      </c>
      <c r="T1652" s="9"/>
      <c r="U1652" s="9"/>
    </row>
    <row r="1653" spans="1:21" x14ac:dyDescent="0.3">
      <c r="A1653" t="s">
        <v>2344</v>
      </c>
      <c r="B1653" s="6">
        <v>45997</v>
      </c>
      <c r="C1653" t="s">
        <v>18</v>
      </c>
      <c r="D1653" t="s">
        <v>19</v>
      </c>
      <c r="E1653" t="s">
        <v>20</v>
      </c>
      <c r="F1653" t="s">
        <v>942</v>
      </c>
      <c r="G1653" t="s">
        <v>44</v>
      </c>
      <c r="H1653" t="s">
        <v>78</v>
      </c>
      <c r="I1653" t="s">
        <v>79</v>
      </c>
      <c r="J1653" s="9">
        <v>1</v>
      </c>
      <c r="K1653" s="7">
        <v>26300</v>
      </c>
      <c r="L1653" s="7">
        <v>0</v>
      </c>
      <c r="M1653" s="9"/>
      <c r="N1653" s="7">
        <v>19.600000000000001</v>
      </c>
      <c r="O1653" s="7"/>
      <c r="P1653" s="7"/>
      <c r="Q1653" t="s">
        <v>79</v>
      </c>
      <c r="R1653" s="7" t="str">
        <f>TEXT(Table1[[#This Row],[Date]],"mmm yyyy")</f>
        <v>Dec 2025</v>
      </c>
      <c r="S1653" s="9">
        <f>YEAR(Table1[[#This Row],[Date]])</f>
        <v>2025</v>
      </c>
      <c r="T1653" s="9"/>
      <c r="U1653" s="9"/>
    </row>
    <row r="1654" spans="1:21" x14ac:dyDescent="0.3">
      <c r="A1654" t="s">
        <v>2345</v>
      </c>
      <c r="B1654" s="6">
        <v>46116</v>
      </c>
      <c r="C1654" t="s">
        <v>18</v>
      </c>
      <c r="D1654" t="s">
        <v>19</v>
      </c>
      <c r="E1654" t="s">
        <v>48</v>
      </c>
      <c r="F1654" t="s">
        <v>1750</v>
      </c>
      <c r="G1654" t="s">
        <v>44</v>
      </c>
      <c r="H1654" t="s">
        <v>23</v>
      </c>
      <c r="I1654" t="s">
        <v>89</v>
      </c>
      <c r="J1654" s="9">
        <v>1</v>
      </c>
      <c r="K1654" s="7">
        <v>17900</v>
      </c>
      <c r="L1654" s="7">
        <v>0</v>
      </c>
      <c r="M1654" s="9"/>
      <c r="N1654" s="7">
        <v>11.1</v>
      </c>
      <c r="O1654" s="7"/>
      <c r="P1654" s="7"/>
      <c r="Q1654" t="s">
        <v>89</v>
      </c>
      <c r="R1654" s="7" t="str">
        <f>TEXT(Table1[[#This Row],[Date]],"mmm yyyy")</f>
        <v>Apr 2026</v>
      </c>
      <c r="S1654" s="9">
        <f>YEAR(Table1[[#This Row],[Date]])</f>
        <v>2026</v>
      </c>
      <c r="T1654" s="9"/>
      <c r="U1654" s="9"/>
    </row>
    <row r="1655" spans="1:21" x14ac:dyDescent="0.3">
      <c r="A1655" t="s">
        <v>2346</v>
      </c>
      <c r="B1655" s="6">
        <v>46068</v>
      </c>
      <c r="C1655" t="s">
        <v>18</v>
      </c>
      <c r="D1655" t="s">
        <v>105</v>
      </c>
      <c r="E1655" t="s">
        <v>37</v>
      </c>
      <c r="F1655" t="s">
        <v>781</v>
      </c>
      <c r="G1655" t="s">
        <v>22</v>
      </c>
      <c r="H1655" t="s">
        <v>54</v>
      </c>
      <c r="I1655" t="s">
        <v>45</v>
      </c>
      <c r="J1655" s="9">
        <v>1</v>
      </c>
      <c r="K1655" s="7">
        <v>19000</v>
      </c>
      <c r="L1655" s="7">
        <v>0</v>
      </c>
      <c r="M1655" s="9"/>
      <c r="N1655" s="7">
        <v>14.7</v>
      </c>
      <c r="O1655" s="7"/>
      <c r="P1655" s="7"/>
      <c r="Q1655" t="s">
        <v>45</v>
      </c>
      <c r="R1655" s="7" t="str">
        <f>TEXT(Table1[[#This Row],[Date]],"mmm yyyy")</f>
        <v>Feb 2026</v>
      </c>
      <c r="S1655" s="9">
        <f>YEAR(Table1[[#This Row],[Date]])</f>
        <v>2026</v>
      </c>
      <c r="T1655" s="9"/>
      <c r="U1655" s="9"/>
    </row>
    <row r="1656" spans="1:21" x14ac:dyDescent="0.3">
      <c r="A1656" t="s">
        <v>2347</v>
      </c>
      <c r="B1656" s="6">
        <v>46025</v>
      </c>
      <c r="C1656" t="s">
        <v>18</v>
      </c>
      <c r="D1656" t="s">
        <v>64</v>
      </c>
      <c r="E1656" t="s">
        <v>20</v>
      </c>
      <c r="F1656" t="s">
        <v>1587</v>
      </c>
      <c r="G1656" t="s">
        <v>22</v>
      </c>
      <c r="H1656" t="s">
        <v>86</v>
      </c>
      <c r="I1656" t="s">
        <v>45</v>
      </c>
      <c r="J1656" s="9">
        <v>1</v>
      </c>
      <c r="K1656" s="7">
        <v>7200</v>
      </c>
      <c r="L1656" s="7">
        <v>0</v>
      </c>
      <c r="M1656" s="9"/>
      <c r="N1656" s="7">
        <v>4.7</v>
      </c>
      <c r="O1656" s="7"/>
      <c r="P1656" s="7"/>
      <c r="Q1656" t="s">
        <v>45</v>
      </c>
      <c r="R1656" s="7" t="str">
        <f>TEXT(Table1[[#This Row],[Date]],"mmm yyyy")</f>
        <v>Jan 2026</v>
      </c>
      <c r="S1656" s="9">
        <f>YEAR(Table1[[#This Row],[Date]])</f>
        <v>2026</v>
      </c>
      <c r="T1656" s="9"/>
      <c r="U1656" s="9"/>
    </row>
    <row r="1657" spans="1:21" hidden="1" x14ac:dyDescent="0.3">
      <c r="A1657" t="s">
        <v>2348</v>
      </c>
      <c r="B1657" s="6">
        <v>46094</v>
      </c>
      <c r="C1657" t="s">
        <v>26</v>
      </c>
      <c r="D1657" t="s">
        <v>72</v>
      </c>
      <c r="E1657" t="s">
        <v>20</v>
      </c>
      <c r="F1657" t="s">
        <v>542</v>
      </c>
      <c r="G1657" t="s">
        <v>22</v>
      </c>
      <c r="J1657" s="9">
        <v>0</v>
      </c>
      <c r="K1657" s="7">
        <v>0</v>
      </c>
      <c r="L1657" s="7">
        <v>0</v>
      </c>
      <c r="M1657" s="9">
        <v>1</v>
      </c>
      <c r="N1657" s="7">
        <v>3.6</v>
      </c>
      <c r="O1657" s="7">
        <v>15.8</v>
      </c>
      <c r="P1657" s="7">
        <v>4</v>
      </c>
      <c r="Q1657" t="s">
        <v>39</v>
      </c>
      <c r="R1657" s="7" t="str">
        <f>TEXT(Table1[[#This Row],[Date]],"mmm yyyy")</f>
        <v>Mar 2026</v>
      </c>
      <c r="S1657" s="9">
        <f>YEAR(Table1[[#This Row],[Date]])</f>
        <v>2026</v>
      </c>
      <c r="T1657" s="9"/>
      <c r="U1657" s="9"/>
    </row>
    <row r="1658" spans="1:21" hidden="1" x14ac:dyDescent="0.3">
      <c r="A1658" t="s">
        <v>2349</v>
      </c>
      <c r="B1658" s="6">
        <v>45983</v>
      </c>
      <c r="C1658" t="s">
        <v>26</v>
      </c>
      <c r="D1658" t="s">
        <v>232</v>
      </c>
      <c r="E1658" t="s">
        <v>42</v>
      </c>
      <c r="F1658" t="s">
        <v>2350</v>
      </c>
      <c r="G1658" t="s">
        <v>30</v>
      </c>
      <c r="J1658" s="9">
        <v>0</v>
      </c>
      <c r="K1658" s="7">
        <v>0</v>
      </c>
      <c r="L1658" s="7">
        <v>0</v>
      </c>
      <c r="M1658" s="9">
        <v>1</v>
      </c>
      <c r="N1658" s="7">
        <v>9.6</v>
      </c>
      <c r="O1658" s="7">
        <v>10</v>
      </c>
      <c r="P1658" s="7">
        <v>4.0999999999999996</v>
      </c>
      <c r="Q1658" t="s">
        <v>39</v>
      </c>
      <c r="R1658" s="7" t="str">
        <f>TEXT(Table1[[#This Row],[Date]],"mmm yyyy")</f>
        <v>Nov 2025</v>
      </c>
      <c r="S1658" s="9">
        <f>YEAR(Table1[[#This Row],[Date]])</f>
        <v>2025</v>
      </c>
      <c r="T1658" s="9"/>
      <c r="U1658" s="9"/>
    </row>
    <row r="1659" spans="1:21" x14ac:dyDescent="0.3">
      <c r="A1659" t="s">
        <v>2351</v>
      </c>
      <c r="B1659" s="6">
        <v>46124</v>
      </c>
      <c r="C1659" t="s">
        <v>18</v>
      </c>
      <c r="D1659" t="s">
        <v>19</v>
      </c>
      <c r="E1659" t="s">
        <v>20</v>
      </c>
      <c r="F1659" t="s">
        <v>461</v>
      </c>
      <c r="G1659" t="s">
        <v>44</v>
      </c>
      <c r="H1659" t="s">
        <v>23</v>
      </c>
      <c r="I1659" t="s">
        <v>67</v>
      </c>
      <c r="J1659" s="9">
        <v>1</v>
      </c>
      <c r="K1659" s="7">
        <v>42900</v>
      </c>
      <c r="L1659" s="7">
        <v>0</v>
      </c>
      <c r="M1659" s="9"/>
      <c r="N1659" s="7">
        <v>4.4000000000000004</v>
      </c>
      <c r="O1659" s="7"/>
      <c r="P1659" s="7"/>
      <c r="Q1659" t="s">
        <v>67</v>
      </c>
      <c r="R1659" s="7" t="str">
        <f>TEXT(Table1[[#This Row],[Date]],"mmm yyyy")</f>
        <v>Apr 2026</v>
      </c>
      <c r="S1659" s="9">
        <f>YEAR(Table1[[#This Row],[Date]])</f>
        <v>2026</v>
      </c>
      <c r="T1659" s="9"/>
      <c r="U1659" s="9"/>
    </row>
    <row r="1660" spans="1:21" x14ac:dyDescent="0.3">
      <c r="A1660" t="s">
        <v>2352</v>
      </c>
      <c r="B1660" s="6">
        <v>46182</v>
      </c>
      <c r="C1660" t="s">
        <v>18</v>
      </c>
      <c r="D1660" t="s">
        <v>105</v>
      </c>
      <c r="E1660" t="s">
        <v>20</v>
      </c>
      <c r="F1660" t="s">
        <v>978</v>
      </c>
      <c r="G1660" t="s">
        <v>22</v>
      </c>
      <c r="H1660" t="s">
        <v>78</v>
      </c>
      <c r="I1660" t="s">
        <v>24</v>
      </c>
      <c r="J1660" s="9">
        <v>1</v>
      </c>
      <c r="K1660" s="7">
        <v>20600</v>
      </c>
      <c r="L1660" s="7">
        <v>20600</v>
      </c>
      <c r="M1660" s="9"/>
      <c r="N1660" s="7">
        <v>5.3</v>
      </c>
      <c r="O1660" s="7"/>
      <c r="P1660" s="7"/>
      <c r="Q1660" t="s">
        <v>24</v>
      </c>
      <c r="R1660" s="7" t="str">
        <f>TEXT(Table1[[#This Row],[Date]],"mmm yyyy")</f>
        <v>Jun 2026</v>
      </c>
      <c r="S1660" s="9">
        <f>YEAR(Table1[[#This Row],[Date]])</f>
        <v>2026</v>
      </c>
      <c r="T1660" s="9"/>
      <c r="U1660" s="9"/>
    </row>
    <row r="1661" spans="1:21" x14ac:dyDescent="0.3">
      <c r="A1661" t="s">
        <v>2353</v>
      </c>
      <c r="B1661" s="6">
        <v>46249</v>
      </c>
      <c r="C1661" t="s">
        <v>18</v>
      </c>
      <c r="D1661" t="s">
        <v>19</v>
      </c>
      <c r="E1661" t="s">
        <v>20</v>
      </c>
      <c r="F1661" t="s">
        <v>1747</v>
      </c>
      <c r="G1661" t="s">
        <v>22</v>
      </c>
      <c r="H1661" t="s">
        <v>23</v>
      </c>
      <c r="I1661" t="s">
        <v>67</v>
      </c>
      <c r="J1661" s="9">
        <v>1</v>
      </c>
      <c r="K1661" s="7">
        <v>16600</v>
      </c>
      <c r="L1661" s="7">
        <v>0</v>
      </c>
      <c r="M1661" s="9"/>
      <c r="N1661" s="7">
        <v>17.899999999999999</v>
      </c>
      <c r="O1661" s="7"/>
      <c r="P1661" s="7"/>
      <c r="Q1661" t="s">
        <v>67</v>
      </c>
      <c r="R1661" s="7" t="str">
        <f>TEXT(Table1[[#This Row],[Date]],"mmm yyyy")</f>
        <v>Aug 2026</v>
      </c>
      <c r="S1661" s="9">
        <f>YEAR(Table1[[#This Row],[Date]])</f>
        <v>2026</v>
      </c>
      <c r="T1661" s="9"/>
      <c r="U1661" s="9"/>
    </row>
    <row r="1662" spans="1:21" hidden="1" x14ac:dyDescent="0.3">
      <c r="A1662" t="s">
        <v>2354</v>
      </c>
      <c r="B1662" s="6">
        <v>45953</v>
      </c>
      <c r="C1662" t="s">
        <v>26</v>
      </c>
      <c r="D1662" t="s">
        <v>126</v>
      </c>
      <c r="E1662" t="s">
        <v>20</v>
      </c>
      <c r="F1662" t="s">
        <v>1940</v>
      </c>
      <c r="G1662" t="s">
        <v>30</v>
      </c>
      <c r="J1662" s="9">
        <v>0</v>
      </c>
      <c r="K1662" s="7">
        <v>0</v>
      </c>
      <c r="L1662" s="7">
        <v>0</v>
      </c>
      <c r="M1662" s="9">
        <v>1</v>
      </c>
      <c r="N1662" s="7">
        <v>4.5999999999999996</v>
      </c>
      <c r="O1662" s="7">
        <v>18.399999999999999</v>
      </c>
      <c r="P1662" s="7">
        <v>5</v>
      </c>
      <c r="Q1662" t="s">
        <v>39</v>
      </c>
      <c r="R1662" s="7" t="str">
        <f>TEXT(Table1[[#This Row],[Date]],"mmm yyyy")</f>
        <v>Oct 2025</v>
      </c>
      <c r="S1662" s="9">
        <f>YEAR(Table1[[#This Row],[Date]])</f>
        <v>2025</v>
      </c>
      <c r="T1662" s="9"/>
      <c r="U1662" s="9"/>
    </row>
    <row r="1663" spans="1:21" x14ac:dyDescent="0.3">
      <c r="A1663" t="s">
        <v>2355</v>
      </c>
      <c r="B1663" s="6">
        <v>46153</v>
      </c>
      <c r="C1663" t="s">
        <v>18</v>
      </c>
      <c r="D1663" t="s">
        <v>47</v>
      </c>
      <c r="E1663" t="s">
        <v>20</v>
      </c>
      <c r="F1663" t="s">
        <v>827</v>
      </c>
      <c r="G1663" t="s">
        <v>22</v>
      </c>
      <c r="H1663" t="s">
        <v>23</v>
      </c>
      <c r="I1663" t="s">
        <v>89</v>
      </c>
      <c r="J1663" s="9">
        <v>1</v>
      </c>
      <c r="K1663" s="7">
        <v>7400</v>
      </c>
      <c r="L1663" s="7">
        <v>0</v>
      </c>
      <c r="M1663" s="9"/>
      <c r="N1663" s="7">
        <v>22.4</v>
      </c>
      <c r="O1663" s="7"/>
      <c r="P1663" s="7"/>
      <c r="Q1663" t="s">
        <v>89</v>
      </c>
      <c r="R1663" s="7" t="str">
        <f>TEXT(Table1[[#This Row],[Date]],"mmm yyyy")</f>
        <v>May 2026</v>
      </c>
      <c r="S1663" s="9">
        <f>YEAR(Table1[[#This Row],[Date]])</f>
        <v>2026</v>
      </c>
      <c r="T1663" s="9"/>
      <c r="U1663" s="9"/>
    </row>
    <row r="1664" spans="1:21" hidden="1" x14ac:dyDescent="0.3">
      <c r="A1664" t="s">
        <v>2356</v>
      </c>
      <c r="B1664" s="6">
        <v>46240</v>
      </c>
      <c r="C1664" t="s">
        <v>26</v>
      </c>
      <c r="D1664" t="s">
        <v>114</v>
      </c>
      <c r="E1664" t="s">
        <v>20</v>
      </c>
      <c r="F1664" t="s">
        <v>966</v>
      </c>
      <c r="G1664" t="s">
        <v>30</v>
      </c>
      <c r="J1664" s="9">
        <v>0</v>
      </c>
      <c r="K1664" s="7">
        <v>0</v>
      </c>
      <c r="L1664" s="7">
        <v>0</v>
      </c>
      <c r="M1664" s="9">
        <v>1</v>
      </c>
      <c r="N1664" s="7">
        <v>4</v>
      </c>
      <c r="O1664" s="7">
        <v>5.6</v>
      </c>
      <c r="P1664" s="7">
        <v>4.0999999999999996</v>
      </c>
      <c r="Q1664" t="s">
        <v>39</v>
      </c>
      <c r="R1664" s="7" t="str">
        <f>TEXT(Table1[[#This Row],[Date]],"mmm yyyy")</f>
        <v>Aug 2026</v>
      </c>
      <c r="S1664" s="9">
        <f>YEAR(Table1[[#This Row],[Date]])</f>
        <v>2026</v>
      </c>
      <c r="T1664" s="9"/>
      <c r="U1664" s="9"/>
    </row>
    <row r="1665" spans="1:21" x14ac:dyDescent="0.3">
      <c r="A1665" t="s">
        <v>2357</v>
      </c>
      <c r="B1665" s="6">
        <v>46256</v>
      </c>
      <c r="C1665" t="s">
        <v>18</v>
      </c>
      <c r="D1665" t="s">
        <v>117</v>
      </c>
      <c r="E1665" t="s">
        <v>28</v>
      </c>
      <c r="F1665" t="s">
        <v>626</v>
      </c>
      <c r="G1665" t="s">
        <v>22</v>
      </c>
      <c r="H1665" t="s">
        <v>66</v>
      </c>
      <c r="I1665" t="s">
        <v>45</v>
      </c>
      <c r="J1665" s="9">
        <v>1</v>
      </c>
      <c r="K1665" s="7">
        <v>22200</v>
      </c>
      <c r="L1665" s="7">
        <v>0</v>
      </c>
      <c r="M1665" s="9"/>
      <c r="N1665" s="7">
        <v>8.1999999999999993</v>
      </c>
      <c r="O1665" s="7"/>
      <c r="P1665" s="7"/>
      <c r="Q1665" t="s">
        <v>45</v>
      </c>
      <c r="R1665" s="7" t="str">
        <f>TEXT(Table1[[#This Row],[Date]],"mmm yyyy")</f>
        <v>Aug 2026</v>
      </c>
      <c r="S1665" s="9">
        <f>YEAR(Table1[[#This Row],[Date]])</f>
        <v>2026</v>
      </c>
      <c r="T1665" s="9"/>
      <c r="U1665" s="9"/>
    </row>
    <row r="1666" spans="1:21" hidden="1" x14ac:dyDescent="0.3">
      <c r="A1666" t="s">
        <v>2358</v>
      </c>
      <c r="B1666" s="6">
        <v>46119</v>
      </c>
      <c r="C1666" t="s">
        <v>26</v>
      </c>
      <c r="D1666" t="s">
        <v>27</v>
      </c>
      <c r="E1666" t="s">
        <v>20</v>
      </c>
      <c r="F1666" t="s">
        <v>920</v>
      </c>
      <c r="G1666" t="s">
        <v>30</v>
      </c>
      <c r="J1666" s="9">
        <v>0</v>
      </c>
      <c r="K1666" s="7">
        <v>0</v>
      </c>
      <c r="L1666" s="7">
        <v>0</v>
      </c>
      <c r="M1666" s="9">
        <v>1</v>
      </c>
      <c r="N1666" s="7">
        <v>1.8</v>
      </c>
      <c r="O1666" s="7">
        <v>5.7</v>
      </c>
      <c r="P1666" s="7">
        <v>4.0999999999999996</v>
      </c>
      <c r="Q1666" t="s">
        <v>31</v>
      </c>
      <c r="R1666" s="7" t="str">
        <f>TEXT(Table1[[#This Row],[Date]],"mmm yyyy")</f>
        <v>Apr 2026</v>
      </c>
      <c r="S1666" s="9">
        <f>YEAR(Table1[[#This Row],[Date]])</f>
        <v>2026</v>
      </c>
      <c r="T1666" s="9"/>
      <c r="U1666" s="9"/>
    </row>
    <row r="1667" spans="1:21" hidden="1" x14ac:dyDescent="0.3">
      <c r="A1667" t="s">
        <v>2359</v>
      </c>
      <c r="B1667" s="6">
        <v>46081</v>
      </c>
      <c r="C1667" t="s">
        <v>26</v>
      </c>
      <c r="D1667" t="s">
        <v>232</v>
      </c>
      <c r="E1667" t="s">
        <v>20</v>
      </c>
      <c r="F1667" t="s">
        <v>661</v>
      </c>
      <c r="G1667" t="s">
        <v>50</v>
      </c>
      <c r="J1667" s="9">
        <v>0</v>
      </c>
      <c r="K1667" s="7">
        <v>0</v>
      </c>
      <c r="L1667" s="7">
        <v>0</v>
      </c>
      <c r="M1667" s="9">
        <v>1</v>
      </c>
      <c r="N1667" s="7">
        <v>5.3</v>
      </c>
      <c r="O1667" s="7">
        <v>11.1</v>
      </c>
      <c r="P1667" s="7">
        <v>3.6</v>
      </c>
      <c r="Q1667" t="s">
        <v>39</v>
      </c>
      <c r="R1667" s="7" t="str">
        <f>TEXT(Table1[[#This Row],[Date]],"mmm yyyy")</f>
        <v>Feb 2026</v>
      </c>
      <c r="S1667" s="9">
        <f>YEAR(Table1[[#This Row],[Date]])</f>
        <v>2026</v>
      </c>
      <c r="T1667" s="9"/>
      <c r="U1667" s="9"/>
    </row>
    <row r="1668" spans="1:21" x14ac:dyDescent="0.3">
      <c r="A1668" t="s">
        <v>2360</v>
      </c>
      <c r="B1668" s="6">
        <v>46188</v>
      </c>
      <c r="C1668" t="s">
        <v>18</v>
      </c>
      <c r="D1668" t="s">
        <v>52</v>
      </c>
      <c r="E1668" t="s">
        <v>20</v>
      </c>
      <c r="F1668" t="s">
        <v>2190</v>
      </c>
      <c r="G1668" t="s">
        <v>50</v>
      </c>
      <c r="H1668" t="s">
        <v>23</v>
      </c>
      <c r="I1668" t="s">
        <v>79</v>
      </c>
      <c r="J1668" s="9">
        <v>1</v>
      </c>
      <c r="K1668" s="7">
        <v>6700</v>
      </c>
      <c r="L1668" s="7">
        <v>0</v>
      </c>
      <c r="M1668" s="9"/>
      <c r="N1668" s="7">
        <v>1.7</v>
      </c>
      <c r="O1668" s="7"/>
      <c r="P1668" s="7"/>
      <c r="Q1668" t="s">
        <v>79</v>
      </c>
      <c r="R1668" s="7" t="str">
        <f>TEXT(Table1[[#This Row],[Date]],"mmm yyyy")</f>
        <v>Jun 2026</v>
      </c>
      <c r="S1668" s="9">
        <f>YEAR(Table1[[#This Row],[Date]])</f>
        <v>2026</v>
      </c>
      <c r="T1668" s="9"/>
      <c r="U1668" s="9"/>
    </row>
    <row r="1669" spans="1:21" hidden="1" x14ac:dyDescent="0.3">
      <c r="A1669" t="s">
        <v>2361</v>
      </c>
      <c r="B1669" s="6">
        <v>46233</v>
      </c>
      <c r="C1669" t="s">
        <v>26</v>
      </c>
      <c r="D1669" t="s">
        <v>114</v>
      </c>
      <c r="E1669" t="s">
        <v>20</v>
      </c>
      <c r="F1669" t="s">
        <v>878</v>
      </c>
      <c r="G1669" t="s">
        <v>22</v>
      </c>
      <c r="J1669" s="9">
        <v>0</v>
      </c>
      <c r="K1669" s="7">
        <v>0</v>
      </c>
      <c r="L1669" s="7">
        <v>0</v>
      </c>
      <c r="M1669" s="9">
        <v>1</v>
      </c>
      <c r="N1669" s="7">
        <v>11.4</v>
      </c>
      <c r="O1669" s="7">
        <v>9.8000000000000007</v>
      </c>
      <c r="P1669" s="7">
        <v>4.3</v>
      </c>
      <c r="Q1669" t="s">
        <v>39</v>
      </c>
      <c r="R1669" s="7" t="str">
        <f>TEXT(Table1[[#This Row],[Date]],"mmm yyyy")</f>
        <v>Jul 2026</v>
      </c>
      <c r="S1669" s="9">
        <f>YEAR(Table1[[#This Row],[Date]])</f>
        <v>2026</v>
      </c>
      <c r="T1669" s="9"/>
      <c r="U1669" s="9"/>
    </row>
    <row r="1670" spans="1:21" x14ac:dyDescent="0.3">
      <c r="A1670" t="s">
        <v>2362</v>
      </c>
      <c r="B1670" s="6">
        <v>45994</v>
      </c>
      <c r="C1670" t="s">
        <v>18</v>
      </c>
      <c r="D1670" t="s">
        <v>117</v>
      </c>
      <c r="E1670" t="s">
        <v>20</v>
      </c>
      <c r="F1670" t="s">
        <v>1926</v>
      </c>
      <c r="G1670" t="s">
        <v>22</v>
      </c>
      <c r="H1670" t="s">
        <v>86</v>
      </c>
      <c r="I1670" t="s">
        <v>45</v>
      </c>
      <c r="J1670" s="9">
        <v>1</v>
      </c>
      <c r="K1670" s="7">
        <v>7600</v>
      </c>
      <c r="L1670" s="7">
        <v>0</v>
      </c>
      <c r="M1670" s="9"/>
      <c r="N1670" s="7">
        <v>14.2</v>
      </c>
      <c r="O1670" s="7"/>
      <c r="P1670" s="7"/>
      <c r="Q1670" t="s">
        <v>45</v>
      </c>
      <c r="R1670" s="7" t="str">
        <f>TEXT(Table1[[#This Row],[Date]],"mmm yyyy")</f>
        <v>Dec 2025</v>
      </c>
      <c r="S1670" s="9">
        <f>YEAR(Table1[[#This Row],[Date]])</f>
        <v>2025</v>
      </c>
      <c r="T1670" s="9"/>
      <c r="U1670" s="9"/>
    </row>
    <row r="1671" spans="1:21" hidden="1" x14ac:dyDescent="0.3">
      <c r="A1671" t="s">
        <v>2363</v>
      </c>
      <c r="B1671" s="6">
        <v>46054</v>
      </c>
      <c r="C1671" t="s">
        <v>26</v>
      </c>
      <c r="D1671" t="s">
        <v>72</v>
      </c>
      <c r="E1671" t="s">
        <v>42</v>
      </c>
      <c r="F1671" t="s">
        <v>93</v>
      </c>
      <c r="G1671" t="s">
        <v>50</v>
      </c>
      <c r="J1671" s="9">
        <v>0</v>
      </c>
      <c r="K1671" s="7">
        <v>0</v>
      </c>
      <c r="L1671" s="7">
        <v>0</v>
      </c>
      <c r="M1671" s="9">
        <v>1</v>
      </c>
      <c r="N1671" s="7">
        <v>3.6</v>
      </c>
      <c r="O1671" s="7">
        <v>5.4</v>
      </c>
      <c r="P1671" s="7">
        <v>4.5</v>
      </c>
      <c r="Q1671" t="s">
        <v>62</v>
      </c>
      <c r="R1671" s="7" t="str">
        <f>TEXT(Table1[[#This Row],[Date]],"mmm yyyy")</f>
        <v>Feb 2026</v>
      </c>
      <c r="S1671" s="9">
        <f>YEAR(Table1[[#This Row],[Date]])</f>
        <v>2026</v>
      </c>
      <c r="T1671" s="9"/>
      <c r="U1671" s="9"/>
    </row>
    <row r="1672" spans="1:21" x14ac:dyDescent="0.3">
      <c r="A1672" t="s">
        <v>2364</v>
      </c>
      <c r="B1672" s="6">
        <v>46045</v>
      </c>
      <c r="C1672" t="s">
        <v>18</v>
      </c>
      <c r="D1672" t="s">
        <v>105</v>
      </c>
      <c r="E1672" t="s">
        <v>37</v>
      </c>
      <c r="F1672" t="s">
        <v>1254</v>
      </c>
      <c r="G1672" t="s">
        <v>30</v>
      </c>
      <c r="H1672" t="s">
        <v>86</v>
      </c>
      <c r="I1672" t="s">
        <v>67</v>
      </c>
      <c r="J1672" s="9">
        <v>1</v>
      </c>
      <c r="K1672" s="7">
        <v>19100</v>
      </c>
      <c r="L1672" s="7">
        <v>0</v>
      </c>
      <c r="M1672" s="9"/>
      <c r="N1672" s="7">
        <v>8.3000000000000007</v>
      </c>
      <c r="O1672" s="7"/>
      <c r="P1672" s="7"/>
      <c r="Q1672" t="s">
        <v>67</v>
      </c>
      <c r="R1672" s="7" t="str">
        <f>TEXT(Table1[[#This Row],[Date]],"mmm yyyy")</f>
        <v>Jan 2026</v>
      </c>
      <c r="S1672" s="9">
        <f>YEAR(Table1[[#This Row],[Date]])</f>
        <v>2026</v>
      </c>
      <c r="T1672" s="9"/>
      <c r="U1672" s="9"/>
    </row>
    <row r="1673" spans="1:21" hidden="1" x14ac:dyDescent="0.3">
      <c r="A1673" t="s">
        <v>2365</v>
      </c>
      <c r="B1673" s="6">
        <v>46091</v>
      </c>
      <c r="C1673" t="s">
        <v>26</v>
      </c>
      <c r="D1673" t="s">
        <v>126</v>
      </c>
      <c r="E1673" t="s">
        <v>20</v>
      </c>
      <c r="F1673" t="s">
        <v>1902</v>
      </c>
      <c r="G1673" t="s">
        <v>30</v>
      </c>
      <c r="J1673" s="9">
        <v>0</v>
      </c>
      <c r="K1673" s="7">
        <v>0</v>
      </c>
      <c r="L1673" s="7">
        <v>0</v>
      </c>
      <c r="M1673" s="9">
        <v>1</v>
      </c>
      <c r="N1673" s="7">
        <v>6.3</v>
      </c>
      <c r="O1673" s="7">
        <v>4.4000000000000004</v>
      </c>
      <c r="P1673" s="7">
        <v>4.0999999999999996</v>
      </c>
      <c r="Q1673" t="s">
        <v>31</v>
      </c>
      <c r="R1673" s="7" t="str">
        <f>TEXT(Table1[[#This Row],[Date]],"mmm yyyy")</f>
        <v>Mar 2026</v>
      </c>
      <c r="S1673" s="9">
        <f>YEAR(Table1[[#This Row],[Date]])</f>
        <v>2026</v>
      </c>
      <c r="T1673" s="9"/>
      <c r="U1673" s="9"/>
    </row>
    <row r="1674" spans="1:21" hidden="1" x14ac:dyDescent="0.3">
      <c r="A1674" t="s">
        <v>2366</v>
      </c>
      <c r="B1674" s="6">
        <v>46124</v>
      </c>
      <c r="C1674" t="s">
        <v>26</v>
      </c>
      <c r="D1674" t="s">
        <v>69</v>
      </c>
      <c r="E1674" t="s">
        <v>37</v>
      </c>
      <c r="F1674" t="s">
        <v>655</v>
      </c>
      <c r="G1674" t="s">
        <v>50</v>
      </c>
      <c r="J1674" s="9">
        <v>0</v>
      </c>
      <c r="K1674" s="7">
        <v>0</v>
      </c>
      <c r="L1674" s="7">
        <v>0</v>
      </c>
      <c r="M1674" s="9">
        <v>1</v>
      </c>
      <c r="N1674" s="7">
        <v>9</v>
      </c>
      <c r="O1674" s="7">
        <v>4.0999999999999996</v>
      </c>
      <c r="P1674" s="7">
        <v>4.7</v>
      </c>
      <c r="Q1674" t="s">
        <v>62</v>
      </c>
      <c r="R1674" s="7" t="str">
        <f>TEXT(Table1[[#This Row],[Date]],"mmm yyyy")</f>
        <v>Apr 2026</v>
      </c>
      <c r="S1674" s="9">
        <f>YEAR(Table1[[#This Row],[Date]])</f>
        <v>2026</v>
      </c>
      <c r="T1674" s="9"/>
      <c r="U1674" s="9"/>
    </row>
    <row r="1675" spans="1:21" hidden="1" x14ac:dyDescent="0.3">
      <c r="A1675" t="s">
        <v>2367</v>
      </c>
      <c r="B1675" s="6">
        <v>45931</v>
      </c>
      <c r="C1675" t="s">
        <v>26</v>
      </c>
      <c r="D1675" t="s">
        <v>72</v>
      </c>
      <c r="E1675" t="s">
        <v>20</v>
      </c>
      <c r="F1675" t="s">
        <v>2368</v>
      </c>
      <c r="G1675" t="s">
        <v>22</v>
      </c>
      <c r="J1675" s="9">
        <v>0</v>
      </c>
      <c r="K1675" s="7">
        <v>0</v>
      </c>
      <c r="L1675" s="7">
        <v>0</v>
      </c>
      <c r="M1675" s="9">
        <v>1</v>
      </c>
      <c r="N1675" s="7">
        <v>6.3</v>
      </c>
      <c r="O1675" s="7">
        <v>6.8</v>
      </c>
      <c r="P1675" s="7">
        <v>3.7</v>
      </c>
      <c r="Q1675" t="s">
        <v>39</v>
      </c>
      <c r="R1675" s="7" t="str">
        <f>TEXT(Table1[[#This Row],[Date]],"mmm yyyy")</f>
        <v>Oct 2025</v>
      </c>
      <c r="S1675" s="9">
        <f>YEAR(Table1[[#This Row],[Date]])</f>
        <v>2025</v>
      </c>
      <c r="T1675" s="9"/>
      <c r="U1675" s="9"/>
    </row>
    <row r="1676" spans="1:21" hidden="1" x14ac:dyDescent="0.3">
      <c r="A1676" t="s">
        <v>2369</v>
      </c>
      <c r="B1676" s="6">
        <v>46086</v>
      </c>
      <c r="C1676" t="s">
        <v>26</v>
      </c>
      <c r="D1676" t="s">
        <v>126</v>
      </c>
      <c r="E1676" t="s">
        <v>20</v>
      </c>
      <c r="F1676" t="s">
        <v>1055</v>
      </c>
      <c r="G1676" t="s">
        <v>30</v>
      </c>
      <c r="J1676" s="9">
        <v>0</v>
      </c>
      <c r="K1676" s="7">
        <v>0</v>
      </c>
      <c r="L1676" s="7">
        <v>0</v>
      </c>
      <c r="M1676" s="9">
        <v>1</v>
      </c>
      <c r="N1676" s="7">
        <v>2.9</v>
      </c>
      <c r="O1676" s="7">
        <v>15.1</v>
      </c>
      <c r="P1676" s="7">
        <v>4.4000000000000004</v>
      </c>
      <c r="Q1676" t="s">
        <v>39</v>
      </c>
      <c r="R1676" s="7" t="str">
        <f>TEXT(Table1[[#This Row],[Date]],"mmm yyyy")</f>
        <v>Mar 2026</v>
      </c>
      <c r="S1676" s="9">
        <f>YEAR(Table1[[#This Row],[Date]])</f>
        <v>2026</v>
      </c>
      <c r="T1676" s="9"/>
      <c r="U1676" s="9"/>
    </row>
    <row r="1677" spans="1:21" x14ac:dyDescent="0.3">
      <c r="A1677" t="s">
        <v>2370</v>
      </c>
      <c r="B1677" s="6">
        <v>46130</v>
      </c>
      <c r="C1677" t="s">
        <v>18</v>
      </c>
      <c r="D1677" t="s">
        <v>47</v>
      </c>
      <c r="E1677" t="s">
        <v>48</v>
      </c>
      <c r="F1677" t="s">
        <v>1619</v>
      </c>
      <c r="G1677" t="s">
        <v>30</v>
      </c>
      <c r="H1677" t="s">
        <v>23</v>
      </c>
      <c r="I1677" t="s">
        <v>24</v>
      </c>
      <c r="J1677" s="9">
        <v>1</v>
      </c>
      <c r="K1677" s="7">
        <v>91500</v>
      </c>
      <c r="L1677" s="7">
        <v>91500</v>
      </c>
      <c r="M1677" s="9"/>
      <c r="N1677" s="7">
        <v>18</v>
      </c>
      <c r="O1677" s="7"/>
      <c r="P1677" s="7"/>
      <c r="Q1677" t="s">
        <v>24</v>
      </c>
      <c r="R1677" s="7" t="str">
        <f>TEXT(Table1[[#This Row],[Date]],"mmm yyyy")</f>
        <v>Apr 2026</v>
      </c>
      <c r="S1677" s="9">
        <f>YEAR(Table1[[#This Row],[Date]])</f>
        <v>2026</v>
      </c>
      <c r="T1677" s="9"/>
      <c r="U1677" s="9"/>
    </row>
    <row r="1678" spans="1:21" x14ac:dyDescent="0.3">
      <c r="A1678" t="s">
        <v>2371</v>
      </c>
      <c r="B1678" s="6">
        <v>46031</v>
      </c>
      <c r="C1678" t="s">
        <v>18</v>
      </c>
      <c r="D1678" t="s">
        <v>19</v>
      </c>
      <c r="E1678" t="s">
        <v>20</v>
      </c>
      <c r="F1678" t="s">
        <v>1694</v>
      </c>
      <c r="G1678" t="s">
        <v>22</v>
      </c>
      <c r="H1678" t="s">
        <v>66</v>
      </c>
      <c r="I1678" t="s">
        <v>45</v>
      </c>
      <c r="J1678" s="9">
        <v>1</v>
      </c>
      <c r="K1678" s="7">
        <v>22900</v>
      </c>
      <c r="L1678" s="7">
        <v>0</v>
      </c>
      <c r="M1678" s="9"/>
      <c r="N1678" s="7">
        <v>21</v>
      </c>
      <c r="O1678" s="7"/>
      <c r="P1678" s="7"/>
      <c r="Q1678" t="s">
        <v>45</v>
      </c>
      <c r="R1678" s="7" t="str">
        <f>TEXT(Table1[[#This Row],[Date]],"mmm yyyy")</f>
        <v>Jan 2026</v>
      </c>
      <c r="S1678" s="9">
        <f>YEAR(Table1[[#This Row],[Date]])</f>
        <v>2026</v>
      </c>
      <c r="T1678" s="9"/>
      <c r="U1678" s="9"/>
    </row>
    <row r="1679" spans="1:21" x14ac:dyDescent="0.3">
      <c r="A1679" t="s">
        <v>2372</v>
      </c>
      <c r="B1679" s="6">
        <v>46204</v>
      </c>
      <c r="C1679" t="s">
        <v>18</v>
      </c>
      <c r="D1679" t="s">
        <v>95</v>
      </c>
      <c r="E1679" t="s">
        <v>48</v>
      </c>
      <c r="F1679" t="s">
        <v>1000</v>
      </c>
      <c r="G1679" t="s">
        <v>30</v>
      </c>
      <c r="H1679" t="s">
        <v>86</v>
      </c>
      <c r="I1679" t="s">
        <v>45</v>
      </c>
      <c r="J1679" s="9">
        <v>1</v>
      </c>
      <c r="K1679" s="7">
        <v>61100</v>
      </c>
      <c r="L1679" s="7">
        <v>0</v>
      </c>
      <c r="M1679" s="9"/>
      <c r="N1679" s="7">
        <v>22.2</v>
      </c>
      <c r="O1679" s="7"/>
      <c r="P1679" s="7"/>
      <c r="Q1679" t="s">
        <v>45</v>
      </c>
      <c r="R1679" s="7" t="str">
        <f>TEXT(Table1[[#This Row],[Date]],"mmm yyyy")</f>
        <v>Jul 2026</v>
      </c>
      <c r="S1679" s="9">
        <f>YEAR(Table1[[#This Row],[Date]])</f>
        <v>2026</v>
      </c>
      <c r="T1679" s="9"/>
      <c r="U1679" s="9"/>
    </row>
    <row r="1680" spans="1:21" x14ac:dyDescent="0.3">
      <c r="A1680" t="s">
        <v>2373</v>
      </c>
      <c r="B1680" s="6">
        <v>46087</v>
      </c>
      <c r="C1680" t="s">
        <v>18</v>
      </c>
      <c r="D1680" t="s">
        <v>19</v>
      </c>
      <c r="E1680" t="s">
        <v>20</v>
      </c>
      <c r="F1680" t="s">
        <v>560</v>
      </c>
      <c r="G1680" t="s">
        <v>50</v>
      </c>
      <c r="H1680" t="s">
        <v>78</v>
      </c>
      <c r="I1680" t="s">
        <v>55</v>
      </c>
      <c r="J1680" s="9">
        <v>1</v>
      </c>
      <c r="K1680" s="7">
        <v>7900</v>
      </c>
      <c r="L1680" s="7">
        <v>0</v>
      </c>
      <c r="M1680" s="9"/>
      <c r="N1680" s="7">
        <v>17.5</v>
      </c>
      <c r="O1680" s="7"/>
      <c r="P1680" s="7"/>
      <c r="Q1680" t="s">
        <v>55</v>
      </c>
      <c r="R1680" s="7" t="str">
        <f>TEXT(Table1[[#This Row],[Date]],"mmm yyyy")</f>
        <v>Mar 2026</v>
      </c>
      <c r="S1680" s="9">
        <f>YEAR(Table1[[#This Row],[Date]])</f>
        <v>2026</v>
      </c>
      <c r="T1680" s="9"/>
      <c r="U1680" s="9"/>
    </row>
    <row r="1681" spans="1:21" hidden="1" x14ac:dyDescent="0.3">
      <c r="A1681" t="s">
        <v>2374</v>
      </c>
      <c r="B1681" s="6">
        <v>46216</v>
      </c>
      <c r="C1681" t="s">
        <v>26</v>
      </c>
      <c r="D1681" t="s">
        <v>232</v>
      </c>
      <c r="E1681" t="s">
        <v>42</v>
      </c>
      <c r="F1681" t="s">
        <v>818</v>
      </c>
      <c r="G1681" t="s">
        <v>22</v>
      </c>
      <c r="J1681" s="9">
        <v>0</v>
      </c>
      <c r="K1681" s="7">
        <v>0</v>
      </c>
      <c r="L1681" s="7">
        <v>0</v>
      </c>
      <c r="M1681" s="9">
        <v>1</v>
      </c>
      <c r="N1681" s="7">
        <v>4.4000000000000004</v>
      </c>
      <c r="O1681" s="7">
        <v>7.1</v>
      </c>
      <c r="P1681" s="7">
        <v>4</v>
      </c>
      <c r="Q1681" t="s">
        <v>225</v>
      </c>
      <c r="R1681" s="7" t="str">
        <f>TEXT(Table1[[#This Row],[Date]],"mmm yyyy")</f>
        <v>Jul 2026</v>
      </c>
      <c r="S1681" s="9">
        <f>YEAR(Table1[[#This Row],[Date]])</f>
        <v>2026</v>
      </c>
      <c r="T1681" s="9"/>
      <c r="U1681" s="9"/>
    </row>
    <row r="1682" spans="1:21" x14ac:dyDescent="0.3">
      <c r="A1682" t="s">
        <v>2375</v>
      </c>
      <c r="B1682" s="6">
        <v>46255</v>
      </c>
      <c r="C1682" t="s">
        <v>18</v>
      </c>
      <c r="D1682" t="s">
        <v>95</v>
      </c>
      <c r="E1682" t="s">
        <v>42</v>
      </c>
      <c r="F1682" t="s">
        <v>451</v>
      </c>
      <c r="G1682" t="s">
        <v>22</v>
      </c>
      <c r="H1682" t="s">
        <v>23</v>
      </c>
      <c r="I1682" t="s">
        <v>67</v>
      </c>
      <c r="J1682" s="9">
        <v>1</v>
      </c>
      <c r="K1682" s="7">
        <v>20200</v>
      </c>
      <c r="L1682" s="7">
        <v>0</v>
      </c>
      <c r="M1682" s="9"/>
      <c r="N1682" s="7">
        <v>6.7</v>
      </c>
      <c r="O1682" s="7"/>
      <c r="P1682" s="7"/>
      <c r="Q1682" t="s">
        <v>67</v>
      </c>
      <c r="R1682" s="7" t="str">
        <f>TEXT(Table1[[#This Row],[Date]],"mmm yyyy")</f>
        <v>Aug 2026</v>
      </c>
      <c r="S1682" s="9">
        <f>YEAR(Table1[[#This Row],[Date]])</f>
        <v>2026</v>
      </c>
      <c r="T1682" s="9"/>
      <c r="U1682" s="9"/>
    </row>
    <row r="1683" spans="1:21" hidden="1" x14ac:dyDescent="0.3">
      <c r="A1683" t="s">
        <v>2376</v>
      </c>
      <c r="B1683" s="6">
        <v>46194</v>
      </c>
      <c r="C1683" t="s">
        <v>26</v>
      </c>
      <c r="D1683" t="s">
        <v>232</v>
      </c>
      <c r="E1683" t="s">
        <v>20</v>
      </c>
      <c r="F1683" t="s">
        <v>81</v>
      </c>
      <c r="G1683" t="s">
        <v>30</v>
      </c>
      <c r="J1683" s="9">
        <v>0</v>
      </c>
      <c r="K1683" s="7">
        <v>0</v>
      </c>
      <c r="L1683" s="7">
        <v>0</v>
      </c>
      <c r="M1683" s="9">
        <v>1</v>
      </c>
      <c r="N1683" s="7">
        <v>1.6</v>
      </c>
      <c r="O1683" s="7">
        <v>7.1</v>
      </c>
      <c r="P1683" s="7">
        <v>4.2</v>
      </c>
      <c r="Q1683" t="s">
        <v>225</v>
      </c>
      <c r="R1683" s="7" t="str">
        <f>TEXT(Table1[[#This Row],[Date]],"mmm yyyy")</f>
        <v>Jun 2026</v>
      </c>
      <c r="S1683" s="9">
        <f>YEAR(Table1[[#This Row],[Date]])</f>
        <v>2026</v>
      </c>
      <c r="T1683" s="9"/>
      <c r="U1683" s="9"/>
    </row>
    <row r="1684" spans="1:21" hidden="1" x14ac:dyDescent="0.3">
      <c r="A1684" t="s">
        <v>2377</v>
      </c>
      <c r="B1684" s="6">
        <v>46060</v>
      </c>
      <c r="C1684" t="s">
        <v>26</v>
      </c>
      <c r="D1684" t="s">
        <v>72</v>
      </c>
      <c r="E1684" t="s">
        <v>42</v>
      </c>
      <c r="F1684" t="s">
        <v>759</v>
      </c>
      <c r="G1684" t="s">
        <v>50</v>
      </c>
      <c r="J1684" s="9">
        <v>0</v>
      </c>
      <c r="K1684" s="7">
        <v>0</v>
      </c>
      <c r="L1684" s="7">
        <v>0</v>
      </c>
      <c r="M1684" s="9">
        <v>1</v>
      </c>
      <c r="N1684" s="7">
        <v>6.5</v>
      </c>
      <c r="O1684" s="7">
        <v>16.2</v>
      </c>
      <c r="P1684" s="7">
        <v>3.2</v>
      </c>
      <c r="Q1684" t="s">
        <v>39</v>
      </c>
      <c r="R1684" s="7" t="str">
        <f>TEXT(Table1[[#This Row],[Date]],"mmm yyyy")</f>
        <v>Feb 2026</v>
      </c>
      <c r="S1684" s="9">
        <f>YEAR(Table1[[#This Row],[Date]])</f>
        <v>2026</v>
      </c>
      <c r="T1684" s="9"/>
      <c r="U1684" s="9"/>
    </row>
    <row r="1685" spans="1:21" hidden="1" x14ac:dyDescent="0.3">
      <c r="A1685" t="s">
        <v>2378</v>
      </c>
      <c r="B1685" s="6">
        <v>46183</v>
      </c>
      <c r="C1685" t="s">
        <v>26</v>
      </c>
      <c r="D1685" t="s">
        <v>69</v>
      </c>
      <c r="E1685" t="s">
        <v>20</v>
      </c>
      <c r="F1685" t="s">
        <v>299</v>
      </c>
      <c r="G1685" t="s">
        <v>50</v>
      </c>
      <c r="J1685" s="9">
        <v>0</v>
      </c>
      <c r="K1685" s="7">
        <v>0</v>
      </c>
      <c r="L1685" s="7">
        <v>0</v>
      </c>
      <c r="M1685" s="9">
        <v>1</v>
      </c>
      <c r="N1685" s="7">
        <v>7.8</v>
      </c>
      <c r="O1685" s="7">
        <v>7.7</v>
      </c>
      <c r="P1685" s="7">
        <v>3.3</v>
      </c>
      <c r="Q1685" t="s">
        <v>39</v>
      </c>
      <c r="R1685" s="7" t="str">
        <f>TEXT(Table1[[#This Row],[Date]],"mmm yyyy")</f>
        <v>Jun 2026</v>
      </c>
      <c r="S1685" s="9">
        <f>YEAR(Table1[[#This Row],[Date]])</f>
        <v>2026</v>
      </c>
      <c r="T1685" s="9"/>
      <c r="U1685" s="9"/>
    </row>
    <row r="1686" spans="1:21" x14ac:dyDescent="0.3">
      <c r="A1686" t="s">
        <v>2379</v>
      </c>
      <c r="B1686" s="6">
        <v>45929</v>
      </c>
      <c r="C1686" t="s">
        <v>18</v>
      </c>
      <c r="D1686" t="s">
        <v>47</v>
      </c>
      <c r="E1686" t="s">
        <v>37</v>
      </c>
      <c r="F1686" t="s">
        <v>499</v>
      </c>
      <c r="G1686" t="s">
        <v>44</v>
      </c>
      <c r="H1686" t="s">
        <v>86</v>
      </c>
      <c r="I1686" t="s">
        <v>24</v>
      </c>
      <c r="J1686" s="9">
        <v>1</v>
      </c>
      <c r="K1686" s="7">
        <v>14100</v>
      </c>
      <c r="L1686" s="7">
        <v>14100</v>
      </c>
      <c r="M1686" s="9"/>
      <c r="N1686" s="7">
        <v>17</v>
      </c>
      <c r="O1686" s="7"/>
      <c r="P1686" s="7"/>
      <c r="Q1686" t="s">
        <v>24</v>
      </c>
      <c r="R1686" s="7" t="str">
        <f>TEXT(Table1[[#This Row],[Date]],"mmm yyyy")</f>
        <v>Sep 2025</v>
      </c>
      <c r="S1686" s="9">
        <f>YEAR(Table1[[#This Row],[Date]])</f>
        <v>2025</v>
      </c>
      <c r="T1686" s="9"/>
      <c r="U1686" s="9"/>
    </row>
    <row r="1687" spans="1:21" hidden="1" x14ac:dyDescent="0.3">
      <c r="A1687" t="s">
        <v>2380</v>
      </c>
      <c r="B1687" s="6">
        <v>46134</v>
      </c>
      <c r="C1687" t="s">
        <v>26</v>
      </c>
      <c r="D1687" t="s">
        <v>33</v>
      </c>
      <c r="E1687" t="s">
        <v>20</v>
      </c>
      <c r="F1687" t="s">
        <v>184</v>
      </c>
      <c r="G1687" t="s">
        <v>50</v>
      </c>
      <c r="J1687" s="9">
        <v>0</v>
      </c>
      <c r="K1687" s="7">
        <v>0</v>
      </c>
      <c r="L1687" s="7">
        <v>0</v>
      </c>
      <c r="M1687" s="9">
        <v>1</v>
      </c>
      <c r="N1687" s="7">
        <v>9.9</v>
      </c>
      <c r="O1687" s="7">
        <v>3.8</v>
      </c>
      <c r="P1687" s="7">
        <v>3.1</v>
      </c>
      <c r="Q1687" t="s">
        <v>39</v>
      </c>
      <c r="R1687" s="7" t="str">
        <f>TEXT(Table1[[#This Row],[Date]],"mmm yyyy")</f>
        <v>Apr 2026</v>
      </c>
      <c r="S1687" s="9">
        <f>YEAR(Table1[[#This Row],[Date]])</f>
        <v>2026</v>
      </c>
      <c r="T1687" s="9"/>
      <c r="U1687" s="9"/>
    </row>
    <row r="1688" spans="1:21" hidden="1" x14ac:dyDescent="0.3">
      <c r="A1688" t="s">
        <v>2381</v>
      </c>
      <c r="B1688" s="6">
        <v>46088</v>
      </c>
      <c r="C1688" t="s">
        <v>26</v>
      </c>
      <c r="D1688" t="s">
        <v>69</v>
      </c>
      <c r="E1688" t="s">
        <v>28</v>
      </c>
      <c r="F1688" t="s">
        <v>449</v>
      </c>
      <c r="G1688" t="s">
        <v>30</v>
      </c>
      <c r="J1688" s="9">
        <v>0</v>
      </c>
      <c r="K1688" s="7">
        <v>0</v>
      </c>
      <c r="L1688" s="7">
        <v>0</v>
      </c>
      <c r="M1688" s="9">
        <v>1</v>
      </c>
      <c r="N1688" s="7">
        <v>6.1</v>
      </c>
      <c r="O1688" s="7">
        <v>7.7</v>
      </c>
      <c r="P1688" s="7">
        <v>4.8</v>
      </c>
      <c r="Q1688" t="s">
        <v>39</v>
      </c>
      <c r="R1688" s="7" t="str">
        <f>TEXT(Table1[[#This Row],[Date]],"mmm yyyy")</f>
        <v>Mar 2026</v>
      </c>
      <c r="S1688" s="9">
        <f>YEAR(Table1[[#This Row],[Date]])</f>
        <v>2026</v>
      </c>
      <c r="T1688" s="9"/>
      <c r="U1688" s="9"/>
    </row>
    <row r="1689" spans="1:21" x14ac:dyDescent="0.3">
      <c r="A1689" t="s">
        <v>2382</v>
      </c>
      <c r="B1689" s="6">
        <v>45990</v>
      </c>
      <c r="C1689" t="s">
        <v>18</v>
      </c>
      <c r="D1689" t="s">
        <v>64</v>
      </c>
      <c r="E1689" t="s">
        <v>20</v>
      </c>
      <c r="F1689" t="s">
        <v>451</v>
      </c>
      <c r="G1689" t="s">
        <v>50</v>
      </c>
      <c r="H1689" t="s">
        <v>23</v>
      </c>
      <c r="I1689" t="s">
        <v>45</v>
      </c>
      <c r="J1689" s="9">
        <v>1</v>
      </c>
      <c r="K1689" s="7">
        <v>28300</v>
      </c>
      <c r="L1689" s="7">
        <v>0</v>
      </c>
      <c r="M1689" s="9"/>
      <c r="N1689" s="7">
        <v>7.7</v>
      </c>
      <c r="O1689" s="7"/>
      <c r="P1689" s="7"/>
      <c r="Q1689" t="s">
        <v>45</v>
      </c>
      <c r="R1689" s="7" t="str">
        <f>TEXT(Table1[[#This Row],[Date]],"mmm yyyy")</f>
        <v>Nov 2025</v>
      </c>
      <c r="S1689" s="9">
        <f>YEAR(Table1[[#This Row],[Date]])</f>
        <v>2025</v>
      </c>
      <c r="T1689" s="9"/>
      <c r="U1689" s="9"/>
    </row>
    <row r="1690" spans="1:21" hidden="1" x14ac:dyDescent="0.3">
      <c r="A1690" t="s">
        <v>2383</v>
      </c>
      <c r="B1690" s="6">
        <v>46230</v>
      </c>
      <c r="C1690" t="s">
        <v>26</v>
      </c>
      <c r="D1690" t="s">
        <v>69</v>
      </c>
      <c r="E1690" t="s">
        <v>42</v>
      </c>
      <c r="F1690" t="s">
        <v>461</v>
      </c>
      <c r="G1690" t="s">
        <v>30</v>
      </c>
      <c r="J1690" s="9">
        <v>0</v>
      </c>
      <c r="K1690" s="7">
        <v>0</v>
      </c>
      <c r="L1690" s="7">
        <v>0</v>
      </c>
      <c r="M1690" s="9">
        <v>1</v>
      </c>
      <c r="N1690" s="7">
        <v>2.4</v>
      </c>
      <c r="O1690" s="7">
        <v>4</v>
      </c>
      <c r="P1690" s="7">
        <v>3.6</v>
      </c>
      <c r="Q1690" t="s">
        <v>31</v>
      </c>
      <c r="R1690" s="7" t="str">
        <f>TEXT(Table1[[#This Row],[Date]],"mmm yyyy")</f>
        <v>Jul 2026</v>
      </c>
      <c r="S1690" s="9">
        <f>YEAR(Table1[[#This Row],[Date]])</f>
        <v>2026</v>
      </c>
      <c r="T1690" s="9"/>
      <c r="U1690" s="9"/>
    </row>
    <row r="1691" spans="1:21" hidden="1" x14ac:dyDescent="0.3">
      <c r="A1691" t="s">
        <v>2384</v>
      </c>
      <c r="B1691" s="6">
        <v>46165</v>
      </c>
      <c r="C1691" t="s">
        <v>26</v>
      </c>
      <c r="D1691" t="s">
        <v>126</v>
      </c>
      <c r="E1691" t="s">
        <v>20</v>
      </c>
      <c r="F1691" t="s">
        <v>793</v>
      </c>
      <c r="G1691" t="s">
        <v>50</v>
      </c>
      <c r="J1691" s="9">
        <v>0</v>
      </c>
      <c r="K1691" s="7">
        <v>0</v>
      </c>
      <c r="L1691" s="7">
        <v>0</v>
      </c>
      <c r="M1691" s="9">
        <v>1</v>
      </c>
      <c r="N1691" s="7">
        <v>2</v>
      </c>
      <c r="O1691" s="7">
        <v>4.4000000000000004</v>
      </c>
      <c r="P1691" s="7">
        <v>4.0999999999999996</v>
      </c>
      <c r="Q1691" t="s">
        <v>39</v>
      </c>
      <c r="R1691" s="7" t="str">
        <f>TEXT(Table1[[#This Row],[Date]],"mmm yyyy")</f>
        <v>May 2026</v>
      </c>
      <c r="S1691" s="9">
        <f>YEAR(Table1[[#This Row],[Date]])</f>
        <v>2026</v>
      </c>
      <c r="T1691" s="9"/>
      <c r="U1691" s="9"/>
    </row>
    <row r="1692" spans="1:21" x14ac:dyDescent="0.3">
      <c r="A1692" t="s">
        <v>2385</v>
      </c>
      <c r="B1692" s="6">
        <v>46161</v>
      </c>
      <c r="C1692" t="s">
        <v>18</v>
      </c>
      <c r="D1692" t="s">
        <v>52</v>
      </c>
      <c r="E1692" t="s">
        <v>20</v>
      </c>
      <c r="F1692" t="s">
        <v>638</v>
      </c>
      <c r="G1692" t="s">
        <v>30</v>
      </c>
      <c r="H1692" t="s">
        <v>23</v>
      </c>
      <c r="I1692" t="s">
        <v>67</v>
      </c>
      <c r="J1692" s="9">
        <v>1</v>
      </c>
      <c r="K1692" s="7">
        <v>31300</v>
      </c>
      <c r="L1692" s="7">
        <v>0</v>
      </c>
      <c r="M1692" s="9"/>
      <c r="N1692" s="7">
        <v>14.8</v>
      </c>
      <c r="O1692" s="7"/>
      <c r="P1692" s="7"/>
      <c r="Q1692" t="s">
        <v>67</v>
      </c>
      <c r="R1692" s="7" t="str">
        <f>TEXT(Table1[[#This Row],[Date]],"mmm yyyy")</f>
        <v>May 2026</v>
      </c>
      <c r="S1692" s="9">
        <f>YEAR(Table1[[#This Row],[Date]])</f>
        <v>2026</v>
      </c>
      <c r="T1692" s="9"/>
      <c r="U1692" s="9"/>
    </row>
    <row r="1693" spans="1:21" x14ac:dyDescent="0.3">
      <c r="A1693" t="s">
        <v>2386</v>
      </c>
      <c r="B1693" s="6">
        <v>46043</v>
      </c>
      <c r="C1693" t="s">
        <v>18</v>
      </c>
      <c r="D1693" t="s">
        <v>41</v>
      </c>
      <c r="E1693" t="s">
        <v>20</v>
      </c>
      <c r="F1693" t="s">
        <v>1573</v>
      </c>
      <c r="G1693" t="s">
        <v>22</v>
      </c>
      <c r="H1693" t="s">
        <v>54</v>
      </c>
      <c r="I1693" t="s">
        <v>45</v>
      </c>
      <c r="J1693" s="9">
        <v>1</v>
      </c>
      <c r="K1693" s="7">
        <v>25200</v>
      </c>
      <c r="L1693" s="7">
        <v>0</v>
      </c>
      <c r="M1693" s="9"/>
      <c r="N1693" s="7">
        <v>7.6</v>
      </c>
      <c r="O1693" s="7"/>
      <c r="P1693" s="7"/>
      <c r="Q1693" t="s">
        <v>45</v>
      </c>
      <c r="R1693" s="7" t="str">
        <f>TEXT(Table1[[#This Row],[Date]],"mmm yyyy")</f>
        <v>Jan 2026</v>
      </c>
      <c r="S1693" s="9">
        <f>YEAR(Table1[[#This Row],[Date]])</f>
        <v>2026</v>
      </c>
      <c r="T1693" s="9"/>
      <c r="U1693" s="9"/>
    </row>
    <row r="1694" spans="1:21" x14ac:dyDescent="0.3">
      <c r="A1694" t="s">
        <v>2387</v>
      </c>
      <c r="B1694" s="6">
        <v>45972</v>
      </c>
      <c r="C1694" t="s">
        <v>18</v>
      </c>
      <c r="D1694" t="s">
        <v>117</v>
      </c>
      <c r="E1694" t="s">
        <v>28</v>
      </c>
      <c r="F1694" t="s">
        <v>713</v>
      </c>
      <c r="G1694" t="s">
        <v>22</v>
      </c>
      <c r="H1694" t="s">
        <v>66</v>
      </c>
      <c r="I1694" t="s">
        <v>67</v>
      </c>
      <c r="J1694" s="9">
        <v>1</v>
      </c>
      <c r="K1694" s="7">
        <v>62900</v>
      </c>
      <c r="L1694" s="7">
        <v>0</v>
      </c>
      <c r="M1694" s="9"/>
      <c r="N1694" s="7">
        <v>11.1</v>
      </c>
      <c r="O1694" s="7"/>
      <c r="P1694" s="7"/>
      <c r="Q1694" t="s">
        <v>67</v>
      </c>
      <c r="R1694" s="7" t="str">
        <f>TEXT(Table1[[#This Row],[Date]],"mmm yyyy")</f>
        <v>Nov 2025</v>
      </c>
      <c r="S1694" s="9">
        <f>YEAR(Table1[[#This Row],[Date]])</f>
        <v>2025</v>
      </c>
      <c r="T1694" s="9"/>
      <c r="U1694" s="9"/>
    </row>
    <row r="1695" spans="1:21" x14ac:dyDescent="0.3">
      <c r="A1695" t="s">
        <v>2388</v>
      </c>
      <c r="B1695" s="6">
        <v>45917</v>
      </c>
      <c r="C1695" t="s">
        <v>18</v>
      </c>
      <c r="D1695" t="s">
        <v>64</v>
      </c>
      <c r="E1695" t="s">
        <v>20</v>
      </c>
      <c r="F1695" t="s">
        <v>2389</v>
      </c>
      <c r="G1695" t="s">
        <v>30</v>
      </c>
      <c r="H1695" t="s">
        <v>66</v>
      </c>
      <c r="I1695" t="s">
        <v>89</v>
      </c>
      <c r="J1695" s="9">
        <v>1</v>
      </c>
      <c r="K1695" s="7">
        <v>30200</v>
      </c>
      <c r="L1695" s="7">
        <v>0</v>
      </c>
      <c r="M1695" s="9"/>
      <c r="N1695" s="7">
        <v>7.8</v>
      </c>
      <c r="O1695" s="7"/>
      <c r="P1695" s="7"/>
      <c r="Q1695" t="s">
        <v>89</v>
      </c>
      <c r="R1695" s="7" t="str">
        <f>TEXT(Table1[[#This Row],[Date]],"mmm yyyy")</f>
        <v>Sep 2025</v>
      </c>
      <c r="S1695" s="9">
        <f>YEAR(Table1[[#This Row],[Date]])</f>
        <v>2025</v>
      </c>
      <c r="T1695" s="9"/>
      <c r="U1695" s="9"/>
    </row>
    <row r="1696" spans="1:21" x14ac:dyDescent="0.3">
      <c r="A1696" t="s">
        <v>2390</v>
      </c>
      <c r="B1696" s="6">
        <v>46164</v>
      </c>
      <c r="C1696" t="s">
        <v>18</v>
      </c>
      <c r="D1696" t="s">
        <v>52</v>
      </c>
      <c r="E1696" t="s">
        <v>20</v>
      </c>
      <c r="F1696" t="s">
        <v>1555</v>
      </c>
      <c r="G1696" t="s">
        <v>22</v>
      </c>
      <c r="H1696" t="s">
        <v>54</v>
      </c>
      <c r="I1696" t="s">
        <v>79</v>
      </c>
      <c r="J1696" s="9">
        <v>1</v>
      </c>
      <c r="K1696" s="7">
        <v>11900</v>
      </c>
      <c r="L1696" s="7">
        <v>0</v>
      </c>
      <c r="M1696" s="9"/>
      <c r="N1696" s="7">
        <v>15.3</v>
      </c>
      <c r="O1696" s="7"/>
      <c r="P1696" s="7"/>
      <c r="Q1696" t="s">
        <v>79</v>
      </c>
      <c r="R1696" s="7" t="str">
        <f>TEXT(Table1[[#This Row],[Date]],"mmm yyyy")</f>
        <v>May 2026</v>
      </c>
      <c r="S1696" s="9">
        <f>YEAR(Table1[[#This Row],[Date]])</f>
        <v>2026</v>
      </c>
      <c r="T1696" s="9"/>
      <c r="U1696" s="9"/>
    </row>
    <row r="1697" spans="1:21" x14ac:dyDescent="0.3">
      <c r="A1697" t="s">
        <v>2391</v>
      </c>
      <c r="B1697" s="6">
        <v>46032</v>
      </c>
      <c r="C1697" t="s">
        <v>18</v>
      </c>
      <c r="D1697" t="s">
        <v>117</v>
      </c>
      <c r="E1697" t="s">
        <v>42</v>
      </c>
      <c r="F1697" t="s">
        <v>2392</v>
      </c>
      <c r="G1697" t="s">
        <v>22</v>
      </c>
      <c r="H1697" t="s">
        <v>78</v>
      </c>
      <c r="I1697" t="s">
        <v>45</v>
      </c>
      <c r="J1697" s="9">
        <v>1</v>
      </c>
      <c r="K1697" s="7">
        <v>47400</v>
      </c>
      <c r="L1697" s="7">
        <v>0</v>
      </c>
      <c r="M1697" s="9"/>
      <c r="N1697" s="7">
        <v>6.8</v>
      </c>
      <c r="O1697" s="7"/>
      <c r="P1697" s="7"/>
      <c r="Q1697" t="s">
        <v>45</v>
      </c>
      <c r="R1697" s="7" t="str">
        <f>TEXT(Table1[[#This Row],[Date]],"mmm yyyy")</f>
        <v>Jan 2026</v>
      </c>
      <c r="S1697" s="9">
        <f>YEAR(Table1[[#This Row],[Date]])</f>
        <v>2026</v>
      </c>
      <c r="T1697" s="9"/>
      <c r="U1697" s="9"/>
    </row>
    <row r="1698" spans="1:21" x14ac:dyDescent="0.3">
      <c r="A1698" t="s">
        <v>2393</v>
      </c>
      <c r="B1698" s="6">
        <v>46228</v>
      </c>
      <c r="C1698" t="s">
        <v>18</v>
      </c>
      <c r="D1698" t="s">
        <v>105</v>
      </c>
      <c r="E1698" t="s">
        <v>42</v>
      </c>
      <c r="F1698" t="s">
        <v>310</v>
      </c>
      <c r="G1698" t="s">
        <v>50</v>
      </c>
      <c r="H1698" t="s">
        <v>23</v>
      </c>
      <c r="I1698" t="s">
        <v>89</v>
      </c>
      <c r="J1698" s="9">
        <v>1</v>
      </c>
      <c r="K1698" s="7">
        <v>26200</v>
      </c>
      <c r="L1698" s="7">
        <v>0</v>
      </c>
      <c r="M1698" s="9"/>
      <c r="N1698" s="7">
        <v>16.7</v>
      </c>
      <c r="O1698" s="7"/>
      <c r="P1698" s="7"/>
      <c r="Q1698" t="s">
        <v>89</v>
      </c>
      <c r="R1698" s="7" t="str">
        <f>TEXT(Table1[[#This Row],[Date]],"mmm yyyy")</f>
        <v>Jul 2026</v>
      </c>
      <c r="S1698" s="9">
        <f>YEAR(Table1[[#This Row],[Date]])</f>
        <v>2026</v>
      </c>
      <c r="T1698" s="9"/>
      <c r="U1698" s="9"/>
    </row>
    <row r="1699" spans="1:21" x14ac:dyDescent="0.3">
      <c r="A1699" t="s">
        <v>2394</v>
      </c>
      <c r="B1699" s="6">
        <v>45941</v>
      </c>
      <c r="C1699" t="s">
        <v>18</v>
      </c>
      <c r="D1699" t="s">
        <v>19</v>
      </c>
      <c r="E1699" t="s">
        <v>42</v>
      </c>
      <c r="F1699" t="s">
        <v>706</v>
      </c>
      <c r="G1699" t="s">
        <v>30</v>
      </c>
      <c r="H1699" t="s">
        <v>78</v>
      </c>
      <c r="I1699" t="s">
        <v>45</v>
      </c>
      <c r="J1699" s="9">
        <v>1</v>
      </c>
      <c r="K1699" s="7">
        <v>11300</v>
      </c>
      <c r="L1699" s="7">
        <v>0</v>
      </c>
      <c r="M1699" s="9"/>
      <c r="N1699" s="7">
        <v>17.3</v>
      </c>
      <c r="O1699" s="7"/>
      <c r="P1699" s="7"/>
      <c r="Q1699" t="s">
        <v>45</v>
      </c>
      <c r="R1699" s="7" t="str">
        <f>TEXT(Table1[[#This Row],[Date]],"mmm yyyy")</f>
        <v>Oct 2025</v>
      </c>
      <c r="S1699" s="9">
        <f>YEAR(Table1[[#This Row],[Date]])</f>
        <v>2025</v>
      </c>
      <c r="T1699" s="9"/>
      <c r="U1699" s="9"/>
    </row>
    <row r="1700" spans="1:21" hidden="1" x14ac:dyDescent="0.3">
      <c r="A1700" t="s">
        <v>2395</v>
      </c>
      <c r="B1700" s="6">
        <v>46243</v>
      </c>
      <c r="C1700" t="s">
        <v>26</v>
      </c>
      <c r="D1700" t="s">
        <v>126</v>
      </c>
      <c r="E1700" t="s">
        <v>37</v>
      </c>
      <c r="F1700" t="s">
        <v>1184</v>
      </c>
      <c r="G1700" t="s">
        <v>30</v>
      </c>
      <c r="J1700" s="9">
        <v>0</v>
      </c>
      <c r="K1700" s="7">
        <v>0</v>
      </c>
      <c r="L1700" s="7">
        <v>0</v>
      </c>
      <c r="M1700" s="9">
        <v>1</v>
      </c>
      <c r="N1700" s="7">
        <v>2.2000000000000002</v>
      </c>
      <c r="O1700" s="7">
        <v>2.1</v>
      </c>
      <c r="P1700" s="7">
        <v>4.4000000000000004</v>
      </c>
      <c r="Q1700" t="s">
        <v>31</v>
      </c>
      <c r="R1700" s="7" t="str">
        <f>TEXT(Table1[[#This Row],[Date]],"mmm yyyy")</f>
        <v>Aug 2026</v>
      </c>
      <c r="S1700" s="9">
        <f>YEAR(Table1[[#This Row],[Date]])</f>
        <v>2026</v>
      </c>
      <c r="T1700" s="9"/>
      <c r="U1700" s="9"/>
    </row>
    <row r="1701" spans="1:21" x14ac:dyDescent="0.3">
      <c r="A1701" t="s">
        <v>2396</v>
      </c>
      <c r="B1701" s="6">
        <v>46118</v>
      </c>
      <c r="C1701" t="s">
        <v>18</v>
      </c>
      <c r="D1701" t="s">
        <v>64</v>
      </c>
      <c r="E1701" t="s">
        <v>42</v>
      </c>
      <c r="F1701" t="s">
        <v>1264</v>
      </c>
      <c r="G1701" t="s">
        <v>22</v>
      </c>
      <c r="H1701" t="s">
        <v>86</v>
      </c>
      <c r="I1701" t="s">
        <v>55</v>
      </c>
      <c r="J1701" s="9">
        <v>1</v>
      </c>
      <c r="K1701" s="7">
        <v>12000</v>
      </c>
      <c r="L1701" s="7">
        <v>0</v>
      </c>
      <c r="M1701" s="9"/>
      <c r="N1701" s="7">
        <v>17.399999999999999</v>
      </c>
      <c r="O1701" s="7"/>
      <c r="P1701" s="7"/>
      <c r="Q1701" t="s">
        <v>55</v>
      </c>
      <c r="R1701" s="7" t="str">
        <f>TEXT(Table1[[#This Row],[Date]],"mmm yyyy")</f>
        <v>Apr 2026</v>
      </c>
      <c r="S1701" s="9">
        <f>YEAR(Table1[[#This Row],[Date]])</f>
        <v>2026</v>
      </c>
      <c r="T1701" s="9"/>
      <c r="U1701" s="9"/>
    </row>
    <row r="1702" spans="1:21" hidden="1" x14ac:dyDescent="0.3">
      <c r="A1702" t="s">
        <v>2397</v>
      </c>
      <c r="B1702" s="6">
        <v>46259</v>
      </c>
      <c r="C1702" t="s">
        <v>26</v>
      </c>
      <c r="D1702" t="s">
        <v>27</v>
      </c>
      <c r="E1702" t="s">
        <v>28</v>
      </c>
      <c r="F1702" t="s">
        <v>96</v>
      </c>
      <c r="G1702" t="s">
        <v>22</v>
      </c>
      <c r="J1702" s="9">
        <v>0</v>
      </c>
      <c r="K1702" s="7">
        <v>0</v>
      </c>
      <c r="L1702" s="7">
        <v>0</v>
      </c>
      <c r="M1702" s="9">
        <v>1</v>
      </c>
      <c r="N1702" s="7">
        <v>8.5</v>
      </c>
      <c r="O1702" s="7">
        <v>9.1</v>
      </c>
      <c r="P1702" s="7">
        <v>4.8</v>
      </c>
      <c r="Q1702" t="s">
        <v>31</v>
      </c>
      <c r="R1702" s="7" t="str">
        <f>TEXT(Table1[[#This Row],[Date]],"mmm yyyy")</f>
        <v>Aug 2026</v>
      </c>
      <c r="S1702" s="9">
        <f>YEAR(Table1[[#This Row],[Date]])</f>
        <v>2026</v>
      </c>
      <c r="T1702" s="9"/>
      <c r="U1702" s="9"/>
    </row>
    <row r="1703" spans="1:21" x14ac:dyDescent="0.3">
      <c r="A1703" t="s">
        <v>2398</v>
      </c>
      <c r="B1703" s="6">
        <v>46174</v>
      </c>
      <c r="C1703" t="s">
        <v>18</v>
      </c>
      <c r="D1703" t="s">
        <v>41</v>
      </c>
      <c r="E1703" t="s">
        <v>48</v>
      </c>
      <c r="F1703" t="s">
        <v>750</v>
      </c>
      <c r="G1703" t="s">
        <v>30</v>
      </c>
      <c r="H1703" t="s">
        <v>23</v>
      </c>
      <c r="I1703" t="s">
        <v>45</v>
      </c>
      <c r="J1703" s="9">
        <v>1</v>
      </c>
      <c r="K1703" s="7">
        <v>72800</v>
      </c>
      <c r="L1703" s="7">
        <v>0</v>
      </c>
      <c r="M1703" s="9"/>
      <c r="N1703" s="7">
        <v>16.7</v>
      </c>
      <c r="O1703" s="7"/>
      <c r="P1703" s="7"/>
      <c r="Q1703" t="s">
        <v>45</v>
      </c>
      <c r="R1703" s="7" t="str">
        <f>TEXT(Table1[[#This Row],[Date]],"mmm yyyy")</f>
        <v>Jun 2026</v>
      </c>
      <c r="S1703" s="9">
        <f>YEAR(Table1[[#This Row],[Date]])</f>
        <v>2026</v>
      </c>
      <c r="T1703" s="9"/>
      <c r="U1703" s="9"/>
    </row>
    <row r="1704" spans="1:21" x14ac:dyDescent="0.3">
      <c r="A1704" t="s">
        <v>2399</v>
      </c>
      <c r="B1704" s="6">
        <v>46091</v>
      </c>
      <c r="C1704" t="s">
        <v>18</v>
      </c>
      <c r="D1704" t="s">
        <v>19</v>
      </c>
      <c r="E1704" t="s">
        <v>48</v>
      </c>
      <c r="F1704" t="s">
        <v>471</v>
      </c>
      <c r="G1704" t="s">
        <v>44</v>
      </c>
      <c r="H1704" t="s">
        <v>78</v>
      </c>
      <c r="I1704" t="s">
        <v>45</v>
      </c>
      <c r="J1704" s="9">
        <v>1</v>
      </c>
      <c r="K1704" s="7">
        <v>10300</v>
      </c>
      <c r="L1704" s="7">
        <v>0</v>
      </c>
      <c r="M1704" s="9"/>
      <c r="N1704" s="7">
        <v>16.8</v>
      </c>
      <c r="O1704" s="7"/>
      <c r="P1704" s="7"/>
      <c r="Q1704" t="s">
        <v>45</v>
      </c>
      <c r="R1704" s="7" t="str">
        <f>TEXT(Table1[[#This Row],[Date]],"mmm yyyy")</f>
        <v>Mar 2026</v>
      </c>
      <c r="S1704" s="9">
        <f>YEAR(Table1[[#This Row],[Date]])</f>
        <v>2026</v>
      </c>
      <c r="T1704" s="9"/>
      <c r="U1704" s="9"/>
    </row>
    <row r="1705" spans="1:21" x14ac:dyDescent="0.3">
      <c r="A1705" t="s">
        <v>2400</v>
      </c>
      <c r="B1705" s="6">
        <v>46245</v>
      </c>
      <c r="C1705" t="s">
        <v>18</v>
      </c>
      <c r="D1705" t="s">
        <v>64</v>
      </c>
      <c r="E1705" t="s">
        <v>20</v>
      </c>
      <c r="F1705" t="s">
        <v>2401</v>
      </c>
      <c r="G1705" t="s">
        <v>22</v>
      </c>
      <c r="H1705" t="s">
        <v>86</v>
      </c>
      <c r="I1705" t="s">
        <v>24</v>
      </c>
      <c r="J1705" s="9">
        <v>1</v>
      </c>
      <c r="K1705" s="7">
        <v>49600</v>
      </c>
      <c r="L1705" s="7">
        <v>49600</v>
      </c>
      <c r="M1705" s="9"/>
      <c r="N1705" s="7">
        <v>14.7</v>
      </c>
      <c r="O1705" s="7"/>
      <c r="P1705" s="7"/>
      <c r="Q1705" t="s">
        <v>24</v>
      </c>
      <c r="R1705" s="7" t="str">
        <f>TEXT(Table1[[#This Row],[Date]],"mmm yyyy")</f>
        <v>Aug 2026</v>
      </c>
      <c r="S1705" s="9">
        <f>YEAR(Table1[[#This Row],[Date]])</f>
        <v>2026</v>
      </c>
      <c r="T1705" s="9"/>
      <c r="U1705" s="9"/>
    </row>
    <row r="1706" spans="1:21" x14ac:dyDescent="0.3">
      <c r="A1706" t="s">
        <v>2402</v>
      </c>
      <c r="B1706" s="6">
        <v>46214</v>
      </c>
      <c r="C1706" t="s">
        <v>18</v>
      </c>
      <c r="D1706" t="s">
        <v>47</v>
      </c>
      <c r="E1706" t="s">
        <v>28</v>
      </c>
      <c r="F1706" t="s">
        <v>499</v>
      </c>
      <c r="G1706" t="s">
        <v>44</v>
      </c>
      <c r="H1706" t="s">
        <v>54</v>
      </c>
      <c r="I1706" t="s">
        <v>45</v>
      </c>
      <c r="J1706" s="9">
        <v>1</v>
      </c>
      <c r="K1706" s="7">
        <v>57900</v>
      </c>
      <c r="L1706" s="7">
        <v>0</v>
      </c>
      <c r="M1706" s="9"/>
      <c r="N1706" s="7">
        <v>9.5</v>
      </c>
      <c r="O1706" s="7"/>
      <c r="P1706" s="7"/>
      <c r="Q1706" t="s">
        <v>45</v>
      </c>
      <c r="R1706" s="7" t="str">
        <f>TEXT(Table1[[#This Row],[Date]],"mmm yyyy")</f>
        <v>Jul 2026</v>
      </c>
      <c r="S1706" s="9">
        <f>YEAR(Table1[[#This Row],[Date]])</f>
        <v>2026</v>
      </c>
      <c r="T1706" s="9"/>
      <c r="U1706" s="9"/>
    </row>
    <row r="1707" spans="1:21" x14ac:dyDescent="0.3">
      <c r="A1707" t="s">
        <v>2403</v>
      </c>
      <c r="B1707" s="6">
        <v>46212</v>
      </c>
      <c r="C1707" t="s">
        <v>18</v>
      </c>
      <c r="D1707" t="s">
        <v>117</v>
      </c>
      <c r="E1707" t="s">
        <v>48</v>
      </c>
      <c r="F1707" t="s">
        <v>1008</v>
      </c>
      <c r="G1707" t="s">
        <v>44</v>
      </c>
      <c r="H1707" t="s">
        <v>23</v>
      </c>
      <c r="I1707" t="s">
        <v>55</v>
      </c>
      <c r="J1707" s="9">
        <v>1</v>
      </c>
      <c r="K1707" s="7">
        <v>47400</v>
      </c>
      <c r="L1707" s="7">
        <v>0</v>
      </c>
      <c r="M1707" s="9"/>
      <c r="N1707" s="7">
        <v>13.5</v>
      </c>
      <c r="O1707" s="7"/>
      <c r="P1707" s="7"/>
      <c r="Q1707" t="s">
        <v>55</v>
      </c>
      <c r="R1707" s="7" t="str">
        <f>TEXT(Table1[[#This Row],[Date]],"mmm yyyy")</f>
        <v>Jul 2026</v>
      </c>
      <c r="S1707" s="9">
        <f>YEAR(Table1[[#This Row],[Date]])</f>
        <v>2026</v>
      </c>
      <c r="T1707" s="9"/>
      <c r="U1707" s="9"/>
    </row>
    <row r="1708" spans="1:21" hidden="1" x14ac:dyDescent="0.3">
      <c r="A1708" t="s">
        <v>2404</v>
      </c>
      <c r="B1708" s="6">
        <v>46122</v>
      </c>
      <c r="C1708" t="s">
        <v>26</v>
      </c>
      <c r="D1708" t="s">
        <v>69</v>
      </c>
      <c r="E1708" t="s">
        <v>20</v>
      </c>
      <c r="F1708" t="s">
        <v>1074</v>
      </c>
      <c r="G1708" t="s">
        <v>44</v>
      </c>
      <c r="J1708" s="9">
        <v>0</v>
      </c>
      <c r="K1708" s="7">
        <v>0</v>
      </c>
      <c r="L1708" s="7">
        <v>0</v>
      </c>
      <c r="M1708" s="9">
        <v>1</v>
      </c>
      <c r="N1708" s="7">
        <v>5.6</v>
      </c>
      <c r="O1708" s="7">
        <v>10.199999999999999</v>
      </c>
      <c r="P1708" s="7">
        <v>4.0999999999999996</v>
      </c>
      <c r="Q1708" t="s">
        <v>31</v>
      </c>
      <c r="R1708" s="7" t="str">
        <f>TEXT(Table1[[#This Row],[Date]],"mmm yyyy")</f>
        <v>Apr 2026</v>
      </c>
      <c r="S1708" s="9">
        <f>YEAR(Table1[[#This Row],[Date]])</f>
        <v>2026</v>
      </c>
      <c r="T1708" s="9"/>
      <c r="U1708" s="9"/>
    </row>
    <row r="1709" spans="1:21" x14ac:dyDescent="0.3">
      <c r="A1709" t="s">
        <v>2405</v>
      </c>
      <c r="B1709" s="6">
        <v>46231</v>
      </c>
      <c r="C1709" t="s">
        <v>18</v>
      </c>
      <c r="D1709" t="s">
        <v>19</v>
      </c>
      <c r="E1709" t="s">
        <v>20</v>
      </c>
      <c r="F1709" t="s">
        <v>96</v>
      </c>
      <c r="G1709" t="s">
        <v>22</v>
      </c>
      <c r="H1709" t="s">
        <v>78</v>
      </c>
      <c r="I1709" t="s">
        <v>24</v>
      </c>
      <c r="J1709" s="9">
        <v>1</v>
      </c>
      <c r="K1709" s="7">
        <v>9800</v>
      </c>
      <c r="L1709" s="7">
        <v>9800</v>
      </c>
      <c r="M1709" s="9"/>
      <c r="N1709" s="7">
        <v>20.399999999999999</v>
      </c>
      <c r="O1709" s="7"/>
      <c r="P1709" s="7"/>
      <c r="Q1709" t="s">
        <v>24</v>
      </c>
      <c r="R1709" s="7" t="str">
        <f>TEXT(Table1[[#This Row],[Date]],"mmm yyyy")</f>
        <v>Jul 2026</v>
      </c>
      <c r="S1709" s="9">
        <f>YEAR(Table1[[#This Row],[Date]])</f>
        <v>2026</v>
      </c>
      <c r="T1709" s="9"/>
      <c r="U1709" s="9"/>
    </row>
    <row r="1710" spans="1:21" hidden="1" x14ac:dyDescent="0.3">
      <c r="A1710" t="s">
        <v>2406</v>
      </c>
      <c r="B1710" s="6">
        <v>46137</v>
      </c>
      <c r="C1710" t="s">
        <v>26</v>
      </c>
      <c r="D1710" t="s">
        <v>232</v>
      </c>
      <c r="E1710" t="s">
        <v>42</v>
      </c>
      <c r="F1710" t="s">
        <v>224</v>
      </c>
      <c r="G1710" t="s">
        <v>22</v>
      </c>
      <c r="J1710" s="9">
        <v>0</v>
      </c>
      <c r="K1710" s="7">
        <v>0</v>
      </c>
      <c r="L1710" s="7">
        <v>0</v>
      </c>
      <c r="M1710" s="9">
        <v>1</v>
      </c>
      <c r="N1710" s="7">
        <v>8</v>
      </c>
      <c r="O1710" s="7">
        <v>15.3</v>
      </c>
      <c r="P1710" s="7">
        <v>3.2</v>
      </c>
      <c r="Q1710" t="s">
        <v>225</v>
      </c>
      <c r="R1710" s="7" t="str">
        <f>TEXT(Table1[[#This Row],[Date]],"mmm yyyy")</f>
        <v>Apr 2026</v>
      </c>
      <c r="S1710" s="9">
        <f>YEAR(Table1[[#This Row],[Date]])</f>
        <v>2026</v>
      </c>
      <c r="T1710" s="9"/>
      <c r="U1710" s="9"/>
    </row>
    <row r="1711" spans="1:21" hidden="1" x14ac:dyDescent="0.3">
      <c r="A1711" t="s">
        <v>2407</v>
      </c>
      <c r="B1711" s="6">
        <v>46025</v>
      </c>
      <c r="C1711" t="s">
        <v>26</v>
      </c>
      <c r="D1711" t="s">
        <v>114</v>
      </c>
      <c r="E1711" t="s">
        <v>20</v>
      </c>
      <c r="F1711" t="s">
        <v>451</v>
      </c>
      <c r="G1711" t="s">
        <v>30</v>
      </c>
      <c r="J1711" s="9">
        <v>0</v>
      </c>
      <c r="K1711" s="7">
        <v>0</v>
      </c>
      <c r="L1711" s="7">
        <v>0</v>
      </c>
      <c r="M1711" s="9">
        <v>1</v>
      </c>
      <c r="N1711" s="7">
        <v>7.1</v>
      </c>
      <c r="O1711" s="7">
        <v>5.5</v>
      </c>
      <c r="P1711" s="7">
        <v>3.5</v>
      </c>
      <c r="Q1711" t="s">
        <v>39</v>
      </c>
      <c r="R1711" s="7" t="str">
        <f>TEXT(Table1[[#This Row],[Date]],"mmm yyyy")</f>
        <v>Jan 2026</v>
      </c>
      <c r="S1711" s="9">
        <f>YEAR(Table1[[#This Row],[Date]])</f>
        <v>2026</v>
      </c>
      <c r="T1711" s="9"/>
      <c r="U1711" s="9"/>
    </row>
    <row r="1712" spans="1:21" x14ac:dyDescent="0.3">
      <c r="A1712" t="s">
        <v>2408</v>
      </c>
      <c r="B1712" s="6">
        <v>46001</v>
      </c>
      <c r="C1712" t="s">
        <v>18</v>
      </c>
      <c r="D1712" t="s">
        <v>47</v>
      </c>
      <c r="E1712" t="s">
        <v>28</v>
      </c>
      <c r="F1712" t="s">
        <v>344</v>
      </c>
      <c r="G1712" t="s">
        <v>22</v>
      </c>
      <c r="H1712" t="s">
        <v>23</v>
      </c>
      <c r="I1712" t="s">
        <v>89</v>
      </c>
      <c r="J1712" s="9">
        <v>1</v>
      </c>
      <c r="K1712" s="7">
        <v>5000</v>
      </c>
      <c r="L1712" s="7">
        <v>0</v>
      </c>
      <c r="M1712" s="9"/>
      <c r="N1712" s="7">
        <v>17.600000000000001</v>
      </c>
      <c r="O1712" s="7"/>
      <c r="P1712" s="7"/>
      <c r="Q1712" t="s">
        <v>89</v>
      </c>
      <c r="R1712" s="7" t="str">
        <f>TEXT(Table1[[#This Row],[Date]],"mmm yyyy")</f>
        <v>Dec 2025</v>
      </c>
      <c r="S1712" s="9">
        <f>YEAR(Table1[[#This Row],[Date]])</f>
        <v>2025</v>
      </c>
      <c r="T1712" s="9"/>
      <c r="U1712" s="9"/>
    </row>
    <row r="1713" spans="1:21" x14ac:dyDescent="0.3">
      <c r="A1713" t="s">
        <v>2409</v>
      </c>
      <c r="B1713" s="6">
        <v>45950</v>
      </c>
      <c r="C1713" t="s">
        <v>18</v>
      </c>
      <c r="D1713" t="s">
        <v>52</v>
      </c>
      <c r="E1713" t="s">
        <v>20</v>
      </c>
      <c r="F1713" t="s">
        <v>2033</v>
      </c>
      <c r="G1713" t="s">
        <v>50</v>
      </c>
      <c r="H1713" t="s">
        <v>66</v>
      </c>
      <c r="I1713" t="s">
        <v>24</v>
      </c>
      <c r="J1713" s="9">
        <v>1</v>
      </c>
      <c r="K1713" s="7">
        <v>23600</v>
      </c>
      <c r="L1713" s="7">
        <v>23600</v>
      </c>
      <c r="M1713" s="9"/>
      <c r="N1713" s="7">
        <v>21.8</v>
      </c>
      <c r="O1713" s="7"/>
      <c r="P1713" s="7"/>
      <c r="Q1713" t="s">
        <v>24</v>
      </c>
      <c r="R1713" s="7" t="str">
        <f>TEXT(Table1[[#This Row],[Date]],"mmm yyyy")</f>
        <v>Oct 2025</v>
      </c>
      <c r="S1713" s="9">
        <f>YEAR(Table1[[#This Row],[Date]])</f>
        <v>2025</v>
      </c>
      <c r="T1713" s="9"/>
      <c r="U1713" s="9"/>
    </row>
    <row r="1714" spans="1:21" hidden="1" x14ac:dyDescent="0.3">
      <c r="A1714" t="s">
        <v>2410</v>
      </c>
      <c r="B1714" s="6">
        <v>46179</v>
      </c>
      <c r="C1714" t="s">
        <v>26</v>
      </c>
      <c r="D1714" t="s">
        <v>36</v>
      </c>
      <c r="E1714" t="s">
        <v>28</v>
      </c>
      <c r="F1714" t="s">
        <v>1920</v>
      </c>
      <c r="G1714" t="s">
        <v>50</v>
      </c>
      <c r="J1714" s="9">
        <v>0</v>
      </c>
      <c r="K1714" s="7">
        <v>0</v>
      </c>
      <c r="L1714" s="7">
        <v>0</v>
      </c>
      <c r="M1714" s="9">
        <v>1</v>
      </c>
      <c r="N1714" s="7">
        <v>2.2999999999999998</v>
      </c>
      <c r="O1714" s="7">
        <v>11.9</v>
      </c>
      <c r="P1714" s="7">
        <v>5</v>
      </c>
      <c r="Q1714" t="s">
        <v>31</v>
      </c>
      <c r="R1714" s="7" t="str">
        <f>TEXT(Table1[[#This Row],[Date]],"mmm yyyy")</f>
        <v>Jun 2026</v>
      </c>
      <c r="S1714" s="9">
        <f>YEAR(Table1[[#This Row],[Date]])</f>
        <v>2026</v>
      </c>
      <c r="T1714" s="9"/>
      <c r="U1714" s="9"/>
    </row>
    <row r="1715" spans="1:21" x14ac:dyDescent="0.3">
      <c r="A1715" t="s">
        <v>2411</v>
      </c>
      <c r="B1715" s="6">
        <v>45968</v>
      </c>
      <c r="C1715" t="s">
        <v>18</v>
      </c>
      <c r="D1715" t="s">
        <v>47</v>
      </c>
      <c r="E1715" t="s">
        <v>20</v>
      </c>
      <c r="F1715" t="s">
        <v>1048</v>
      </c>
      <c r="G1715" t="s">
        <v>30</v>
      </c>
      <c r="H1715" t="s">
        <v>78</v>
      </c>
      <c r="I1715" t="s">
        <v>55</v>
      </c>
      <c r="J1715" s="9">
        <v>1</v>
      </c>
      <c r="K1715" s="7">
        <v>43500</v>
      </c>
      <c r="L1715" s="7">
        <v>0</v>
      </c>
      <c r="M1715" s="9"/>
      <c r="N1715" s="7">
        <v>18.100000000000001</v>
      </c>
      <c r="O1715" s="7"/>
      <c r="P1715" s="7"/>
      <c r="Q1715" t="s">
        <v>55</v>
      </c>
      <c r="R1715" s="7" t="str">
        <f>TEXT(Table1[[#This Row],[Date]],"mmm yyyy")</f>
        <v>Nov 2025</v>
      </c>
      <c r="S1715" s="9">
        <f>YEAR(Table1[[#This Row],[Date]])</f>
        <v>2025</v>
      </c>
      <c r="T1715" s="9"/>
      <c r="U1715" s="9"/>
    </row>
    <row r="1716" spans="1:21" x14ac:dyDescent="0.3">
      <c r="A1716" t="s">
        <v>2412</v>
      </c>
      <c r="B1716" s="6">
        <v>45962</v>
      </c>
      <c r="C1716" t="s">
        <v>18</v>
      </c>
      <c r="D1716" t="s">
        <v>117</v>
      </c>
      <c r="E1716" t="s">
        <v>42</v>
      </c>
      <c r="F1716" t="s">
        <v>1636</v>
      </c>
      <c r="G1716" t="s">
        <v>30</v>
      </c>
      <c r="H1716" t="s">
        <v>23</v>
      </c>
      <c r="I1716" t="s">
        <v>55</v>
      </c>
      <c r="J1716" s="9">
        <v>1</v>
      </c>
      <c r="K1716" s="7">
        <v>41200</v>
      </c>
      <c r="L1716" s="7">
        <v>0</v>
      </c>
      <c r="M1716" s="9"/>
      <c r="N1716" s="7">
        <v>2.4</v>
      </c>
      <c r="O1716" s="7"/>
      <c r="P1716" s="7"/>
      <c r="Q1716" t="s">
        <v>55</v>
      </c>
      <c r="R1716" s="7" t="str">
        <f>TEXT(Table1[[#This Row],[Date]],"mmm yyyy")</f>
        <v>Nov 2025</v>
      </c>
      <c r="S1716" s="9">
        <f>YEAR(Table1[[#This Row],[Date]])</f>
        <v>2025</v>
      </c>
      <c r="T1716" s="9"/>
      <c r="U1716" s="9"/>
    </row>
    <row r="1717" spans="1:21" hidden="1" x14ac:dyDescent="0.3">
      <c r="A1717" t="s">
        <v>2413</v>
      </c>
      <c r="B1717" s="6">
        <v>46178</v>
      </c>
      <c r="C1717" t="s">
        <v>26</v>
      </c>
      <c r="D1717" t="s">
        <v>114</v>
      </c>
      <c r="E1717" t="s">
        <v>48</v>
      </c>
      <c r="F1717" t="s">
        <v>2414</v>
      </c>
      <c r="G1717" t="s">
        <v>30</v>
      </c>
      <c r="J1717" s="9">
        <v>0</v>
      </c>
      <c r="K1717" s="7">
        <v>0</v>
      </c>
      <c r="L1717" s="7">
        <v>0</v>
      </c>
      <c r="M1717" s="9">
        <v>1</v>
      </c>
      <c r="N1717" s="7">
        <v>3.8</v>
      </c>
      <c r="O1717" s="7">
        <v>12.3</v>
      </c>
      <c r="P1717" s="7">
        <v>4</v>
      </c>
      <c r="Q1717" t="s">
        <v>39</v>
      </c>
      <c r="R1717" s="7" t="str">
        <f>TEXT(Table1[[#This Row],[Date]],"mmm yyyy")</f>
        <v>Jun 2026</v>
      </c>
      <c r="S1717" s="9">
        <f>YEAR(Table1[[#This Row],[Date]])</f>
        <v>2026</v>
      </c>
      <c r="T1717" s="9"/>
      <c r="U1717" s="9"/>
    </row>
    <row r="1718" spans="1:21" x14ac:dyDescent="0.3">
      <c r="A1718" t="s">
        <v>2415</v>
      </c>
      <c r="B1718" s="6">
        <v>46155</v>
      </c>
      <c r="C1718" t="s">
        <v>18</v>
      </c>
      <c r="D1718" t="s">
        <v>41</v>
      </c>
      <c r="E1718" t="s">
        <v>28</v>
      </c>
      <c r="F1718" t="s">
        <v>740</v>
      </c>
      <c r="G1718" t="s">
        <v>30</v>
      </c>
      <c r="H1718" t="s">
        <v>23</v>
      </c>
      <c r="I1718" t="s">
        <v>24</v>
      </c>
      <c r="J1718" s="9">
        <v>1</v>
      </c>
      <c r="K1718" s="7">
        <v>19700</v>
      </c>
      <c r="L1718" s="7">
        <v>19700</v>
      </c>
      <c r="M1718" s="9"/>
      <c r="N1718" s="7">
        <v>21</v>
      </c>
      <c r="O1718" s="7"/>
      <c r="P1718" s="7"/>
      <c r="Q1718" t="s">
        <v>24</v>
      </c>
      <c r="R1718" s="7" t="str">
        <f>TEXT(Table1[[#This Row],[Date]],"mmm yyyy")</f>
        <v>May 2026</v>
      </c>
      <c r="S1718" s="9">
        <f>YEAR(Table1[[#This Row],[Date]])</f>
        <v>2026</v>
      </c>
      <c r="T1718" s="9"/>
      <c r="U1718" s="9"/>
    </row>
    <row r="1719" spans="1:21" hidden="1" x14ac:dyDescent="0.3">
      <c r="A1719" t="s">
        <v>2416</v>
      </c>
      <c r="B1719" s="6">
        <v>45980</v>
      </c>
      <c r="C1719" t="s">
        <v>26</v>
      </c>
      <c r="D1719" t="s">
        <v>114</v>
      </c>
      <c r="E1719" t="s">
        <v>20</v>
      </c>
      <c r="F1719" t="s">
        <v>2417</v>
      </c>
      <c r="G1719" t="s">
        <v>30</v>
      </c>
      <c r="J1719" s="9">
        <v>0</v>
      </c>
      <c r="K1719" s="7">
        <v>0</v>
      </c>
      <c r="L1719" s="7">
        <v>0</v>
      </c>
      <c r="M1719" s="9">
        <v>1</v>
      </c>
      <c r="N1719" s="7">
        <v>9.1</v>
      </c>
      <c r="O1719" s="7">
        <v>2.6</v>
      </c>
      <c r="P1719" s="7">
        <v>4.5</v>
      </c>
      <c r="Q1719" t="s">
        <v>39</v>
      </c>
      <c r="R1719" s="7" t="str">
        <f>TEXT(Table1[[#This Row],[Date]],"mmm yyyy")</f>
        <v>Nov 2025</v>
      </c>
      <c r="S1719" s="9">
        <f>YEAR(Table1[[#This Row],[Date]])</f>
        <v>2025</v>
      </c>
      <c r="T1719" s="9"/>
      <c r="U1719" s="9"/>
    </row>
    <row r="1720" spans="1:21" hidden="1" x14ac:dyDescent="0.3">
      <c r="A1720" t="s">
        <v>2418</v>
      </c>
      <c r="B1720" s="6">
        <v>45995</v>
      </c>
      <c r="C1720" t="s">
        <v>26</v>
      </c>
      <c r="D1720" t="s">
        <v>36</v>
      </c>
      <c r="E1720" t="s">
        <v>20</v>
      </c>
      <c r="F1720" t="s">
        <v>208</v>
      </c>
      <c r="G1720" t="s">
        <v>22</v>
      </c>
      <c r="J1720" s="9">
        <v>0</v>
      </c>
      <c r="K1720" s="7">
        <v>0</v>
      </c>
      <c r="L1720" s="7">
        <v>0</v>
      </c>
      <c r="M1720" s="9">
        <v>1</v>
      </c>
      <c r="N1720" s="7">
        <v>5.2</v>
      </c>
      <c r="O1720" s="7">
        <v>6.8</v>
      </c>
      <c r="P1720" s="7">
        <v>2.8</v>
      </c>
      <c r="Q1720" t="s">
        <v>39</v>
      </c>
      <c r="R1720" s="7" t="str">
        <f>TEXT(Table1[[#This Row],[Date]],"mmm yyyy")</f>
        <v>Dec 2025</v>
      </c>
      <c r="S1720" s="9">
        <f>YEAR(Table1[[#This Row],[Date]])</f>
        <v>2025</v>
      </c>
      <c r="T1720" s="9"/>
      <c r="U1720" s="9"/>
    </row>
    <row r="1721" spans="1:21" x14ac:dyDescent="0.3">
      <c r="A1721" t="s">
        <v>2419</v>
      </c>
      <c r="B1721" s="6">
        <v>46084</v>
      </c>
      <c r="C1721" t="s">
        <v>18</v>
      </c>
      <c r="D1721" t="s">
        <v>64</v>
      </c>
      <c r="E1721" t="s">
        <v>28</v>
      </c>
      <c r="F1721" t="s">
        <v>857</v>
      </c>
      <c r="G1721" t="s">
        <v>22</v>
      </c>
      <c r="H1721" t="s">
        <v>54</v>
      </c>
      <c r="I1721" t="s">
        <v>55</v>
      </c>
      <c r="J1721" s="9">
        <v>1</v>
      </c>
      <c r="K1721" s="7">
        <v>10100</v>
      </c>
      <c r="L1721" s="7">
        <v>0</v>
      </c>
      <c r="M1721" s="9"/>
      <c r="N1721" s="7">
        <v>6.4</v>
      </c>
      <c r="O1721" s="7"/>
      <c r="P1721" s="7"/>
      <c r="Q1721" t="s">
        <v>55</v>
      </c>
      <c r="R1721" s="7" t="str">
        <f>TEXT(Table1[[#This Row],[Date]],"mmm yyyy")</f>
        <v>Mar 2026</v>
      </c>
      <c r="S1721" s="9">
        <f>YEAR(Table1[[#This Row],[Date]])</f>
        <v>2026</v>
      </c>
      <c r="T1721" s="9"/>
      <c r="U1721" s="9"/>
    </row>
    <row r="1722" spans="1:21" x14ac:dyDescent="0.3">
      <c r="A1722" t="s">
        <v>2420</v>
      </c>
      <c r="B1722" s="6">
        <v>45931</v>
      </c>
      <c r="C1722" t="s">
        <v>18</v>
      </c>
      <c r="D1722" t="s">
        <v>117</v>
      </c>
      <c r="E1722" t="s">
        <v>28</v>
      </c>
      <c r="F1722" t="s">
        <v>1639</v>
      </c>
      <c r="G1722" t="s">
        <v>30</v>
      </c>
      <c r="H1722" t="s">
        <v>78</v>
      </c>
      <c r="I1722" t="s">
        <v>45</v>
      </c>
      <c r="J1722" s="9">
        <v>1</v>
      </c>
      <c r="K1722" s="7">
        <v>23800</v>
      </c>
      <c r="L1722" s="7">
        <v>0</v>
      </c>
      <c r="M1722" s="9"/>
      <c r="N1722" s="7">
        <v>19.2</v>
      </c>
      <c r="O1722" s="7"/>
      <c r="P1722" s="7"/>
      <c r="Q1722" t="s">
        <v>45</v>
      </c>
      <c r="R1722" s="7" t="str">
        <f>TEXT(Table1[[#This Row],[Date]],"mmm yyyy")</f>
        <v>Oct 2025</v>
      </c>
      <c r="S1722" s="9">
        <f>YEAR(Table1[[#This Row],[Date]])</f>
        <v>2025</v>
      </c>
      <c r="T1722" s="9"/>
      <c r="U1722" s="9"/>
    </row>
    <row r="1723" spans="1:21" x14ac:dyDescent="0.3">
      <c r="A1723" t="s">
        <v>2421</v>
      </c>
      <c r="B1723" s="6">
        <v>46144</v>
      </c>
      <c r="C1723" t="s">
        <v>18</v>
      </c>
      <c r="D1723" t="s">
        <v>105</v>
      </c>
      <c r="E1723" t="s">
        <v>20</v>
      </c>
      <c r="F1723" t="s">
        <v>1573</v>
      </c>
      <c r="G1723" t="s">
        <v>22</v>
      </c>
      <c r="H1723" t="s">
        <v>86</v>
      </c>
      <c r="I1723" t="s">
        <v>89</v>
      </c>
      <c r="J1723" s="9">
        <v>1</v>
      </c>
      <c r="K1723" s="7">
        <v>34000</v>
      </c>
      <c r="L1723" s="7">
        <v>0</v>
      </c>
      <c r="M1723" s="9"/>
      <c r="N1723" s="7">
        <v>12.2</v>
      </c>
      <c r="O1723" s="7"/>
      <c r="P1723" s="7"/>
      <c r="Q1723" t="s">
        <v>89</v>
      </c>
      <c r="R1723" s="7" t="str">
        <f>TEXT(Table1[[#This Row],[Date]],"mmm yyyy")</f>
        <v>May 2026</v>
      </c>
      <c r="S1723" s="9">
        <f>YEAR(Table1[[#This Row],[Date]])</f>
        <v>2026</v>
      </c>
      <c r="T1723" s="9"/>
      <c r="U1723" s="9"/>
    </row>
    <row r="1724" spans="1:21" x14ac:dyDescent="0.3">
      <c r="A1724" t="s">
        <v>2422</v>
      </c>
      <c r="B1724" s="6">
        <v>45938</v>
      </c>
      <c r="C1724" t="s">
        <v>18</v>
      </c>
      <c r="D1724" t="s">
        <v>117</v>
      </c>
      <c r="E1724" t="s">
        <v>20</v>
      </c>
      <c r="F1724" t="s">
        <v>1300</v>
      </c>
      <c r="G1724" t="s">
        <v>30</v>
      </c>
      <c r="H1724" t="s">
        <v>23</v>
      </c>
      <c r="I1724" t="s">
        <v>45</v>
      </c>
      <c r="J1724" s="9">
        <v>1</v>
      </c>
      <c r="K1724" s="7">
        <v>113800</v>
      </c>
      <c r="L1724" s="7">
        <v>0</v>
      </c>
      <c r="M1724" s="9"/>
      <c r="N1724" s="7">
        <v>23</v>
      </c>
      <c r="O1724" s="7"/>
      <c r="P1724" s="7"/>
      <c r="Q1724" t="s">
        <v>45</v>
      </c>
      <c r="R1724" s="7" t="str">
        <f>TEXT(Table1[[#This Row],[Date]],"mmm yyyy")</f>
        <v>Oct 2025</v>
      </c>
      <c r="S1724" s="9">
        <f>YEAR(Table1[[#This Row],[Date]])</f>
        <v>2025</v>
      </c>
      <c r="T1724" s="9"/>
      <c r="U1724" s="9"/>
    </row>
    <row r="1725" spans="1:21" x14ac:dyDescent="0.3">
      <c r="A1725" t="s">
        <v>2423</v>
      </c>
      <c r="B1725" s="6">
        <v>45936</v>
      </c>
      <c r="C1725" t="s">
        <v>18</v>
      </c>
      <c r="D1725" t="s">
        <v>105</v>
      </c>
      <c r="E1725" t="s">
        <v>37</v>
      </c>
      <c r="F1725" t="s">
        <v>407</v>
      </c>
      <c r="G1725" t="s">
        <v>30</v>
      </c>
      <c r="H1725" t="s">
        <v>66</v>
      </c>
      <c r="I1725" t="s">
        <v>45</v>
      </c>
      <c r="J1725" s="9">
        <v>1</v>
      </c>
      <c r="K1725" s="7">
        <v>23500</v>
      </c>
      <c r="L1725" s="7">
        <v>0</v>
      </c>
      <c r="M1725" s="9"/>
      <c r="N1725" s="7">
        <v>2.2999999999999998</v>
      </c>
      <c r="O1725" s="7"/>
      <c r="P1725" s="7"/>
      <c r="Q1725" t="s">
        <v>45</v>
      </c>
      <c r="R1725" s="7" t="str">
        <f>TEXT(Table1[[#This Row],[Date]],"mmm yyyy")</f>
        <v>Oct 2025</v>
      </c>
      <c r="S1725" s="9">
        <f>YEAR(Table1[[#This Row],[Date]])</f>
        <v>2025</v>
      </c>
      <c r="T1725" s="9"/>
      <c r="U1725" s="9"/>
    </row>
    <row r="1726" spans="1:21" hidden="1" x14ac:dyDescent="0.3">
      <c r="A1726" t="s">
        <v>2424</v>
      </c>
      <c r="B1726" s="6">
        <v>46000</v>
      </c>
      <c r="C1726" t="s">
        <v>26</v>
      </c>
      <c r="D1726" t="s">
        <v>114</v>
      </c>
      <c r="E1726" t="s">
        <v>37</v>
      </c>
      <c r="F1726" t="s">
        <v>180</v>
      </c>
      <c r="G1726" t="s">
        <v>30</v>
      </c>
      <c r="J1726" s="9">
        <v>0</v>
      </c>
      <c r="K1726" s="7">
        <v>0</v>
      </c>
      <c r="L1726" s="7">
        <v>0</v>
      </c>
      <c r="M1726" s="9">
        <v>1</v>
      </c>
      <c r="N1726" s="7">
        <v>3.6</v>
      </c>
      <c r="O1726" s="7">
        <v>11.1</v>
      </c>
      <c r="P1726" s="7">
        <v>4.8</v>
      </c>
      <c r="Q1726" t="s">
        <v>39</v>
      </c>
      <c r="R1726" s="7" t="str">
        <f>TEXT(Table1[[#This Row],[Date]],"mmm yyyy")</f>
        <v>Dec 2025</v>
      </c>
      <c r="S1726" s="9">
        <f>YEAR(Table1[[#This Row],[Date]])</f>
        <v>2025</v>
      </c>
      <c r="T1726" s="9"/>
      <c r="U1726" s="9"/>
    </row>
    <row r="1727" spans="1:21" x14ac:dyDescent="0.3">
      <c r="A1727" t="s">
        <v>2425</v>
      </c>
      <c r="B1727" s="6">
        <v>45924</v>
      </c>
      <c r="C1727" t="s">
        <v>18</v>
      </c>
      <c r="D1727" t="s">
        <v>19</v>
      </c>
      <c r="E1727" t="s">
        <v>48</v>
      </c>
      <c r="F1727" t="s">
        <v>1977</v>
      </c>
      <c r="G1727" t="s">
        <v>44</v>
      </c>
      <c r="H1727" t="s">
        <v>86</v>
      </c>
      <c r="I1727" t="s">
        <v>45</v>
      </c>
      <c r="J1727" s="9">
        <v>1</v>
      </c>
      <c r="K1727" s="7">
        <v>7400</v>
      </c>
      <c r="L1727" s="7">
        <v>0</v>
      </c>
      <c r="M1727" s="9"/>
      <c r="N1727" s="7">
        <v>4.2</v>
      </c>
      <c r="O1727" s="7"/>
      <c r="P1727" s="7"/>
      <c r="Q1727" t="s">
        <v>45</v>
      </c>
      <c r="R1727" s="7" t="str">
        <f>TEXT(Table1[[#This Row],[Date]],"mmm yyyy")</f>
        <v>Sep 2025</v>
      </c>
      <c r="S1727" s="9">
        <f>YEAR(Table1[[#This Row],[Date]])</f>
        <v>2025</v>
      </c>
      <c r="T1727" s="9"/>
      <c r="U1727" s="9"/>
    </row>
    <row r="1728" spans="1:21" x14ac:dyDescent="0.3">
      <c r="A1728" t="s">
        <v>2426</v>
      </c>
      <c r="B1728" s="6">
        <v>45989</v>
      </c>
      <c r="C1728" t="s">
        <v>18</v>
      </c>
      <c r="D1728" t="s">
        <v>117</v>
      </c>
      <c r="E1728" t="s">
        <v>20</v>
      </c>
      <c r="F1728" t="s">
        <v>1713</v>
      </c>
      <c r="G1728" t="s">
        <v>30</v>
      </c>
      <c r="H1728" t="s">
        <v>23</v>
      </c>
      <c r="I1728" t="s">
        <v>89</v>
      </c>
      <c r="J1728" s="9">
        <v>1</v>
      </c>
      <c r="K1728" s="7">
        <v>13800</v>
      </c>
      <c r="L1728" s="7">
        <v>0</v>
      </c>
      <c r="M1728" s="9"/>
      <c r="N1728" s="7">
        <v>8.6</v>
      </c>
      <c r="O1728" s="7"/>
      <c r="P1728" s="7"/>
      <c r="Q1728" t="s">
        <v>89</v>
      </c>
      <c r="R1728" s="7" t="str">
        <f>TEXT(Table1[[#This Row],[Date]],"mmm yyyy")</f>
        <v>Nov 2025</v>
      </c>
      <c r="S1728" s="9">
        <f>YEAR(Table1[[#This Row],[Date]])</f>
        <v>2025</v>
      </c>
      <c r="T1728" s="9"/>
      <c r="U1728" s="9"/>
    </row>
    <row r="1729" spans="1:21" hidden="1" x14ac:dyDescent="0.3">
      <c r="A1729" t="s">
        <v>2427</v>
      </c>
      <c r="B1729" s="6">
        <v>45975</v>
      </c>
      <c r="C1729" t="s">
        <v>26</v>
      </c>
      <c r="D1729" t="s">
        <v>72</v>
      </c>
      <c r="E1729" t="s">
        <v>28</v>
      </c>
      <c r="F1729" t="s">
        <v>607</v>
      </c>
      <c r="G1729" t="s">
        <v>22</v>
      </c>
      <c r="J1729" s="9">
        <v>0</v>
      </c>
      <c r="K1729" s="7">
        <v>0</v>
      </c>
      <c r="L1729" s="7">
        <v>0</v>
      </c>
      <c r="M1729" s="9">
        <v>1</v>
      </c>
      <c r="N1729" s="7">
        <v>9.4</v>
      </c>
      <c r="O1729" s="7">
        <v>12.4</v>
      </c>
      <c r="P1729" s="7">
        <v>5</v>
      </c>
      <c r="Q1729" t="s">
        <v>39</v>
      </c>
      <c r="R1729" s="7" t="str">
        <f>TEXT(Table1[[#This Row],[Date]],"mmm yyyy")</f>
        <v>Nov 2025</v>
      </c>
      <c r="S1729" s="9">
        <f>YEAR(Table1[[#This Row],[Date]])</f>
        <v>2025</v>
      </c>
      <c r="T1729" s="9"/>
      <c r="U1729" s="9"/>
    </row>
    <row r="1730" spans="1:21" hidden="1" x14ac:dyDescent="0.3">
      <c r="A1730" t="s">
        <v>2428</v>
      </c>
      <c r="B1730" s="6">
        <v>46223</v>
      </c>
      <c r="C1730" t="s">
        <v>26</v>
      </c>
      <c r="D1730" t="s">
        <v>69</v>
      </c>
      <c r="E1730" t="s">
        <v>20</v>
      </c>
      <c r="F1730" t="s">
        <v>2429</v>
      </c>
      <c r="G1730" t="s">
        <v>30</v>
      </c>
      <c r="J1730" s="9">
        <v>0</v>
      </c>
      <c r="K1730" s="7">
        <v>0</v>
      </c>
      <c r="L1730" s="7">
        <v>0</v>
      </c>
      <c r="M1730" s="9">
        <v>1</v>
      </c>
      <c r="N1730" s="7">
        <v>4.5999999999999996</v>
      </c>
      <c r="O1730" s="7">
        <v>5.6</v>
      </c>
      <c r="P1730" s="7">
        <v>4.8</v>
      </c>
      <c r="Q1730" t="s">
        <v>31</v>
      </c>
      <c r="R1730" s="7" t="str">
        <f>TEXT(Table1[[#This Row],[Date]],"mmm yyyy")</f>
        <v>Jul 2026</v>
      </c>
      <c r="S1730" s="9">
        <f>YEAR(Table1[[#This Row],[Date]])</f>
        <v>2026</v>
      </c>
      <c r="T1730" s="9"/>
      <c r="U1730" s="9"/>
    </row>
    <row r="1731" spans="1:21" hidden="1" x14ac:dyDescent="0.3">
      <c r="A1731" t="s">
        <v>2430</v>
      </c>
      <c r="B1731" s="6">
        <v>46100</v>
      </c>
      <c r="C1731" t="s">
        <v>26</v>
      </c>
      <c r="D1731" t="s">
        <v>72</v>
      </c>
      <c r="E1731" t="s">
        <v>20</v>
      </c>
      <c r="F1731" t="s">
        <v>862</v>
      </c>
      <c r="G1731" t="s">
        <v>44</v>
      </c>
      <c r="J1731" s="9">
        <v>0</v>
      </c>
      <c r="K1731" s="7">
        <v>0</v>
      </c>
      <c r="L1731" s="7">
        <v>0</v>
      </c>
      <c r="M1731" s="9">
        <v>1</v>
      </c>
      <c r="N1731" s="7">
        <v>4.9000000000000004</v>
      </c>
      <c r="O1731" s="7">
        <v>6.7</v>
      </c>
      <c r="P1731" s="7">
        <v>4.2</v>
      </c>
      <c r="Q1731" t="s">
        <v>39</v>
      </c>
      <c r="R1731" s="7" t="str">
        <f>TEXT(Table1[[#This Row],[Date]],"mmm yyyy")</f>
        <v>Mar 2026</v>
      </c>
      <c r="S1731" s="9">
        <f>YEAR(Table1[[#This Row],[Date]])</f>
        <v>2026</v>
      </c>
      <c r="T1731" s="9"/>
      <c r="U1731" s="9"/>
    </row>
    <row r="1732" spans="1:21" x14ac:dyDescent="0.3">
      <c r="A1732" t="s">
        <v>2431</v>
      </c>
      <c r="B1732" s="6">
        <v>46143</v>
      </c>
      <c r="C1732" t="s">
        <v>18</v>
      </c>
      <c r="D1732" t="s">
        <v>41</v>
      </c>
      <c r="E1732" t="s">
        <v>20</v>
      </c>
      <c r="F1732" t="s">
        <v>148</v>
      </c>
      <c r="G1732" t="s">
        <v>30</v>
      </c>
      <c r="H1732" t="s">
        <v>78</v>
      </c>
      <c r="I1732" t="s">
        <v>67</v>
      </c>
      <c r="J1732" s="9">
        <v>1</v>
      </c>
      <c r="K1732" s="7">
        <v>55700</v>
      </c>
      <c r="L1732" s="7">
        <v>0</v>
      </c>
      <c r="M1732" s="9"/>
      <c r="N1732" s="7">
        <v>1.4</v>
      </c>
      <c r="O1732" s="7"/>
      <c r="P1732" s="7"/>
      <c r="Q1732" t="s">
        <v>67</v>
      </c>
      <c r="R1732" s="7" t="str">
        <f>TEXT(Table1[[#This Row],[Date]],"mmm yyyy")</f>
        <v>May 2026</v>
      </c>
      <c r="S1732" s="9">
        <f>YEAR(Table1[[#This Row],[Date]])</f>
        <v>2026</v>
      </c>
      <c r="T1732" s="9"/>
      <c r="U1732" s="9"/>
    </row>
    <row r="1733" spans="1:21" hidden="1" x14ac:dyDescent="0.3">
      <c r="A1733" t="s">
        <v>2432</v>
      </c>
      <c r="B1733" s="6">
        <v>46249</v>
      </c>
      <c r="C1733" t="s">
        <v>26</v>
      </c>
      <c r="D1733" t="s">
        <v>33</v>
      </c>
      <c r="E1733" t="s">
        <v>20</v>
      </c>
      <c r="F1733" t="s">
        <v>1003</v>
      </c>
      <c r="G1733" t="s">
        <v>44</v>
      </c>
      <c r="J1733" s="9">
        <v>0</v>
      </c>
      <c r="K1733" s="7">
        <v>0</v>
      </c>
      <c r="L1733" s="7">
        <v>0</v>
      </c>
      <c r="M1733" s="9">
        <v>1</v>
      </c>
      <c r="N1733" s="7">
        <v>1.9</v>
      </c>
      <c r="O1733" s="7">
        <v>2.8</v>
      </c>
      <c r="P1733" s="7">
        <v>3.7</v>
      </c>
      <c r="Q1733" t="s">
        <v>39</v>
      </c>
      <c r="R1733" s="7" t="str">
        <f>TEXT(Table1[[#This Row],[Date]],"mmm yyyy")</f>
        <v>Aug 2026</v>
      </c>
      <c r="S1733" s="9">
        <f>YEAR(Table1[[#This Row],[Date]])</f>
        <v>2026</v>
      </c>
      <c r="T1733" s="9"/>
      <c r="U1733" s="9"/>
    </row>
    <row r="1734" spans="1:21" x14ac:dyDescent="0.3">
      <c r="A1734" t="s">
        <v>2433</v>
      </c>
      <c r="B1734" s="6">
        <v>46228</v>
      </c>
      <c r="C1734" t="s">
        <v>18</v>
      </c>
      <c r="D1734" t="s">
        <v>41</v>
      </c>
      <c r="E1734" t="s">
        <v>20</v>
      </c>
      <c r="F1734" t="s">
        <v>1940</v>
      </c>
      <c r="G1734" t="s">
        <v>30</v>
      </c>
      <c r="H1734" t="s">
        <v>23</v>
      </c>
      <c r="I1734" t="s">
        <v>45</v>
      </c>
      <c r="J1734" s="9">
        <v>1</v>
      </c>
      <c r="K1734" s="7">
        <v>22400</v>
      </c>
      <c r="L1734" s="7">
        <v>0</v>
      </c>
      <c r="M1734" s="9"/>
      <c r="N1734" s="7">
        <v>3.4</v>
      </c>
      <c r="O1734" s="7"/>
      <c r="P1734" s="7"/>
      <c r="Q1734" t="s">
        <v>45</v>
      </c>
      <c r="R1734" s="7" t="str">
        <f>TEXT(Table1[[#This Row],[Date]],"mmm yyyy")</f>
        <v>Jul 2026</v>
      </c>
      <c r="S1734" s="9">
        <f>YEAR(Table1[[#This Row],[Date]])</f>
        <v>2026</v>
      </c>
      <c r="T1734" s="9"/>
      <c r="U1734" s="9"/>
    </row>
    <row r="1735" spans="1:21" x14ac:dyDescent="0.3">
      <c r="A1735" t="s">
        <v>2434</v>
      </c>
      <c r="B1735" s="6">
        <v>46170</v>
      </c>
      <c r="C1735" t="s">
        <v>18</v>
      </c>
      <c r="D1735" t="s">
        <v>52</v>
      </c>
      <c r="E1735" t="s">
        <v>48</v>
      </c>
      <c r="F1735" t="s">
        <v>1048</v>
      </c>
      <c r="G1735" t="s">
        <v>44</v>
      </c>
      <c r="H1735" t="s">
        <v>78</v>
      </c>
      <c r="I1735" t="s">
        <v>45</v>
      </c>
      <c r="J1735" s="9">
        <v>1</v>
      </c>
      <c r="K1735" s="7">
        <v>39900</v>
      </c>
      <c r="L1735" s="7">
        <v>0</v>
      </c>
      <c r="M1735" s="9"/>
      <c r="N1735" s="7">
        <v>14</v>
      </c>
      <c r="O1735" s="7"/>
      <c r="P1735" s="7"/>
      <c r="Q1735" t="s">
        <v>45</v>
      </c>
      <c r="R1735" s="7" t="str">
        <f>TEXT(Table1[[#This Row],[Date]],"mmm yyyy")</f>
        <v>May 2026</v>
      </c>
      <c r="S1735" s="9">
        <f>YEAR(Table1[[#This Row],[Date]])</f>
        <v>2026</v>
      </c>
      <c r="T1735" s="9"/>
      <c r="U1735" s="9"/>
    </row>
    <row r="1736" spans="1:21" x14ac:dyDescent="0.3">
      <c r="A1736" t="s">
        <v>2435</v>
      </c>
      <c r="B1736" s="6">
        <v>46067</v>
      </c>
      <c r="C1736" t="s">
        <v>18</v>
      </c>
      <c r="D1736" t="s">
        <v>47</v>
      </c>
      <c r="E1736" t="s">
        <v>48</v>
      </c>
      <c r="F1736" t="s">
        <v>1085</v>
      </c>
      <c r="G1736" t="s">
        <v>30</v>
      </c>
      <c r="H1736" t="s">
        <v>23</v>
      </c>
      <c r="I1736" t="s">
        <v>45</v>
      </c>
      <c r="J1736" s="9">
        <v>1</v>
      </c>
      <c r="K1736" s="7">
        <v>23500</v>
      </c>
      <c r="L1736" s="7">
        <v>0</v>
      </c>
      <c r="M1736" s="9"/>
      <c r="N1736" s="7">
        <v>15.1</v>
      </c>
      <c r="O1736" s="7"/>
      <c r="P1736" s="7"/>
      <c r="Q1736" t="s">
        <v>45</v>
      </c>
      <c r="R1736" s="7" t="str">
        <f>TEXT(Table1[[#This Row],[Date]],"mmm yyyy")</f>
        <v>Feb 2026</v>
      </c>
      <c r="S1736" s="9">
        <f>YEAR(Table1[[#This Row],[Date]])</f>
        <v>2026</v>
      </c>
      <c r="T1736" s="9"/>
      <c r="U1736" s="9"/>
    </row>
    <row r="1737" spans="1:21" hidden="1" x14ac:dyDescent="0.3">
      <c r="A1737" t="s">
        <v>2436</v>
      </c>
      <c r="B1737" s="6">
        <v>46098</v>
      </c>
      <c r="C1737" t="s">
        <v>26</v>
      </c>
      <c r="D1737" t="s">
        <v>232</v>
      </c>
      <c r="E1737" t="s">
        <v>42</v>
      </c>
      <c r="F1737" t="s">
        <v>252</v>
      </c>
      <c r="G1737" t="s">
        <v>22</v>
      </c>
      <c r="J1737" s="9">
        <v>0</v>
      </c>
      <c r="K1737" s="7">
        <v>0</v>
      </c>
      <c r="L1737" s="7">
        <v>0</v>
      </c>
      <c r="M1737" s="9">
        <v>1</v>
      </c>
      <c r="N1737" s="7">
        <v>0.5</v>
      </c>
      <c r="O1737" s="7">
        <v>4.0999999999999996</v>
      </c>
      <c r="P1737" s="7">
        <v>3.2</v>
      </c>
      <c r="Q1737" t="s">
        <v>39</v>
      </c>
      <c r="R1737" s="7" t="str">
        <f>TEXT(Table1[[#This Row],[Date]],"mmm yyyy")</f>
        <v>Mar 2026</v>
      </c>
      <c r="S1737" s="9">
        <f>YEAR(Table1[[#This Row],[Date]])</f>
        <v>2026</v>
      </c>
      <c r="T1737" s="9"/>
      <c r="U1737" s="9"/>
    </row>
    <row r="1738" spans="1:21" x14ac:dyDescent="0.3">
      <c r="A1738" t="s">
        <v>2437</v>
      </c>
      <c r="B1738" s="6">
        <v>45959</v>
      </c>
      <c r="C1738" t="s">
        <v>18</v>
      </c>
      <c r="D1738" t="s">
        <v>47</v>
      </c>
      <c r="E1738" t="s">
        <v>37</v>
      </c>
      <c r="F1738" t="s">
        <v>959</v>
      </c>
      <c r="G1738" t="s">
        <v>22</v>
      </c>
      <c r="H1738" t="s">
        <v>54</v>
      </c>
      <c r="I1738" t="s">
        <v>79</v>
      </c>
      <c r="J1738" s="9">
        <v>1</v>
      </c>
      <c r="K1738" s="7">
        <v>37300</v>
      </c>
      <c r="L1738" s="7">
        <v>0</v>
      </c>
      <c r="M1738" s="9"/>
      <c r="N1738" s="7">
        <v>7.9</v>
      </c>
      <c r="O1738" s="7"/>
      <c r="P1738" s="7"/>
      <c r="Q1738" t="s">
        <v>79</v>
      </c>
      <c r="R1738" s="7" t="str">
        <f>TEXT(Table1[[#This Row],[Date]],"mmm yyyy")</f>
        <v>Oct 2025</v>
      </c>
      <c r="S1738" s="9">
        <f>YEAR(Table1[[#This Row],[Date]])</f>
        <v>2025</v>
      </c>
      <c r="T1738" s="9"/>
      <c r="U1738" s="9"/>
    </row>
    <row r="1739" spans="1:21" x14ac:dyDescent="0.3">
      <c r="A1739" t="s">
        <v>2438</v>
      </c>
      <c r="B1739" s="6">
        <v>46146</v>
      </c>
      <c r="C1739" t="s">
        <v>18</v>
      </c>
      <c r="D1739" t="s">
        <v>52</v>
      </c>
      <c r="E1739" t="s">
        <v>28</v>
      </c>
      <c r="F1739" t="s">
        <v>903</v>
      </c>
      <c r="G1739" t="s">
        <v>50</v>
      </c>
      <c r="H1739" t="s">
        <v>23</v>
      </c>
      <c r="I1739" t="s">
        <v>45</v>
      </c>
      <c r="J1739" s="9">
        <v>1</v>
      </c>
      <c r="K1739" s="7">
        <v>60100</v>
      </c>
      <c r="L1739" s="7">
        <v>0</v>
      </c>
      <c r="M1739" s="9"/>
      <c r="N1739" s="7">
        <v>9.6999999999999993</v>
      </c>
      <c r="O1739" s="7"/>
      <c r="P1739" s="7"/>
      <c r="Q1739" t="s">
        <v>45</v>
      </c>
      <c r="R1739" s="7" t="str">
        <f>TEXT(Table1[[#This Row],[Date]],"mmm yyyy")</f>
        <v>May 2026</v>
      </c>
      <c r="S1739" s="9">
        <f>YEAR(Table1[[#This Row],[Date]])</f>
        <v>2026</v>
      </c>
      <c r="T1739" s="9"/>
      <c r="U1739" s="9"/>
    </row>
    <row r="1740" spans="1:21" x14ac:dyDescent="0.3">
      <c r="A1740" t="s">
        <v>2439</v>
      </c>
      <c r="B1740" s="6">
        <v>46242</v>
      </c>
      <c r="C1740" t="s">
        <v>18</v>
      </c>
      <c r="D1740" t="s">
        <v>41</v>
      </c>
      <c r="E1740" t="s">
        <v>20</v>
      </c>
      <c r="F1740" t="s">
        <v>2296</v>
      </c>
      <c r="G1740" t="s">
        <v>50</v>
      </c>
      <c r="H1740" t="s">
        <v>78</v>
      </c>
      <c r="I1740" t="s">
        <v>45</v>
      </c>
      <c r="J1740" s="9">
        <v>1</v>
      </c>
      <c r="K1740" s="7">
        <v>53900</v>
      </c>
      <c r="L1740" s="7">
        <v>0</v>
      </c>
      <c r="M1740" s="9"/>
      <c r="N1740" s="7">
        <v>12.9</v>
      </c>
      <c r="O1740" s="7"/>
      <c r="P1740" s="7"/>
      <c r="Q1740" t="s">
        <v>45</v>
      </c>
      <c r="R1740" s="7" t="str">
        <f>TEXT(Table1[[#This Row],[Date]],"mmm yyyy")</f>
        <v>Aug 2026</v>
      </c>
      <c r="S1740" s="9">
        <f>YEAR(Table1[[#This Row],[Date]])</f>
        <v>2026</v>
      </c>
      <c r="T1740" s="9"/>
      <c r="U1740" s="9"/>
    </row>
    <row r="1741" spans="1:21" x14ac:dyDescent="0.3">
      <c r="A1741" t="s">
        <v>2440</v>
      </c>
      <c r="B1741" s="6">
        <v>46206</v>
      </c>
      <c r="C1741" t="s">
        <v>18</v>
      </c>
      <c r="D1741" t="s">
        <v>105</v>
      </c>
      <c r="E1741" t="s">
        <v>20</v>
      </c>
      <c r="F1741" t="s">
        <v>942</v>
      </c>
      <c r="G1741" t="s">
        <v>22</v>
      </c>
      <c r="H1741" t="s">
        <v>78</v>
      </c>
      <c r="I1741" t="s">
        <v>79</v>
      </c>
      <c r="J1741" s="9">
        <v>1</v>
      </c>
      <c r="K1741" s="7">
        <v>23600</v>
      </c>
      <c r="L1741" s="7">
        <v>0</v>
      </c>
      <c r="M1741" s="9"/>
      <c r="N1741" s="7">
        <v>22.7</v>
      </c>
      <c r="O1741" s="7"/>
      <c r="P1741" s="7"/>
      <c r="Q1741" t="s">
        <v>79</v>
      </c>
      <c r="R1741" s="7" t="str">
        <f>TEXT(Table1[[#This Row],[Date]],"mmm yyyy")</f>
        <v>Jul 2026</v>
      </c>
      <c r="S1741" s="9">
        <f>YEAR(Table1[[#This Row],[Date]])</f>
        <v>2026</v>
      </c>
      <c r="T1741" s="9"/>
      <c r="U1741" s="9"/>
    </row>
    <row r="1742" spans="1:21" hidden="1" x14ac:dyDescent="0.3">
      <c r="A1742" t="s">
        <v>2441</v>
      </c>
      <c r="B1742" s="6">
        <v>45951</v>
      </c>
      <c r="C1742" t="s">
        <v>26</v>
      </c>
      <c r="D1742" t="s">
        <v>114</v>
      </c>
      <c r="E1742" t="s">
        <v>20</v>
      </c>
      <c r="F1742" t="s">
        <v>2442</v>
      </c>
      <c r="G1742" t="s">
        <v>22</v>
      </c>
      <c r="J1742" s="9">
        <v>0</v>
      </c>
      <c r="K1742" s="7">
        <v>0</v>
      </c>
      <c r="L1742" s="7">
        <v>0</v>
      </c>
      <c r="M1742" s="9">
        <v>1</v>
      </c>
      <c r="N1742" s="7">
        <v>6.2</v>
      </c>
      <c r="O1742" s="7">
        <v>6.2</v>
      </c>
      <c r="P1742" s="7">
        <v>4.3</v>
      </c>
      <c r="Q1742" t="s">
        <v>39</v>
      </c>
      <c r="R1742" s="7" t="str">
        <f>TEXT(Table1[[#This Row],[Date]],"mmm yyyy")</f>
        <v>Oct 2025</v>
      </c>
      <c r="S1742" s="9">
        <f>YEAR(Table1[[#This Row],[Date]])</f>
        <v>2025</v>
      </c>
      <c r="T1742" s="9"/>
      <c r="U1742" s="9"/>
    </row>
    <row r="1743" spans="1:21" hidden="1" x14ac:dyDescent="0.3">
      <c r="A1743" t="s">
        <v>2443</v>
      </c>
      <c r="B1743" s="6">
        <v>46006</v>
      </c>
      <c r="C1743" t="s">
        <v>26</v>
      </c>
      <c r="D1743" t="s">
        <v>114</v>
      </c>
      <c r="E1743" t="s">
        <v>48</v>
      </c>
      <c r="F1743" t="s">
        <v>850</v>
      </c>
      <c r="G1743" t="s">
        <v>50</v>
      </c>
      <c r="J1743" s="9">
        <v>0</v>
      </c>
      <c r="K1743" s="7">
        <v>0</v>
      </c>
      <c r="L1743" s="7">
        <v>0</v>
      </c>
      <c r="M1743" s="9">
        <v>1</v>
      </c>
      <c r="N1743" s="7">
        <v>6.3</v>
      </c>
      <c r="O1743" s="7">
        <v>3.4</v>
      </c>
      <c r="P1743" s="7">
        <v>3.3</v>
      </c>
      <c r="Q1743" t="s">
        <v>39</v>
      </c>
      <c r="R1743" s="7" t="str">
        <f>TEXT(Table1[[#This Row],[Date]],"mmm yyyy")</f>
        <v>Dec 2025</v>
      </c>
      <c r="S1743" s="9">
        <f>YEAR(Table1[[#This Row],[Date]])</f>
        <v>2025</v>
      </c>
      <c r="T1743" s="9"/>
      <c r="U1743" s="9"/>
    </row>
    <row r="1744" spans="1:21" hidden="1" x14ac:dyDescent="0.3">
      <c r="A1744" t="s">
        <v>2444</v>
      </c>
      <c r="B1744" s="6">
        <v>46202</v>
      </c>
      <c r="C1744" t="s">
        <v>26</v>
      </c>
      <c r="D1744" t="s">
        <v>72</v>
      </c>
      <c r="E1744" t="s">
        <v>20</v>
      </c>
      <c r="F1744" t="s">
        <v>91</v>
      </c>
      <c r="G1744" t="s">
        <v>22</v>
      </c>
      <c r="J1744" s="9">
        <v>0</v>
      </c>
      <c r="K1744" s="7">
        <v>0</v>
      </c>
      <c r="L1744" s="7">
        <v>0</v>
      </c>
      <c r="M1744" s="9">
        <v>1</v>
      </c>
      <c r="N1744" s="7">
        <v>3.7</v>
      </c>
      <c r="O1744" s="7">
        <v>10.3</v>
      </c>
      <c r="P1744" s="7">
        <v>3.5</v>
      </c>
      <c r="Q1744" t="s">
        <v>62</v>
      </c>
      <c r="R1744" s="7" t="str">
        <f>TEXT(Table1[[#This Row],[Date]],"mmm yyyy")</f>
        <v>Jun 2026</v>
      </c>
      <c r="S1744" s="9">
        <f>YEAR(Table1[[#This Row],[Date]])</f>
        <v>2026</v>
      </c>
      <c r="T1744" s="9"/>
      <c r="U1744" s="9"/>
    </row>
    <row r="1745" spans="1:21" x14ac:dyDescent="0.3">
      <c r="A1745" t="s">
        <v>2445</v>
      </c>
      <c r="B1745" s="6">
        <v>46140</v>
      </c>
      <c r="C1745" t="s">
        <v>18</v>
      </c>
      <c r="D1745" t="s">
        <v>105</v>
      </c>
      <c r="E1745" t="s">
        <v>37</v>
      </c>
      <c r="F1745" t="s">
        <v>1050</v>
      </c>
      <c r="G1745" t="s">
        <v>44</v>
      </c>
      <c r="H1745" t="s">
        <v>54</v>
      </c>
      <c r="I1745" t="s">
        <v>45</v>
      </c>
      <c r="J1745" s="9">
        <v>1</v>
      </c>
      <c r="K1745" s="7">
        <v>18400</v>
      </c>
      <c r="L1745" s="7">
        <v>0</v>
      </c>
      <c r="M1745" s="9"/>
      <c r="N1745" s="7">
        <v>6.9</v>
      </c>
      <c r="O1745" s="7"/>
      <c r="P1745" s="7"/>
      <c r="Q1745" t="s">
        <v>45</v>
      </c>
      <c r="R1745" s="7" t="str">
        <f>TEXT(Table1[[#This Row],[Date]],"mmm yyyy")</f>
        <v>Apr 2026</v>
      </c>
      <c r="S1745" s="9">
        <f>YEAR(Table1[[#This Row],[Date]])</f>
        <v>2026</v>
      </c>
      <c r="T1745" s="9"/>
      <c r="U1745" s="9"/>
    </row>
    <row r="1746" spans="1:21" x14ac:dyDescent="0.3">
      <c r="A1746" t="s">
        <v>2446</v>
      </c>
      <c r="B1746" s="6">
        <v>46098</v>
      </c>
      <c r="C1746" t="s">
        <v>18</v>
      </c>
      <c r="D1746" t="s">
        <v>95</v>
      </c>
      <c r="E1746" t="s">
        <v>48</v>
      </c>
      <c r="F1746" t="s">
        <v>1407</v>
      </c>
      <c r="G1746" t="s">
        <v>44</v>
      </c>
      <c r="H1746" t="s">
        <v>86</v>
      </c>
      <c r="I1746" t="s">
        <v>45</v>
      </c>
      <c r="J1746" s="9">
        <v>1</v>
      </c>
      <c r="K1746" s="7">
        <v>26600</v>
      </c>
      <c r="L1746" s="7">
        <v>0</v>
      </c>
      <c r="M1746" s="9"/>
      <c r="N1746" s="7">
        <v>15.8</v>
      </c>
      <c r="O1746" s="7"/>
      <c r="P1746" s="7"/>
      <c r="Q1746" t="s">
        <v>45</v>
      </c>
      <c r="R1746" s="7" t="str">
        <f>TEXT(Table1[[#This Row],[Date]],"mmm yyyy")</f>
        <v>Mar 2026</v>
      </c>
      <c r="S1746" s="9">
        <f>YEAR(Table1[[#This Row],[Date]])</f>
        <v>2026</v>
      </c>
      <c r="T1746" s="9"/>
      <c r="U1746" s="9"/>
    </row>
    <row r="1747" spans="1:21" x14ac:dyDescent="0.3">
      <c r="A1747" t="s">
        <v>2447</v>
      </c>
      <c r="B1747" s="6">
        <v>46084</v>
      </c>
      <c r="C1747" t="s">
        <v>18</v>
      </c>
      <c r="D1747" t="s">
        <v>41</v>
      </c>
      <c r="E1747" t="s">
        <v>20</v>
      </c>
      <c r="F1747" t="s">
        <v>750</v>
      </c>
      <c r="G1747" t="s">
        <v>22</v>
      </c>
      <c r="H1747" t="s">
        <v>23</v>
      </c>
      <c r="I1747" t="s">
        <v>55</v>
      </c>
      <c r="J1747" s="9">
        <v>1</v>
      </c>
      <c r="K1747" s="7">
        <v>13600</v>
      </c>
      <c r="L1747" s="7">
        <v>0</v>
      </c>
      <c r="M1747" s="9"/>
      <c r="N1747" s="7">
        <v>10.3</v>
      </c>
      <c r="O1747" s="7"/>
      <c r="P1747" s="7"/>
      <c r="Q1747" t="s">
        <v>55</v>
      </c>
      <c r="R1747" s="7" t="str">
        <f>TEXT(Table1[[#This Row],[Date]],"mmm yyyy")</f>
        <v>Mar 2026</v>
      </c>
      <c r="S1747" s="9">
        <f>YEAR(Table1[[#This Row],[Date]])</f>
        <v>2026</v>
      </c>
      <c r="T1747" s="9"/>
      <c r="U1747" s="9"/>
    </row>
    <row r="1748" spans="1:21" x14ac:dyDescent="0.3">
      <c r="A1748" t="s">
        <v>2448</v>
      </c>
      <c r="B1748" s="6">
        <v>46215</v>
      </c>
      <c r="C1748" t="s">
        <v>18</v>
      </c>
      <c r="D1748" t="s">
        <v>117</v>
      </c>
      <c r="E1748" t="s">
        <v>37</v>
      </c>
      <c r="F1748" t="s">
        <v>1750</v>
      </c>
      <c r="G1748" t="s">
        <v>30</v>
      </c>
      <c r="H1748" t="s">
        <v>23</v>
      </c>
      <c r="I1748" t="s">
        <v>79</v>
      </c>
      <c r="J1748" s="9">
        <v>1</v>
      </c>
      <c r="K1748" s="7">
        <v>12900</v>
      </c>
      <c r="L1748" s="7">
        <v>0</v>
      </c>
      <c r="M1748" s="9"/>
      <c r="N1748" s="7">
        <v>11.5</v>
      </c>
      <c r="O1748" s="7"/>
      <c r="P1748" s="7"/>
      <c r="Q1748" t="s">
        <v>79</v>
      </c>
      <c r="R1748" s="7" t="str">
        <f>TEXT(Table1[[#This Row],[Date]],"mmm yyyy")</f>
        <v>Jul 2026</v>
      </c>
      <c r="S1748" s="9">
        <f>YEAR(Table1[[#This Row],[Date]])</f>
        <v>2026</v>
      </c>
      <c r="T1748" s="9"/>
      <c r="U1748" s="9"/>
    </row>
    <row r="1749" spans="1:21" x14ac:dyDescent="0.3">
      <c r="A1749" t="s">
        <v>2449</v>
      </c>
      <c r="B1749" s="6">
        <v>46200</v>
      </c>
      <c r="C1749" t="s">
        <v>18</v>
      </c>
      <c r="D1749" t="s">
        <v>52</v>
      </c>
      <c r="E1749" t="s">
        <v>20</v>
      </c>
      <c r="F1749" t="s">
        <v>2306</v>
      </c>
      <c r="G1749" t="s">
        <v>22</v>
      </c>
      <c r="H1749" t="s">
        <v>78</v>
      </c>
      <c r="I1749" t="s">
        <v>45</v>
      </c>
      <c r="J1749" s="9">
        <v>1</v>
      </c>
      <c r="K1749" s="7">
        <v>57100</v>
      </c>
      <c r="L1749" s="7">
        <v>0</v>
      </c>
      <c r="M1749" s="9"/>
      <c r="N1749" s="7">
        <v>10.4</v>
      </c>
      <c r="O1749" s="7"/>
      <c r="P1749" s="7"/>
      <c r="Q1749" t="s">
        <v>45</v>
      </c>
      <c r="R1749" s="7" t="str">
        <f>TEXT(Table1[[#This Row],[Date]],"mmm yyyy")</f>
        <v>Jun 2026</v>
      </c>
      <c r="S1749" s="9">
        <f>YEAR(Table1[[#This Row],[Date]])</f>
        <v>2026</v>
      </c>
      <c r="T1749" s="9"/>
      <c r="U1749" s="9"/>
    </row>
    <row r="1750" spans="1:21" hidden="1" x14ac:dyDescent="0.3">
      <c r="A1750" t="s">
        <v>2450</v>
      </c>
      <c r="B1750" s="6">
        <v>46232</v>
      </c>
      <c r="C1750" t="s">
        <v>26</v>
      </c>
      <c r="D1750" t="s">
        <v>126</v>
      </c>
      <c r="E1750" t="s">
        <v>20</v>
      </c>
      <c r="F1750" t="s">
        <v>1371</v>
      </c>
      <c r="G1750" t="s">
        <v>22</v>
      </c>
      <c r="J1750" s="9">
        <v>0</v>
      </c>
      <c r="K1750" s="7">
        <v>0</v>
      </c>
      <c r="L1750" s="7">
        <v>0</v>
      </c>
      <c r="M1750" s="9">
        <v>1</v>
      </c>
      <c r="N1750" s="7">
        <v>7.8</v>
      </c>
      <c r="O1750" s="7">
        <v>5.6</v>
      </c>
      <c r="P1750" s="7">
        <v>4.3</v>
      </c>
      <c r="Q1750" t="s">
        <v>39</v>
      </c>
      <c r="R1750" s="7" t="str">
        <f>TEXT(Table1[[#This Row],[Date]],"mmm yyyy")</f>
        <v>Jul 2026</v>
      </c>
      <c r="S1750" s="9">
        <f>YEAR(Table1[[#This Row],[Date]])</f>
        <v>2026</v>
      </c>
      <c r="T1750" s="9"/>
      <c r="U1750" s="9"/>
    </row>
    <row r="1751" spans="1:21" x14ac:dyDescent="0.3">
      <c r="A1751" t="s">
        <v>2451</v>
      </c>
      <c r="B1751" s="6">
        <v>46222</v>
      </c>
      <c r="C1751" t="s">
        <v>18</v>
      </c>
      <c r="D1751" t="s">
        <v>52</v>
      </c>
      <c r="E1751" t="s">
        <v>48</v>
      </c>
      <c r="F1751" t="s">
        <v>485</v>
      </c>
      <c r="G1751" t="s">
        <v>30</v>
      </c>
      <c r="H1751" t="s">
        <v>23</v>
      </c>
      <c r="I1751" t="s">
        <v>67</v>
      </c>
      <c r="J1751" s="9">
        <v>1</v>
      </c>
      <c r="K1751" s="7">
        <v>38300</v>
      </c>
      <c r="L1751" s="7">
        <v>0</v>
      </c>
      <c r="M1751" s="9"/>
      <c r="N1751" s="7">
        <v>19.899999999999999</v>
      </c>
      <c r="O1751" s="7"/>
      <c r="P1751" s="7"/>
      <c r="Q1751" t="s">
        <v>67</v>
      </c>
      <c r="R1751" s="7" t="str">
        <f>TEXT(Table1[[#This Row],[Date]],"mmm yyyy")</f>
        <v>Jul 2026</v>
      </c>
      <c r="S1751" s="9">
        <f>YEAR(Table1[[#This Row],[Date]])</f>
        <v>2026</v>
      </c>
      <c r="T1751" s="9"/>
      <c r="U1751" s="9"/>
    </row>
    <row r="1752" spans="1:21" x14ac:dyDescent="0.3">
      <c r="A1752" t="s">
        <v>2452</v>
      </c>
      <c r="B1752" s="6">
        <v>45904</v>
      </c>
      <c r="C1752" t="s">
        <v>18</v>
      </c>
      <c r="D1752" t="s">
        <v>41</v>
      </c>
      <c r="E1752" t="s">
        <v>20</v>
      </c>
      <c r="F1752" t="s">
        <v>1332</v>
      </c>
      <c r="G1752" t="s">
        <v>22</v>
      </c>
      <c r="H1752" t="s">
        <v>66</v>
      </c>
      <c r="I1752" t="s">
        <v>45</v>
      </c>
      <c r="J1752" s="9">
        <v>1</v>
      </c>
      <c r="K1752" s="7">
        <v>61000</v>
      </c>
      <c r="L1752" s="7">
        <v>0</v>
      </c>
      <c r="M1752" s="9"/>
      <c r="N1752" s="7">
        <v>20.7</v>
      </c>
      <c r="O1752" s="7"/>
      <c r="P1752" s="7"/>
      <c r="Q1752" t="s">
        <v>45</v>
      </c>
      <c r="R1752" s="7" t="str">
        <f>TEXT(Table1[[#This Row],[Date]],"mmm yyyy")</f>
        <v>Sep 2025</v>
      </c>
      <c r="S1752" s="9">
        <f>YEAR(Table1[[#This Row],[Date]])</f>
        <v>2025</v>
      </c>
      <c r="T1752" s="9"/>
      <c r="U1752" s="9"/>
    </row>
    <row r="1753" spans="1:21" x14ac:dyDescent="0.3">
      <c r="A1753" t="s">
        <v>2453</v>
      </c>
      <c r="B1753" s="6">
        <v>46080</v>
      </c>
      <c r="C1753" t="s">
        <v>18</v>
      </c>
      <c r="D1753" t="s">
        <v>117</v>
      </c>
      <c r="E1753" t="s">
        <v>20</v>
      </c>
      <c r="F1753" t="s">
        <v>2454</v>
      </c>
      <c r="G1753" t="s">
        <v>22</v>
      </c>
      <c r="H1753" t="s">
        <v>78</v>
      </c>
      <c r="I1753" t="s">
        <v>55</v>
      </c>
      <c r="J1753" s="9">
        <v>1</v>
      </c>
      <c r="K1753" s="7">
        <v>78500</v>
      </c>
      <c r="L1753" s="7">
        <v>0</v>
      </c>
      <c r="M1753" s="9"/>
      <c r="N1753" s="7">
        <v>9.8000000000000007</v>
      </c>
      <c r="O1753" s="7"/>
      <c r="P1753" s="7"/>
      <c r="Q1753" t="s">
        <v>55</v>
      </c>
      <c r="R1753" s="7" t="str">
        <f>TEXT(Table1[[#This Row],[Date]],"mmm yyyy")</f>
        <v>Feb 2026</v>
      </c>
      <c r="S1753" s="9">
        <f>YEAR(Table1[[#This Row],[Date]])</f>
        <v>2026</v>
      </c>
      <c r="T1753" s="9"/>
      <c r="U1753" s="9"/>
    </row>
    <row r="1754" spans="1:21" x14ac:dyDescent="0.3">
      <c r="A1754" t="s">
        <v>2455</v>
      </c>
      <c r="B1754" s="6">
        <v>46119</v>
      </c>
      <c r="C1754" t="s">
        <v>18</v>
      </c>
      <c r="D1754" t="s">
        <v>52</v>
      </c>
      <c r="E1754" t="s">
        <v>48</v>
      </c>
      <c r="F1754" t="s">
        <v>1286</v>
      </c>
      <c r="G1754" t="s">
        <v>44</v>
      </c>
      <c r="H1754" t="s">
        <v>23</v>
      </c>
      <c r="I1754" t="s">
        <v>45</v>
      </c>
      <c r="J1754" s="9">
        <v>1</v>
      </c>
      <c r="K1754" s="7">
        <v>15200</v>
      </c>
      <c r="L1754" s="7">
        <v>0</v>
      </c>
      <c r="M1754" s="9"/>
      <c r="N1754" s="7">
        <v>18.5</v>
      </c>
      <c r="O1754" s="7"/>
      <c r="P1754" s="7"/>
      <c r="Q1754" t="s">
        <v>45</v>
      </c>
      <c r="R1754" s="7" t="str">
        <f>TEXT(Table1[[#This Row],[Date]],"mmm yyyy")</f>
        <v>Apr 2026</v>
      </c>
      <c r="S1754" s="9">
        <f>YEAR(Table1[[#This Row],[Date]])</f>
        <v>2026</v>
      </c>
      <c r="T1754" s="9"/>
      <c r="U1754" s="9"/>
    </row>
    <row r="1755" spans="1:21" x14ac:dyDescent="0.3">
      <c r="A1755" t="s">
        <v>2456</v>
      </c>
      <c r="B1755" s="6">
        <v>46238</v>
      </c>
      <c r="C1755" t="s">
        <v>18</v>
      </c>
      <c r="D1755" t="s">
        <v>64</v>
      </c>
      <c r="E1755" t="s">
        <v>28</v>
      </c>
      <c r="F1755" t="s">
        <v>1422</v>
      </c>
      <c r="G1755" t="s">
        <v>30</v>
      </c>
      <c r="H1755" t="s">
        <v>78</v>
      </c>
      <c r="I1755" t="s">
        <v>45</v>
      </c>
      <c r="J1755" s="9">
        <v>1</v>
      </c>
      <c r="K1755" s="7">
        <v>22300</v>
      </c>
      <c r="L1755" s="7">
        <v>0</v>
      </c>
      <c r="M1755" s="9"/>
      <c r="N1755" s="7">
        <v>19.100000000000001</v>
      </c>
      <c r="O1755" s="7"/>
      <c r="P1755" s="7"/>
      <c r="Q1755" t="s">
        <v>45</v>
      </c>
      <c r="R1755" s="7" t="str">
        <f>TEXT(Table1[[#This Row],[Date]],"mmm yyyy")</f>
        <v>Aug 2026</v>
      </c>
      <c r="S1755" s="9">
        <f>YEAR(Table1[[#This Row],[Date]])</f>
        <v>2026</v>
      </c>
      <c r="T1755" s="9"/>
      <c r="U1755" s="9"/>
    </row>
    <row r="1756" spans="1:21" hidden="1" x14ac:dyDescent="0.3">
      <c r="A1756" t="s">
        <v>2457</v>
      </c>
      <c r="B1756" s="6">
        <v>46043</v>
      </c>
      <c r="C1756" t="s">
        <v>26</v>
      </c>
      <c r="D1756" t="s">
        <v>69</v>
      </c>
      <c r="E1756" t="s">
        <v>20</v>
      </c>
      <c r="F1756" t="s">
        <v>1429</v>
      </c>
      <c r="G1756" t="s">
        <v>22</v>
      </c>
      <c r="J1756" s="9">
        <v>0</v>
      </c>
      <c r="K1756" s="7">
        <v>0</v>
      </c>
      <c r="L1756" s="7">
        <v>0</v>
      </c>
      <c r="M1756" s="9">
        <v>1</v>
      </c>
      <c r="N1756" s="7">
        <v>12</v>
      </c>
      <c r="O1756" s="7">
        <v>18.5</v>
      </c>
      <c r="P1756" s="7">
        <v>4.5999999999999996</v>
      </c>
      <c r="Q1756" t="s">
        <v>39</v>
      </c>
      <c r="R1756" s="7" t="str">
        <f>TEXT(Table1[[#This Row],[Date]],"mmm yyyy")</f>
        <v>Jan 2026</v>
      </c>
      <c r="S1756" s="9">
        <f>YEAR(Table1[[#This Row],[Date]])</f>
        <v>2026</v>
      </c>
      <c r="T1756" s="9"/>
      <c r="U1756" s="9"/>
    </row>
    <row r="1757" spans="1:21" hidden="1" x14ac:dyDescent="0.3">
      <c r="A1757" t="s">
        <v>2458</v>
      </c>
      <c r="B1757" s="6">
        <v>46002</v>
      </c>
      <c r="C1757" t="s">
        <v>26</v>
      </c>
      <c r="D1757" t="s">
        <v>232</v>
      </c>
      <c r="E1757" t="s">
        <v>42</v>
      </c>
      <c r="F1757" t="s">
        <v>1034</v>
      </c>
      <c r="G1757" t="s">
        <v>22</v>
      </c>
      <c r="J1757" s="9">
        <v>0</v>
      </c>
      <c r="K1757" s="7">
        <v>0</v>
      </c>
      <c r="L1757" s="7">
        <v>0</v>
      </c>
      <c r="M1757" s="9">
        <v>1</v>
      </c>
      <c r="N1757" s="7">
        <v>10</v>
      </c>
      <c r="O1757" s="7">
        <v>7.6</v>
      </c>
      <c r="P1757" s="7">
        <v>4.3</v>
      </c>
      <c r="Q1757" t="s">
        <v>225</v>
      </c>
      <c r="R1757" s="7" t="str">
        <f>TEXT(Table1[[#This Row],[Date]],"mmm yyyy")</f>
        <v>Dec 2025</v>
      </c>
      <c r="S1757" s="9">
        <f>YEAR(Table1[[#This Row],[Date]])</f>
        <v>2025</v>
      </c>
      <c r="T1757" s="9"/>
      <c r="U1757" s="9"/>
    </row>
    <row r="1758" spans="1:21" hidden="1" x14ac:dyDescent="0.3">
      <c r="A1758" t="s">
        <v>2459</v>
      </c>
      <c r="B1758" s="6">
        <v>46025</v>
      </c>
      <c r="C1758" t="s">
        <v>26</v>
      </c>
      <c r="D1758" t="s">
        <v>27</v>
      </c>
      <c r="E1758" t="s">
        <v>20</v>
      </c>
      <c r="F1758" t="s">
        <v>1407</v>
      </c>
      <c r="G1758" t="s">
        <v>44</v>
      </c>
      <c r="J1758" s="9">
        <v>0</v>
      </c>
      <c r="K1758" s="7">
        <v>0</v>
      </c>
      <c r="L1758" s="7">
        <v>0</v>
      </c>
      <c r="M1758" s="9">
        <v>1</v>
      </c>
      <c r="N1758" s="7">
        <v>4.5</v>
      </c>
      <c r="O1758" s="7">
        <v>24.6</v>
      </c>
      <c r="P1758" s="7">
        <v>4.8</v>
      </c>
      <c r="Q1758" t="s">
        <v>39</v>
      </c>
      <c r="R1758" s="7" t="str">
        <f>TEXT(Table1[[#This Row],[Date]],"mmm yyyy")</f>
        <v>Jan 2026</v>
      </c>
      <c r="S1758" s="9">
        <f>YEAR(Table1[[#This Row],[Date]])</f>
        <v>2026</v>
      </c>
      <c r="T1758" s="9"/>
      <c r="U1758" s="9"/>
    </row>
    <row r="1759" spans="1:21" x14ac:dyDescent="0.3">
      <c r="A1759" t="s">
        <v>2460</v>
      </c>
      <c r="B1759" s="6">
        <v>46184</v>
      </c>
      <c r="C1759" t="s">
        <v>18</v>
      </c>
      <c r="D1759" t="s">
        <v>64</v>
      </c>
      <c r="E1759" t="s">
        <v>20</v>
      </c>
      <c r="F1759" t="s">
        <v>2461</v>
      </c>
      <c r="G1759" t="s">
        <v>44</v>
      </c>
      <c r="H1759" t="s">
        <v>54</v>
      </c>
      <c r="I1759" t="s">
        <v>45</v>
      </c>
      <c r="J1759" s="9">
        <v>1</v>
      </c>
      <c r="K1759" s="7">
        <v>14200</v>
      </c>
      <c r="L1759" s="7">
        <v>0</v>
      </c>
      <c r="M1759" s="9"/>
      <c r="N1759" s="7">
        <v>20.5</v>
      </c>
      <c r="O1759" s="7"/>
      <c r="P1759" s="7"/>
      <c r="Q1759" t="s">
        <v>45</v>
      </c>
      <c r="R1759" s="7" t="str">
        <f>TEXT(Table1[[#This Row],[Date]],"mmm yyyy")</f>
        <v>Jun 2026</v>
      </c>
      <c r="S1759" s="9">
        <f>YEAR(Table1[[#This Row],[Date]])</f>
        <v>2026</v>
      </c>
      <c r="T1759" s="9"/>
      <c r="U1759" s="9"/>
    </row>
    <row r="1760" spans="1:21" x14ac:dyDescent="0.3">
      <c r="A1760" t="s">
        <v>2462</v>
      </c>
      <c r="B1760" s="6">
        <v>46000</v>
      </c>
      <c r="C1760" t="s">
        <v>18</v>
      </c>
      <c r="D1760" t="s">
        <v>41</v>
      </c>
      <c r="E1760" t="s">
        <v>20</v>
      </c>
      <c r="F1760" t="s">
        <v>1392</v>
      </c>
      <c r="G1760" t="s">
        <v>22</v>
      </c>
      <c r="H1760" t="s">
        <v>86</v>
      </c>
      <c r="I1760" t="s">
        <v>79</v>
      </c>
      <c r="J1760" s="9">
        <v>1</v>
      </c>
      <c r="K1760" s="7">
        <v>26300</v>
      </c>
      <c r="L1760" s="7">
        <v>0</v>
      </c>
      <c r="M1760" s="9"/>
      <c r="N1760" s="7">
        <v>23.4</v>
      </c>
      <c r="O1760" s="7"/>
      <c r="P1760" s="7"/>
      <c r="Q1760" t="s">
        <v>79</v>
      </c>
      <c r="R1760" s="7" t="str">
        <f>TEXT(Table1[[#This Row],[Date]],"mmm yyyy")</f>
        <v>Dec 2025</v>
      </c>
      <c r="S1760" s="9">
        <f>YEAR(Table1[[#This Row],[Date]])</f>
        <v>2025</v>
      </c>
      <c r="T1760" s="9"/>
      <c r="U1760" s="9"/>
    </row>
    <row r="1761" spans="1:21" x14ac:dyDescent="0.3">
      <c r="A1761" t="s">
        <v>2463</v>
      </c>
      <c r="B1761" s="6">
        <v>46126</v>
      </c>
      <c r="C1761" t="s">
        <v>18</v>
      </c>
      <c r="D1761" t="s">
        <v>117</v>
      </c>
      <c r="E1761" t="s">
        <v>48</v>
      </c>
      <c r="F1761" t="s">
        <v>1371</v>
      </c>
      <c r="G1761" t="s">
        <v>44</v>
      </c>
      <c r="H1761" t="s">
        <v>86</v>
      </c>
      <c r="I1761" t="s">
        <v>24</v>
      </c>
      <c r="J1761" s="9">
        <v>1</v>
      </c>
      <c r="K1761" s="7">
        <v>32600</v>
      </c>
      <c r="L1761" s="7">
        <v>32600</v>
      </c>
      <c r="M1761" s="9"/>
      <c r="N1761" s="7">
        <v>11.2</v>
      </c>
      <c r="O1761" s="7"/>
      <c r="P1761" s="7"/>
      <c r="Q1761" t="s">
        <v>24</v>
      </c>
      <c r="R1761" s="7" t="str">
        <f>TEXT(Table1[[#This Row],[Date]],"mmm yyyy")</f>
        <v>Apr 2026</v>
      </c>
      <c r="S1761" s="9">
        <f>YEAR(Table1[[#This Row],[Date]])</f>
        <v>2026</v>
      </c>
      <c r="T1761" s="9"/>
      <c r="U1761" s="9"/>
    </row>
    <row r="1762" spans="1:21" x14ac:dyDescent="0.3">
      <c r="A1762" t="s">
        <v>2464</v>
      </c>
      <c r="B1762" s="6">
        <v>46096</v>
      </c>
      <c r="C1762" t="s">
        <v>18</v>
      </c>
      <c r="D1762" t="s">
        <v>47</v>
      </c>
      <c r="E1762" t="s">
        <v>20</v>
      </c>
      <c r="F1762" t="s">
        <v>1269</v>
      </c>
      <c r="G1762" t="s">
        <v>22</v>
      </c>
      <c r="H1762" t="s">
        <v>78</v>
      </c>
      <c r="I1762" t="s">
        <v>45</v>
      </c>
      <c r="J1762" s="9">
        <v>1</v>
      </c>
      <c r="K1762" s="7">
        <v>18700</v>
      </c>
      <c r="L1762" s="7">
        <v>0</v>
      </c>
      <c r="M1762" s="9"/>
      <c r="N1762" s="7">
        <v>15.1</v>
      </c>
      <c r="O1762" s="7"/>
      <c r="P1762" s="7"/>
      <c r="Q1762" t="s">
        <v>45</v>
      </c>
      <c r="R1762" s="7" t="str">
        <f>TEXT(Table1[[#This Row],[Date]],"mmm yyyy")</f>
        <v>Mar 2026</v>
      </c>
      <c r="S1762" s="9">
        <f>YEAR(Table1[[#This Row],[Date]])</f>
        <v>2026</v>
      </c>
      <c r="T1762" s="9"/>
      <c r="U1762" s="9"/>
    </row>
    <row r="1763" spans="1:21" hidden="1" x14ac:dyDescent="0.3">
      <c r="A1763" t="s">
        <v>2465</v>
      </c>
      <c r="B1763" s="6">
        <v>46088</v>
      </c>
      <c r="C1763" t="s">
        <v>26</v>
      </c>
      <c r="D1763" t="s">
        <v>126</v>
      </c>
      <c r="E1763" t="s">
        <v>37</v>
      </c>
      <c r="F1763" t="s">
        <v>1869</v>
      </c>
      <c r="G1763" t="s">
        <v>22</v>
      </c>
      <c r="J1763" s="9">
        <v>0</v>
      </c>
      <c r="K1763" s="7">
        <v>0</v>
      </c>
      <c r="L1763" s="7">
        <v>0</v>
      </c>
      <c r="M1763" s="9">
        <v>1</v>
      </c>
      <c r="N1763" s="7">
        <v>0.7</v>
      </c>
      <c r="O1763" s="7">
        <v>19.100000000000001</v>
      </c>
      <c r="P1763" s="7">
        <v>4.2</v>
      </c>
      <c r="Q1763" t="s">
        <v>62</v>
      </c>
      <c r="R1763" s="7" t="str">
        <f>TEXT(Table1[[#This Row],[Date]],"mmm yyyy")</f>
        <v>Mar 2026</v>
      </c>
      <c r="S1763" s="9">
        <f>YEAR(Table1[[#This Row],[Date]])</f>
        <v>2026</v>
      </c>
      <c r="T1763" s="9"/>
      <c r="U1763" s="9"/>
    </row>
    <row r="1764" spans="1:21" x14ac:dyDescent="0.3">
      <c r="A1764" t="s">
        <v>2466</v>
      </c>
      <c r="B1764" s="6">
        <v>46185</v>
      </c>
      <c r="C1764" t="s">
        <v>18</v>
      </c>
      <c r="D1764" t="s">
        <v>64</v>
      </c>
      <c r="E1764" t="s">
        <v>42</v>
      </c>
      <c r="F1764" t="s">
        <v>162</v>
      </c>
      <c r="G1764" t="s">
        <v>22</v>
      </c>
      <c r="H1764" t="s">
        <v>78</v>
      </c>
      <c r="I1764" t="s">
        <v>89</v>
      </c>
      <c r="J1764" s="9">
        <v>1</v>
      </c>
      <c r="K1764" s="7">
        <v>13400</v>
      </c>
      <c r="L1764" s="7">
        <v>0</v>
      </c>
      <c r="M1764" s="9"/>
      <c r="N1764" s="7">
        <v>19.100000000000001</v>
      </c>
      <c r="O1764" s="7"/>
      <c r="P1764" s="7"/>
      <c r="Q1764" t="s">
        <v>89</v>
      </c>
      <c r="R1764" s="7" t="str">
        <f>TEXT(Table1[[#This Row],[Date]],"mmm yyyy")</f>
        <v>Jun 2026</v>
      </c>
      <c r="S1764" s="9">
        <f>YEAR(Table1[[#This Row],[Date]])</f>
        <v>2026</v>
      </c>
      <c r="T1764" s="9"/>
      <c r="U1764" s="9"/>
    </row>
    <row r="1765" spans="1:21" x14ac:dyDescent="0.3">
      <c r="A1765" t="s">
        <v>2467</v>
      </c>
      <c r="B1765" s="6">
        <v>46206</v>
      </c>
      <c r="C1765" t="s">
        <v>18</v>
      </c>
      <c r="D1765" t="s">
        <v>117</v>
      </c>
      <c r="E1765" t="s">
        <v>48</v>
      </c>
      <c r="F1765" t="s">
        <v>29</v>
      </c>
      <c r="G1765" t="s">
        <v>50</v>
      </c>
      <c r="H1765" t="s">
        <v>86</v>
      </c>
      <c r="I1765" t="s">
        <v>89</v>
      </c>
      <c r="J1765" s="9">
        <v>1</v>
      </c>
      <c r="K1765" s="7">
        <v>34900</v>
      </c>
      <c r="L1765" s="7">
        <v>0</v>
      </c>
      <c r="M1765" s="9"/>
      <c r="N1765" s="7">
        <v>12.8</v>
      </c>
      <c r="O1765" s="7"/>
      <c r="P1765" s="7"/>
      <c r="Q1765" t="s">
        <v>89</v>
      </c>
      <c r="R1765" s="7" t="str">
        <f>TEXT(Table1[[#This Row],[Date]],"mmm yyyy")</f>
        <v>Jul 2026</v>
      </c>
      <c r="S1765" s="9">
        <f>YEAR(Table1[[#This Row],[Date]])</f>
        <v>2026</v>
      </c>
      <c r="T1765" s="9"/>
      <c r="U1765" s="9"/>
    </row>
    <row r="1766" spans="1:21" x14ac:dyDescent="0.3">
      <c r="A1766" t="s">
        <v>2468</v>
      </c>
      <c r="B1766" s="6">
        <v>46140</v>
      </c>
      <c r="C1766" t="s">
        <v>18</v>
      </c>
      <c r="D1766" t="s">
        <v>41</v>
      </c>
      <c r="E1766" t="s">
        <v>20</v>
      </c>
      <c r="F1766" t="s">
        <v>1617</v>
      </c>
      <c r="G1766" t="s">
        <v>44</v>
      </c>
      <c r="H1766" t="s">
        <v>86</v>
      </c>
      <c r="I1766" t="s">
        <v>89</v>
      </c>
      <c r="J1766" s="9">
        <v>1</v>
      </c>
      <c r="K1766" s="7">
        <v>61500</v>
      </c>
      <c r="L1766" s="7">
        <v>0</v>
      </c>
      <c r="M1766" s="9"/>
      <c r="N1766" s="7">
        <v>12</v>
      </c>
      <c r="O1766" s="7"/>
      <c r="P1766" s="7"/>
      <c r="Q1766" t="s">
        <v>89</v>
      </c>
      <c r="R1766" s="7" t="str">
        <f>TEXT(Table1[[#This Row],[Date]],"mmm yyyy")</f>
        <v>Apr 2026</v>
      </c>
      <c r="S1766" s="9">
        <f>YEAR(Table1[[#This Row],[Date]])</f>
        <v>2026</v>
      </c>
      <c r="T1766" s="9"/>
      <c r="U1766" s="9"/>
    </row>
    <row r="1767" spans="1:21" x14ac:dyDescent="0.3">
      <c r="A1767" t="s">
        <v>2469</v>
      </c>
      <c r="B1767" s="6">
        <v>46179</v>
      </c>
      <c r="C1767" t="s">
        <v>18</v>
      </c>
      <c r="D1767" t="s">
        <v>47</v>
      </c>
      <c r="E1767" t="s">
        <v>20</v>
      </c>
      <c r="F1767" t="s">
        <v>840</v>
      </c>
      <c r="G1767" t="s">
        <v>44</v>
      </c>
      <c r="H1767" t="s">
        <v>23</v>
      </c>
      <c r="I1767" t="s">
        <v>45</v>
      </c>
      <c r="J1767" s="9">
        <v>1</v>
      </c>
      <c r="K1767" s="7">
        <v>12900</v>
      </c>
      <c r="L1767" s="7">
        <v>0</v>
      </c>
      <c r="M1767" s="9"/>
      <c r="N1767" s="7">
        <v>18.100000000000001</v>
      </c>
      <c r="O1767" s="7"/>
      <c r="P1767" s="7"/>
      <c r="Q1767" t="s">
        <v>45</v>
      </c>
      <c r="R1767" s="7" t="str">
        <f>TEXT(Table1[[#This Row],[Date]],"mmm yyyy")</f>
        <v>Jun 2026</v>
      </c>
      <c r="S1767" s="9">
        <f>YEAR(Table1[[#This Row],[Date]])</f>
        <v>2026</v>
      </c>
      <c r="T1767" s="9"/>
      <c r="U1767" s="9"/>
    </row>
    <row r="1768" spans="1:21" hidden="1" x14ac:dyDescent="0.3">
      <c r="A1768" t="s">
        <v>2470</v>
      </c>
      <c r="B1768" s="6">
        <v>46138</v>
      </c>
      <c r="C1768" t="s">
        <v>26</v>
      </c>
      <c r="D1768" t="s">
        <v>72</v>
      </c>
      <c r="E1768" t="s">
        <v>20</v>
      </c>
      <c r="F1768" t="s">
        <v>2389</v>
      </c>
      <c r="G1768" t="s">
        <v>44</v>
      </c>
      <c r="J1768" s="9">
        <v>0</v>
      </c>
      <c r="K1768" s="7">
        <v>0</v>
      </c>
      <c r="L1768" s="7">
        <v>0</v>
      </c>
      <c r="M1768" s="9">
        <v>1</v>
      </c>
      <c r="N1768" s="7">
        <v>3.9</v>
      </c>
      <c r="O1768" s="7">
        <v>14.7</v>
      </c>
      <c r="P1768" s="7">
        <v>4.5999999999999996</v>
      </c>
      <c r="Q1768" t="s">
        <v>62</v>
      </c>
      <c r="R1768" s="7" t="str">
        <f>TEXT(Table1[[#This Row],[Date]],"mmm yyyy")</f>
        <v>Apr 2026</v>
      </c>
      <c r="S1768" s="9">
        <f>YEAR(Table1[[#This Row],[Date]])</f>
        <v>2026</v>
      </c>
      <c r="T1768" s="9"/>
      <c r="U1768" s="9"/>
    </row>
    <row r="1769" spans="1:21" x14ac:dyDescent="0.3">
      <c r="A1769" t="s">
        <v>2471</v>
      </c>
      <c r="B1769" s="6">
        <v>45919</v>
      </c>
      <c r="C1769" t="s">
        <v>18</v>
      </c>
      <c r="D1769" t="s">
        <v>64</v>
      </c>
      <c r="E1769" t="s">
        <v>28</v>
      </c>
      <c r="F1769" t="s">
        <v>754</v>
      </c>
      <c r="G1769" t="s">
        <v>44</v>
      </c>
      <c r="H1769" t="s">
        <v>54</v>
      </c>
      <c r="I1769" t="s">
        <v>67</v>
      </c>
      <c r="J1769" s="9">
        <v>1</v>
      </c>
      <c r="K1769" s="7">
        <v>71000</v>
      </c>
      <c r="L1769" s="7">
        <v>0</v>
      </c>
      <c r="M1769" s="9"/>
      <c r="N1769" s="7">
        <v>21.8</v>
      </c>
      <c r="O1769" s="7"/>
      <c r="P1769" s="7"/>
      <c r="Q1769" t="s">
        <v>67</v>
      </c>
      <c r="R1769" s="7" t="str">
        <f>TEXT(Table1[[#This Row],[Date]],"mmm yyyy")</f>
        <v>Sep 2025</v>
      </c>
      <c r="S1769" s="9">
        <f>YEAR(Table1[[#This Row],[Date]])</f>
        <v>2025</v>
      </c>
      <c r="T1769" s="9"/>
      <c r="U1769" s="9"/>
    </row>
    <row r="1770" spans="1:21" x14ac:dyDescent="0.3">
      <c r="A1770" t="s">
        <v>2472</v>
      </c>
      <c r="B1770" s="6">
        <v>46080</v>
      </c>
      <c r="C1770" t="s">
        <v>18</v>
      </c>
      <c r="D1770" t="s">
        <v>64</v>
      </c>
      <c r="E1770" t="s">
        <v>42</v>
      </c>
      <c r="F1770" t="s">
        <v>2146</v>
      </c>
      <c r="G1770" t="s">
        <v>44</v>
      </c>
      <c r="H1770" t="s">
        <v>78</v>
      </c>
      <c r="I1770" t="s">
        <v>89</v>
      </c>
      <c r="J1770" s="9">
        <v>1</v>
      </c>
      <c r="K1770" s="7">
        <v>8800</v>
      </c>
      <c r="L1770" s="7">
        <v>0</v>
      </c>
      <c r="M1770" s="9"/>
      <c r="N1770" s="7">
        <v>9</v>
      </c>
      <c r="O1770" s="7"/>
      <c r="P1770" s="7"/>
      <c r="Q1770" t="s">
        <v>89</v>
      </c>
      <c r="R1770" s="7" t="str">
        <f>TEXT(Table1[[#This Row],[Date]],"mmm yyyy")</f>
        <v>Feb 2026</v>
      </c>
      <c r="S1770" s="9">
        <f>YEAR(Table1[[#This Row],[Date]])</f>
        <v>2026</v>
      </c>
      <c r="T1770" s="9"/>
      <c r="U1770" s="9"/>
    </row>
    <row r="1771" spans="1:21" x14ac:dyDescent="0.3">
      <c r="A1771" t="s">
        <v>2473</v>
      </c>
      <c r="B1771" s="6">
        <v>46202</v>
      </c>
      <c r="C1771" t="s">
        <v>18</v>
      </c>
      <c r="D1771" t="s">
        <v>41</v>
      </c>
      <c r="E1771" t="s">
        <v>48</v>
      </c>
      <c r="F1771" t="s">
        <v>124</v>
      </c>
      <c r="G1771" t="s">
        <v>50</v>
      </c>
      <c r="H1771" t="s">
        <v>78</v>
      </c>
      <c r="I1771" t="s">
        <v>67</v>
      </c>
      <c r="J1771" s="9">
        <v>1</v>
      </c>
      <c r="K1771" s="7">
        <v>15000</v>
      </c>
      <c r="L1771" s="7">
        <v>0</v>
      </c>
      <c r="M1771" s="9"/>
      <c r="N1771" s="7">
        <v>11.1</v>
      </c>
      <c r="O1771" s="7"/>
      <c r="P1771" s="7"/>
      <c r="Q1771" t="s">
        <v>67</v>
      </c>
      <c r="R1771" s="7" t="str">
        <f>TEXT(Table1[[#This Row],[Date]],"mmm yyyy")</f>
        <v>Jun 2026</v>
      </c>
      <c r="S1771" s="9">
        <f>YEAR(Table1[[#This Row],[Date]])</f>
        <v>2026</v>
      </c>
      <c r="T1771" s="9"/>
      <c r="U1771" s="9"/>
    </row>
    <row r="1772" spans="1:21" x14ac:dyDescent="0.3">
      <c r="A1772" t="s">
        <v>2474</v>
      </c>
      <c r="B1772" s="6">
        <v>46214</v>
      </c>
      <c r="C1772" t="s">
        <v>18</v>
      </c>
      <c r="D1772" t="s">
        <v>105</v>
      </c>
      <c r="E1772" t="s">
        <v>20</v>
      </c>
      <c r="F1772" t="s">
        <v>1757</v>
      </c>
      <c r="G1772" t="s">
        <v>22</v>
      </c>
      <c r="H1772" t="s">
        <v>23</v>
      </c>
      <c r="I1772" t="s">
        <v>55</v>
      </c>
      <c r="J1772" s="9">
        <v>1</v>
      </c>
      <c r="K1772" s="7">
        <v>26000</v>
      </c>
      <c r="L1772" s="7">
        <v>0</v>
      </c>
      <c r="M1772" s="9"/>
      <c r="N1772" s="7">
        <v>21.7</v>
      </c>
      <c r="O1772" s="7"/>
      <c r="P1772" s="7"/>
      <c r="Q1772" t="s">
        <v>55</v>
      </c>
      <c r="R1772" s="7" t="str">
        <f>TEXT(Table1[[#This Row],[Date]],"mmm yyyy")</f>
        <v>Jul 2026</v>
      </c>
      <c r="S1772" s="9">
        <f>YEAR(Table1[[#This Row],[Date]])</f>
        <v>2026</v>
      </c>
      <c r="T1772" s="9"/>
      <c r="U1772" s="9"/>
    </row>
    <row r="1773" spans="1:21" hidden="1" x14ac:dyDescent="0.3">
      <c r="A1773" t="s">
        <v>2475</v>
      </c>
      <c r="B1773" s="6">
        <v>46109</v>
      </c>
      <c r="C1773" t="s">
        <v>26</v>
      </c>
      <c r="D1773" t="s">
        <v>126</v>
      </c>
      <c r="E1773" t="s">
        <v>37</v>
      </c>
      <c r="F1773" t="s">
        <v>1311</v>
      </c>
      <c r="G1773" t="s">
        <v>50</v>
      </c>
      <c r="J1773" s="9">
        <v>0</v>
      </c>
      <c r="K1773" s="7">
        <v>0</v>
      </c>
      <c r="L1773" s="7">
        <v>0</v>
      </c>
      <c r="M1773" s="9">
        <v>1</v>
      </c>
      <c r="N1773" s="7">
        <v>11.6</v>
      </c>
      <c r="O1773" s="7">
        <v>7</v>
      </c>
      <c r="P1773" s="7">
        <v>4.5999999999999996</v>
      </c>
      <c r="Q1773" t="s">
        <v>225</v>
      </c>
      <c r="R1773" s="7" t="str">
        <f>TEXT(Table1[[#This Row],[Date]],"mmm yyyy")</f>
        <v>Mar 2026</v>
      </c>
      <c r="S1773" s="9">
        <f>YEAR(Table1[[#This Row],[Date]])</f>
        <v>2026</v>
      </c>
      <c r="T1773" s="9"/>
      <c r="U1773" s="9"/>
    </row>
    <row r="1774" spans="1:21" hidden="1" x14ac:dyDescent="0.3">
      <c r="A1774" t="s">
        <v>2476</v>
      </c>
      <c r="B1774" s="6">
        <v>46098</v>
      </c>
      <c r="C1774" t="s">
        <v>26</v>
      </c>
      <c r="D1774" t="s">
        <v>232</v>
      </c>
      <c r="E1774" t="s">
        <v>37</v>
      </c>
      <c r="F1774" t="s">
        <v>43</v>
      </c>
      <c r="G1774" t="s">
        <v>50</v>
      </c>
      <c r="J1774" s="9">
        <v>0</v>
      </c>
      <c r="K1774" s="7">
        <v>0</v>
      </c>
      <c r="L1774" s="7">
        <v>0</v>
      </c>
      <c r="M1774" s="9">
        <v>1</v>
      </c>
      <c r="N1774" s="7">
        <v>4.5</v>
      </c>
      <c r="O1774" s="7">
        <v>7.6</v>
      </c>
      <c r="P1774" s="7">
        <v>4</v>
      </c>
      <c r="Q1774" t="s">
        <v>39</v>
      </c>
      <c r="R1774" s="7" t="str">
        <f>TEXT(Table1[[#This Row],[Date]],"mmm yyyy")</f>
        <v>Mar 2026</v>
      </c>
      <c r="S1774" s="9">
        <f>YEAR(Table1[[#This Row],[Date]])</f>
        <v>2026</v>
      </c>
      <c r="T1774" s="9"/>
      <c r="U1774" s="9"/>
    </row>
    <row r="1775" spans="1:21" hidden="1" x14ac:dyDescent="0.3">
      <c r="A1775" t="s">
        <v>2477</v>
      </c>
      <c r="B1775" s="6">
        <v>46012</v>
      </c>
      <c r="C1775" t="s">
        <v>26</v>
      </c>
      <c r="D1775" t="s">
        <v>126</v>
      </c>
      <c r="E1775" t="s">
        <v>48</v>
      </c>
      <c r="F1775" t="s">
        <v>467</v>
      </c>
      <c r="G1775" t="s">
        <v>30</v>
      </c>
      <c r="J1775" s="9">
        <v>0</v>
      </c>
      <c r="K1775" s="7">
        <v>0</v>
      </c>
      <c r="L1775" s="7">
        <v>0</v>
      </c>
      <c r="M1775" s="9">
        <v>1</v>
      </c>
      <c r="N1775" s="7">
        <v>1.3</v>
      </c>
      <c r="O1775" s="7">
        <v>14.5</v>
      </c>
      <c r="P1775" s="7">
        <v>4.5999999999999996</v>
      </c>
      <c r="Q1775" t="s">
        <v>31</v>
      </c>
      <c r="R1775" s="7" t="str">
        <f>TEXT(Table1[[#This Row],[Date]],"mmm yyyy")</f>
        <v>Dec 2025</v>
      </c>
      <c r="S1775" s="9">
        <f>YEAR(Table1[[#This Row],[Date]])</f>
        <v>2025</v>
      </c>
      <c r="T1775" s="9"/>
      <c r="U1775" s="9"/>
    </row>
    <row r="1776" spans="1:21" hidden="1" x14ac:dyDescent="0.3">
      <c r="A1776" t="s">
        <v>2478</v>
      </c>
      <c r="B1776" s="6">
        <v>46204</v>
      </c>
      <c r="C1776" t="s">
        <v>26</v>
      </c>
      <c r="D1776" t="s">
        <v>27</v>
      </c>
      <c r="E1776" t="s">
        <v>48</v>
      </c>
      <c r="F1776" t="s">
        <v>140</v>
      </c>
      <c r="G1776" t="s">
        <v>22</v>
      </c>
      <c r="J1776" s="9">
        <v>0</v>
      </c>
      <c r="K1776" s="7">
        <v>0</v>
      </c>
      <c r="L1776" s="7">
        <v>0</v>
      </c>
      <c r="M1776" s="9">
        <v>1</v>
      </c>
      <c r="N1776" s="7">
        <v>10.9</v>
      </c>
      <c r="O1776" s="7">
        <v>6.1</v>
      </c>
      <c r="P1776" s="7">
        <v>4.5</v>
      </c>
      <c r="Q1776" t="s">
        <v>31</v>
      </c>
      <c r="R1776" s="7" t="str">
        <f>TEXT(Table1[[#This Row],[Date]],"mmm yyyy")</f>
        <v>Jul 2026</v>
      </c>
      <c r="S1776" s="9">
        <f>YEAR(Table1[[#This Row],[Date]])</f>
        <v>2026</v>
      </c>
      <c r="T1776" s="9"/>
      <c r="U1776" s="9"/>
    </row>
    <row r="1777" spans="1:21" x14ac:dyDescent="0.3">
      <c r="A1777" t="s">
        <v>2479</v>
      </c>
      <c r="B1777" s="6">
        <v>46032</v>
      </c>
      <c r="C1777" t="s">
        <v>18</v>
      </c>
      <c r="D1777" t="s">
        <v>105</v>
      </c>
      <c r="E1777" t="s">
        <v>20</v>
      </c>
      <c r="F1777" t="s">
        <v>248</v>
      </c>
      <c r="G1777" t="s">
        <v>22</v>
      </c>
      <c r="H1777" t="s">
        <v>23</v>
      </c>
      <c r="I1777" t="s">
        <v>89</v>
      </c>
      <c r="J1777" s="9">
        <v>1</v>
      </c>
      <c r="K1777" s="7">
        <v>13000</v>
      </c>
      <c r="L1777" s="7">
        <v>0</v>
      </c>
      <c r="M1777" s="9"/>
      <c r="N1777" s="7">
        <v>18.600000000000001</v>
      </c>
      <c r="O1777" s="7"/>
      <c r="P1777" s="7"/>
      <c r="Q1777" t="s">
        <v>89</v>
      </c>
      <c r="R1777" s="7" t="str">
        <f>TEXT(Table1[[#This Row],[Date]],"mmm yyyy")</f>
        <v>Jan 2026</v>
      </c>
      <c r="S1777" s="9">
        <f>YEAR(Table1[[#This Row],[Date]])</f>
        <v>2026</v>
      </c>
      <c r="T1777" s="9"/>
      <c r="U1777" s="9"/>
    </row>
    <row r="1778" spans="1:21" hidden="1" x14ac:dyDescent="0.3">
      <c r="A1778" t="s">
        <v>2480</v>
      </c>
      <c r="B1778" s="6">
        <v>46109</v>
      </c>
      <c r="C1778" t="s">
        <v>26</v>
      </c>
      <c r="D1778" t="s">
        <v>232</v>
      </c>
      <c r="E1778" t="s">
        <v>20</v>
      </c>
      <c r="F1778" t="s">
        <v>1205</v>
      </c>
      <c r="G1778" t="s">
        <v>44</v>
      </c>
      <c r="J1778" s="9">
        <v>0</v>
      </c>
      <c r="K1778" s="7">
        <v>0</v>
      </c>
      <c r="L1778" s="7">
        <v>0</v>
      </c>
      <c r="M1778" s="9">
        <v>1</v>
      </c>
      <c r="N1778" s="7">
        <v>11.5</v>
      </c>
      <c r="O1778" s="7">
        <v>5.2</v>
      </c>
      <c r="P1778" s="7">
        <v>3.9</v>
      </c>
      <c r="Q1778" t="s">
        <v>39</v>
      </c>
      <c r="R1778" s="7" t="str">
        <f>TEXT(Table1[[#This Row],[Date]],"mmm yyyy")</f>
        <v>Mar 2026</v>
      </c>
      <c r="S1778" s="9">
        <f>YEAR(Table1[[#This Row],[Date]])</f>
        <v>2026</v>
      </c>
      <c r="T1778" s="9"/>
      <c r="U1778" s="9"/>
    </row>
    <row r="1779" spans="1:21" x14ac:dyDescent="0.3">
      <c r="A1779" t="s">
        <v>2481</v>
      </c>
      <c r="B1779" s="6">
        <v>46258</v>
      </c>
      <c r="C1779" t="s">
        <v>18</v>
      </c>
      <c r="D1779" t="s">
        <v>52</v>
      </c>
      <c r="E1779" t="s">
        <v>28</v>
      </c>
      <c r="F1779" t="s">
        <v>587</v>
      </c>
      <c r="G1779" t="s">
        <v>50</v>
      </c>
      <c r="H1779" t="s">
        <v>78</v>
      </c>
      <c r="I1779" t="s">
        <v>67</v>
      </c>
      <c r="J1779" s="9">
        <v>1</v>
      </c>
      <c r="K1779" s="7">
        <v>40900</v>
      </c>
      <c r="L1779" s="7">
        <v>0</v>
      </c>
      <c r="M1779" s="9"/>
      <c r="N1779" s="7">
        <v>17.3</v>
      </c>
      <c r="O1779" s="7"/>
      <c r="P1779" s="7"/>
      <c r="Q1779" t="s">
        <v>67</v>
      </c>
      <c r="R1779" s="7" t="str">
        <f>TEXT(Table1[[#This Row],[Date]],"mmm yyyy")</f>
        <v>Aug 2026</v>
      </c>
      <c r="S1779" s="9">
        <f>YEAR(Table1[[#This Row],[Date]])</f>
        <v>2026</v>
      </c>
      <c r="T1779" s="9"/>
      <c r="U1779" s="9"/>
    </row>
    <row r="1780" spans="1:21" x14ac:dyDescent="0.3">
      <c r="A1780" t="s">
        <v>2482</v>
      </c>
      <c r="B1780" s="6">
        <v>45955</v>
      </c>
      <c r="C1780" t="s">
        <v>18</v>
      </c>
      <c r="D1780" t="s">
        <v>105</v>
      </c>
      <c r="E1780" t="s">
        <v>20</v>
      </c>
      <c r="F1780" t="s">
        <v>1599</v>
      </c>
      <c r="G1780" t="s">
        <v>50</v>
      </c>
      <c r="H1780" t="s">
        <v>54</v>
      </c>
      <c r="I1780" t="s">
        <v>55</v>
      </c>
      <c r="J1780" s="9">
        <v>1</v>
      </c>
      <c r="K1780" s="7">
        <v>23200</v>
      </c>
      <c r="L1780" s="7">
        <v>0</v>
      </c>
      <c r="M1780" s="9"/>
      <c r="N1780" s="7">
        <v>15.1</v>
      </c>
      <c r="O1780" s="7"/>
      <c r="P1780" s="7"/>
      <c r="Q1780" t="s">
        <v>55</v>
      </c>
      <c r="R1780" s="7" t="str">
        <f>TEXT(Table1[[#This Row],[Date]],"mmm yyyy")</f>
        <v>Oct 2025</v>
      </c>
      <c r="S1780" s="9">
        <f>YEAR(Table1[[#This Row],[Date]])</f>
        <v>2025</v>
      </c>
      <c r="T1780" s="9"/>
      <c r="U1780" s="9"/>
    </row>
    <row r="1781" spans="1:21" hidden="1" x14ac:dyDescent="0.3">
      <c r="A1781" t="s">
        <v>2483</v>
      </c>
      <c r="B1781" s="6">
        <v>46028</v>
      </c>
      <c r="C1781" t="s">
        <v>26</v>
      </c>
      <c r="D1781" t="s">
        <v>33</v>
      </c>
      <c r="E1781" t="s">
        <v>20</v>
      </c>
      <c r="F1781" t="s">
        <v>1864</v>
      </c>
      <c r="G1781" t="s">
        <v>44</v>
      </c>
      <c r="J1781" s="9">
        <v>0</v>
      </c>
      <c r="K1781" s="7">
        <v>0</v>
      </c>
      <c r="L1781" s="7">
        <v>0</v>
      </c>
      <c r="M1781" s="9">
        <v>1</v>
      </c>
      <c r="N1781" s="7">
        <v>11.3</v>
      </c>
      <c r="O1781" s="7">
        <v>19.899999999999999</v>
      </c>
      <c r="P1781" s="7">
        <v>5</v>
      </c>
      <c r="Q1781" t="s">
        <v>39</v>
      </c>
      <c r="R1781" s="7" t="str">
        <f>TEXT(Table1[[#This Row],[Date]],"mmm yyyy")</f>
        <v>Jan 2026</v>
      </c>
      <c r="S1781" s="9">
        <f>YEAR(Table1[[#This Row],[Date]])</f>
        <v>2026</v>
      </c>
      <c r="T1781" s="9"/>
      <c r="U1781" s="9"/>
    </row>
    <row r="1782" spans="1:21" x14ac:dyDescent="0.3">
      <c r="A1782" t="s">
        <v>2484</v>
      </c>
      <c r="B1782" s="6">
        <v>46216</v>
      </c>
      <c r="C1782" t="s">
        <v>18</v>
      </c>
      <c r="D1782" t="s">
        <v>52</v>
      </c>
      <c r="E1782" t="s">
        <v>42</v>
      </c>
      <c r="F1782" t="s">
        <v>643</v>
      </c>
      <c r="G1782" t="s">
        <v>22</v>
      </c>
      <c r="H1782" t="s">
        <v>66</v>
      </c>
      <c r="I1782" t="s">
        <v>24</v>
      </c>
      <c r="J1782" s="9">
        <v>1</v>
      </c>
      <c r="K1782" s="7">
        <v>30600</v>
      </c>
      <c r="L1782" s="7">
        <v>30600</v>
      </c>
      <c r="M1782" s="9"/>
      <c r="N1782" s="7">
        <v>20.5</v>
      </c>
      <c r="O1782" s="7"/>
      <c r="P1782" s="7"/>
      <c r="Q1782" t="s">
        <v>24</v>
      </c>
      <c r="R1782" s="7" t="str">
        <f>TEXT(Table1[[#This Row],[Date]],"mmm yyyy")</f>
        <v>Jul 2026</v>
      </c>
      <c r="S1782" s="9">
        <f>YEAR(Table1[[#This Row],[Date]])</f>
        <v>2026</v>
      </c>
      <c r="T1782" s="9"/>
      <c r="U1782" s="9"/>
    </row>
    <row r="1783" spans="1:21" hidden="1" x14ac:dyDescent="0.3">
      <c r="A1783" t="s">
        <v>2485</v>
      </c>
      <c r="B1783" s="6">
        <v>45931</v>
      </c>
      <c r="C1783" t="s">
        <v>26</v>
      </c>
      <c r="D1783" t="s">
        <v>27</v>
      </c>
      <c r="E1783" t="s">
        <v>28</v>
      </c>
      <c r="F1783" t="s">
        <v>1733</v>
      </c>
      <c r="G1783" t="s">
        <v>44</v>
      </c>
      <c r="J1783" s="9">
        <v>0</v>
      </c>
      <c r="K1783" s="7">
        <v>0</v>
      </c>
      <c r="L1783" s="7">
        <v>0</v>
      </c>
      <c r="M1783" s="9">
        <v>1</v>
      </c>
      <c r="N1783" s="7">
        <v>0.9</v>
      </c>
      <c r="O1783" s="7">
        <v>6.6</v>
      </c>
      <c r="P1783" s="7">
        <v>4.5</v>
      </c>
      <c r="Q1783" t="s">
        <v>31</v>
      </c>
      <c r="R1783" s="7" t="str">
        <f>TEXT(Table1[[#This Row],[Date]],"mmm yyyy")</f>
        <v>Oct 2025</v>
      </c>
      <c r="S1783" s="9">
        <f>YEAR(Table1[[#This Row],[Date]])</f>
        <v>2025</v>
      </c>
      <c r="T1783" s="9"/>
      <c r="U1783" s="9"/>
    </row>
    <row r="1784" spans="1:21" x14ac:dyDescent="0.3">
      <c r="A1784" t="s">
        <v>2486</v>
      </c>
      <c r="B1784" s="6">
        <v>46100</v>
      </c>
      <c r="C1784" t="s">
        <v>18</v>
      </c>
      <c r="D1784" t="s">
        <v>52</v>
      </c>
      <c r="E1784" t="s">
        <v>48</v>
      </c>
      <c r="F1784" t="s">
        <v>1146</v>
      </c>
      <c r="G1784" t="s">
        <v>22</v>
      </c>
      <c r="H1784" t="s">
        <v>66</v>
      </c>
      <c r="I1784" t="s">
        <v>45</v>
      </c>
      <c r="J1784" s="9">
        <v>1</v>
      </c>
      <c r="K1784" s="7">
        <v>27200</v>
      </c>
      <c r="L1784" s="7">
        <v>0</v>
      </c>
      <c r="M1784" s="9"/>
      <c r="N1784" s="7">
        <v>1.2</v>
      </c>
      <c r="O1784" s="7"/>
      <c r="P1784" s="7"/>
      <c r="Q1784" t="s">
        <v>45</v>
      </c>
      <c r="R1784" s="7" t="str">
        <f>TEXT(Table1[[#This Row],[Date]],"mmm yyyy")</f>
        <v>Mar 2026</v>
      </c>
      <c r="S1784" s="9">
        <f>YEAR(Table1[[#This Row],[Date]])</f>
        <v>2026</v>
      </c>
      <c r="T1784" s="9"/>
      <c r="U1784" s="9"/>
    </row>
    <row r="1785" spans="1:21" hidden="1" x14ac:dyDescent="0.3">
      <c r="A1785" t="s">
        <v>2487</v>
      </c>
      <c r="B1785" s="6">
        <v>46060</v>
      </c>
      <c r="C1785" t="s">
        <v>26</v>
      </c>
      <c r="D1785" t="s">
        <v>33</v>
      </c>
      <c r="E1785" t="s">
        <v>42</v>
      </c>
      <c r="F1785" t="s">
        <v>570</v>
      </c>
      <c r="G1785" t="s">
        <v>22</v>
      </c>
      <c r="J1785" s="9">
        <v>0</v>
      </c>
      <c r="K1785" s="7">
        <v>0</v>
      </c>
      <c r="L1785" s="7">
        <v>0</v>
      </c>
      <c r="M1785" s="9">
        <v>1</v>
      </c>
      <c r="N1785" s="7">
        <v>5.9</v>
      </c>
      <c r="O1785" s="7">
        <v>2.1</v>
      </c>
      <c r="P1785" s="7">
        <v>5</v>
      </c>
      <c r="Q1785" t="s">
        <v>31</v>
      </c>
      <c r="R1785" s="7" t="str">
        <f>TEXT(Table1[[#This Row],[Date]],"mmm yyyy")</f>
        <v>Feb 2026</v>
      </c>
      <c r="S1785" s="9">
        <f>YEAR(Table1[[#This Row],[Date]])</f>
        <v>2026</v>
      </c>
      <c r="T1785" s="9"/>
      <c r="U1785" s="9"/>
    </row>
    <row r="1786" spans="1:21" hidden="1" x14ac:dyDescent="0.3">
      <c r="A1786" t="s">
        <v>2488</v>
      </c>
      <c r="B1786" s="6">
        <v>46146</v>
      </c>
      <c r="C1786" t="s">
        <v>26</v>
      </c>
      <c r="D1786" t="s">
        <v>72</v>
      </c>
      <c r="E1786" t="s">
        <v>48</v>
      </c>
      <c r="F1786" t="s">
        <v>1278</v>
      </c>
      <c r="G1786" t="s">
        <v>44</v>
      </c>
      <c r="J1786" s="9">
        <v>0</v>
      </c>
      <c r="K1786" s="7">
        <v>0</v>
      </c>
      <c r="L1786" s="7">
        <v>0</v>
      </c>
      <c r="M1786" s="9">
        <v>1</v>
      </c>
      <c r="N1786" s="7">
        <v>8.8000000000000007</v>
      </c>
      <c r="O1786" s="7">
        <v>12.1</v>
      </c>
      <c r="P1786" s="7">
        <v>3.7</v>
      </c>
      <c r="Q1786" t="s">
        <v>39</v>
      </c>
      <c r="R1786" s="7" t="str">
        <f>TEXT(Table1[[#This Row],[Date]],"mmm yyyy")</f>
        <v>May 2026</v>
      </c>
      <c r="S1786" s="9">
        <f>YEAR(Table1[[#This Row],[Date]])</f>
        <v>2026</v>
      </c>
      <c r="T1786" s="9"/>
      <c r="U1786" s="9"/>
    </row>
    <row r="1787" spans="1:21" hidden="1" x14ac:dyDescent="0.3">
      <c r="A1787" t="s">
        <v>2489</v>
      </c>
      <c r="B1787" s="6">
        <v>45903</v>
      </c>
      <c r="C1787" t="s">
        <v>26</v>
      </c>
      <c r="D1787" t="s">
        <v>69</v>
      </c>
      <c r="E1787" t="s">
        <v>20</v>
      </c>
      <c r="F1787" t="s">
        <v>1416</v>
      </c>
      <c r="G1787" t="s">
        <v>22</v>
      </c>
      <c r="J1787" s="9">
        <v>0</v>
      </c>
      <c r="K1787" s="7">
        <v>0</v>
      </c>
      <c r="L1787" s="7">
        <v>0</v>
      </c>
      <c r="M1787" s="9">
        <v>1</v>
      </c>
      <c r="N1787" s="7">
        <v>2.1</v>
      </c>
      <c r="O1787" s="7">
        <v>14</v>
      </c>
      <c r="P1787" s="7">
        <v>4</v>
      </c>
      <c r="Q1787" t="s">
        <v>39</v>
      </c>
      <c r="R1787" s="7" t="str">
        <f>TEXT(Table1[[#This Row],[Date]],"mmm yyyy")</f>
        <v>Sep 2025</v>
      </c>
      <c r="S1787" s="9">
        <f>YEAR(Table1[[#This Row],[Date]])</f>
        <v>2025</v>
      </c>
      <c r="T1787" s="9"/>
      <c r="U1787" s="9"/>
    </row>
    <row r="1788" spans="1:21" hidden="1" x14ac:dyDescent="0.3">
      <c r="A1788" t="s">
        <v>2490</v>
      </c>
      <c r="B1788" s="6">
        <v>46116</v>
      </c>
      <c r="C1788" t="s">
        <v>26</v>
      </c>
      <c r="D1788" t="s">
        <v>232</v>
      </c>
      <c r="E1788" t="s">
        <v>20</v>
      </c>
      <c r="F1788" t="s">
        <v>312</v>
      </c>
      <c r="G1788" t="s">
        <v>22</v>
      </c>
      <c r="J1788" s="9">
        <v>0</v>
      </c>
      <c r="K1788" s="7">
        <v>0</v>
      </c>
      <c r="L1788" s="7">
        <v>0</v>
      </c>
      <c r="M1788" s="9">
        <v>1</v>
      </c>
      <c r="N1788" s="7">
        <v>10.5</v>
      </c>
      <c r="O1788" s="7">
        <v>23.2</v>
      </c>
      <c r="P1788" s="7">
        <v>3.4</v>
      </c>
      <c r="Q1788" t="s">
        <v>39</v>
      </c>
      <c r="R1788" s="7" t="str">
        <f>TEXT(Table1[[#This Row],[Date]],"mmm yyyy")</f>
        <v>Apr 2026</v>
      </c>
      <c r="S1788" s="9">
        <f>YEAR(Table1[[#This Row],[Date]])</f>
        <v>2026</v>
      </c>
      <c r="T1788" s="9"/>
      <c r="U1788" s="9"/>
    </row>
    <row r="1789" spans="1:21" hidden="1" x14ac:dyDescent="0.3">
      <c r="A1789" t="s">
        <v>2491</v>
      </c>
      <c r="B1789" s="6">
        <v>45998</v>
      </c>
      <c r="C1789" t="s">
        <v>26</v>
      </c>
      <c r="D1789" t="s">
        <v>114</v>
      </c>
      <c r="E1789" t="s">
        <v>42</v>
      </c>
      <c r="F1789" t="s">
        <v>358</v>
      </c>
      <c r="G1789" t="s">
        <v>44</v>
      </c>
      <c r="J1789" s="9">
        <v>0</v>
      </c>
      <c r="K1789" s="7">
        <v>0</v>
      </c>
      <c r="L1789" s="7">
        <v>0</v>
      </c>
      <c r="M1789" s="9">
        <v>1</v>
      </c>
      <c r="N1789" s="7">
        <v>7.4</v>
      </c>
      <c r="O1789" s="7">
        <v>9.5</v>
      </c>
      <c r="P1789" s="7">
        <v>4.2</v>
      </c>
      <c r="Q1789" t="s">
        <v>31</v>
      </c>
      <c r="R1789" s="7" t="str">
        <f>TEXT(Table1[[#This Row],[Date]],"mmm yyyy")</f>
        <v>Dec 2025</v>
      </c>
      <c r="S1789" s="9">
        <f>YEAR(Table1[[#This Row],[Date]])</f>
        <v>2025</v>
      </c>
      <c r="T1789" s="9"/>
      <c r="U1789" s="9"/>
    </row>
    <row r="1790" spans="1:21" x14ac:dyDescent="0.3">
      <c r="A1790" t="s">
        <v>2492</v>
      </c>
      <c r="B1790" s="6">
        <v>46083</v>
      </c>
      <c r="C1790" t="s">
        <v>18</v>
      </c>
      <c r="D1790" t="s">
        <v>95</v>
      </c>
      <c r="E1790" t="s">
        <v>42</v>
      </c>
      <c r="F1790" t="s">
        <v>1273</v>
      </c>
      <c r="G1790" t="s">
        <v>50</v>
      </c>
      <c r="H1790" t="s">
        <v>54</v>
      </c>
      <c r="I1790" t="s">
        <v>79</v>
      </c>
      <c r="J1790" s="9">
        <v>1</v>
      </c>
      <c r="K1790" s="7">
        <v>54400</v>
      </c>
      <c r="L1790" s="7">
        <v>0</v>
      </c>
      <c r="M1790" s="9"/>
      <c r="N1790" s="7">
        <v>11.6</v>
      </c>
      <c r="O1790" s="7"/>
      <c r="P1790" s="7"/>
      <c r="Q1790" t="s">
        <v>79</v>
      </c>
      <c r="R1790" s="7" t="str">
        <f>TEXT(Table1[[#This Row],[Date]],"mmm yyyy")</f>
        <v>Mar 2026</v>
      </c>
      <c r="S1790" s="9">
        <f>YEAR(Table1[[#This Row],[Date]])</f>
        <v>2026</v>
      </c>
      <c r="T1790" s="9"/>
      <c r="U1790" s="9"/>
    </row>
    <row r="1791" spans="1:21" x14ac:dyDescent="0.3">
      <c r="A1791" t="s">
        <v>2493</v>
      </c>
      <c r="B1791" s="6">
        <v>46136</v>
      </c>
      <c r="C1791" t="s">
        <v>18</v>
      </c>
      <c r="D1791" t="s">
        <v>64</v>
      </c>
      <c r="E1791" t="s">
        <v>48</v>
      </c>
      <c r="F1791" t="s">
        <v>685</v>
      </c>
      <c r="G1791" t="s">
        <v>44</v>
      </c>
      <c r="H1791" t="s">
        <v>78</v>
      </c>
      <c r="I1791" t="s">
        <v>67</v>
      </c>
      <c r="J1791" s="9">
        <v>1</v>
      </c>
      <c r="K1791" s="7">
        <v>7200</v>
      </c>
      <c r="L1791" s="7">
        <v>0</v>
      </c>
      <c r="M1791" s="9"/>
      <c r="N1791" s="7">
        <v>7.8</v>
      </c>
      <c r="O1791" s="7"/>
      <c r="P1791" s="7"/>
      <c r="Q1791" t="s">
        <v>67</v>
      </c>
      <c r="R1791" s="7" t="str">
        <f>TEXT(Table1[[#This Row],[Date]],"mmm yyyy")</f>
        <v>Apr 2026</v>
      </c>
      <c r="S1791" s="9">
        <f>YEAR(Table1[[#This Row],[Date]])</f>
        <v>2026</v>
      </c>
      <c r="T1791" s="9"/>
      <c r="U1791" s="9"/>
    </row>
    <row r="1792" spans="1:21" x14ac:dyDescent="0.3">
      <c r="A1792" t="s">
        <v>2494</v>
      </c>
      <c r="B1792" s="6">
        <v>45960</v>
      </c>
      <c r="C1792" t="s">
        <v>18</v>
      </c>
      <c r="D1792" t="s">
        <v>95</v>
      </c>
      <c r="E1792" t="s">
        <v>48</v>
      </c>
      <c r="F1792" t="s">
        <v>197</v>
      </c>
      <c r="G1792" t="s">
        <v>30</v>
      </c>
      <c r="H1792" t="s">
        <v>86</v>
      </c>
      <c r="I1792" t="s">
        <v>89</v>
      </c>
      <c r="J1792" s="9">
        <v>1</v>
      </c>
      <c r="K1792" s="7">
        <v>17900</v>
      </c>
      <c r="L1792" s="7">
        <v>0</v>
      </c>
      <c r="M1792" s="9"/>
      <c r="N1792" s="7">
        <v>19.3</v>
      </c>
      <c r="O1792" s="7"/>
      <c r="P1792" s="7"/>
      <c r="Q1792" t="s">
        <v>89</v>
      </c>
      <c r="R1792" s="7" t="str">
        <f>TEXT(Table1[[#This Row],[Date]],"mmm yyyy")</f>
        <v>Oct 2025</v>
      </c>
      <c r="S1792" s="9">
        <f>YEAR(Table1[[#This Row],[Date]])</f>
        <v>2025</v>
      </c>
      <c r="T1792" s="9"/>
      <c r="U1792" s="9"/>
    </row>
    <row r="1793" spans="1:21" hidden="1" x14ac:dyDescent="0.3">
      <c r="A1793" t="s">
        <v>2495</v>
      </c>
      <c r="B1793" s="6">
        <v>46060</v>
      </c>
      <c r="C1793" t="s">
        <v>26</v>
      </c>
      <c r="D1793" t="s">
        <v>27</v>
      </c>
      <c r="E1793" t="s">
        <v>48</v>
      </c>
      <c r="F1793" t="s">
        <v>131</v>
      </c>
      <c r="G1793" t="s">
        <v>30</v>
      </c>
      <c r="J1793" s="9">
        <v>0</v>
      </c>
      <c r="K1793" s="7">
        <v>0</v>
      </c>
      <c r="L1793" s="7">
        <v>0</v>
      </c>
      <c r="M1793" s="9">
        <v>1</v>
      </c>
      <c r="N1793" s="7">
        <v>3</v>
      </c>
      <c r="O1793" s="7">
        <v>11</v>
      </c>
      <c r="P1793" s="7">
        <v>5</v>
      </c>
      <c r="Q1793" t="s">
        <v>39</v>
      </c>
      <c r="R1793" s="7" t="str">
        <f>TEXT(Table1[[#This Row],[Date]],"mmm yyyy")</f>
        <v>Feb 2026</v>
      </c>
      <c r="S1793" s="9">
        <f>YEAR(Table1[[#This Row],[Date]])</f>
        <v>2026</v>
      </c>
      <c r="T1793" s="9"/>
      <c r="U1793" s="9"/>
    </row>
    <row r="1794" spans="1:21" x14ac:dyDescent="0.3">
      <c r="A1794" t="s">
        <v>2496</v>
      </c>
      <c r="B1794" s="6">
        <v>46086</v>
      </c>
      <c r="C1794" t="s">
        <v>18</v>
      </c>
      <c r="D1794" t="s">
        <v>19</v>
      </c>
      <c r="E1794" t="s">
        <v>20</v>
      </c>
      <c r="F1794" t="s">
        <v>616</v>
      </c>
      <c r="G1794" t="s">
        <v>22</v>
      </c>
      <c r="H1794" t="s">
        <v>86</v>
      </c>
      <c r="I1794" t="s">
        <v>89</v>
      </c>
      <c r="J1794" s="9">
        <v>1</v>
      </c>
      <c r="K1794" s="7">
        <v>32500</v>
      </c>
      <c r="L1794" s="7">
        <v>0</v>
      </c>
      <c r="M1794" s="9"/>
      <c r="N1794" s="7">
        <v>6.3</v>
      </c>
      <c r="O1794" s="7"/>
      <c r="P1794" s="7"/>
      <c r="Q1794" t="s">
        <v>89</v>
      </c>
      <c r="R1794" s="7" t="str">
        <f>TEXT(Table1[[#This Row],[Date]],"mmm yyyy")</f>
        <v>Mar 2026</v>
      </c>
      <c r="S1794" s="9">
        <f>YEAR(Table1[[#This Row],[Date]])</f>
        <v>2026</v>
      </c>
      <c r="T1794" s="9"/>
      <c r="U1794" s="9"/>
    </row>
    <row r="1795" spans="1:21" hidden="1" x14ac:dyDescent="0.3">
      <c r="A1795" t="s">
        <v>2497</v>
      </c>
      <c r="B1795" s="6">
        <v>46191</v>
      </c>
      <c r="C1795" t="s">
        <v>26</v>
      </c>
      <c r="D1795" t="s">
        <v>36</v>
      </c>
      <c r="E1795" t="s">
        <v>20</v>
      </c>
      <c r="F1795" t="s">
        <v>170</v>
      </c>
      <c r="G1795" t="s">
        <v>22</v>
      </c>
      <c r="J1795" s="9">
        <v>0</v>
      </c>
      <c r="K1795" s="7">
        <v>0</v>
      </c>
      <c r="L1795" s="7">
        <v>0</v>
      </c>
      <c r="M1795" s="9">
        <v>1</v>
      </c>
      <c r="N1795" s="7">
        <v>10.199999999999999</v>
      </c>
      <c r="O1795" s="7">
        <v>9.4</v>
      </c>
      <c r="P1795" s="7">
        <v>3.2</v>
      </c>
      <c r="Q1795" t="s">
        <v>39</v>
      </c>
      <c r="R1795" s="7" t="str">
        <f>TEXT(Table1[[#This Row],[Date]],"mmm yyyy")</f>
        <v>Jun 2026</v>
      </c>
      <c r="S1795" s="9">
        <f>YEAR(Table1[[#This Row],[Date]])</f>
        <v>2026</v>
      </c>
      <c r="T1795" s="9"/>
      <c r="U1795" s="9"/>
    </row>
    <row r="1796" spans="1:21" x14ac:dyDescent="0.3">
      <c r="A1796" t="s">
        <v>2498</v>
      </c>
      <c r="B1796" s="6">
        <v>46142</v>
      </c>
      <c r="C1796" t="s">
        <v>18</v>
      </c>
      <c r="D1796" t="s">
        <v>52</v>
      </c>
      <c r="E1796" t="s">
        <v>20</v>
      </c>
      <c r="F1796" t="s">
        <v>1309</v>
      </c>
      <c r="G1796" t="s">
        <v>22</v>
      </c>
      <c r="H1796" t="s">
        <v>54</v>
      </c>
      <c r="I1796" t="s">
        <v>55</v>
      </c>
      <c r="J1796" s="9">
        <v>1</v>
      </c>
      <c r="K1796" s="7">
        <v>24100</v>
      </c>
      <c r="L1796" s="7">
        <v>0</v>
      </c>
      <c r="M1796" s="9"/>
      <c r="N1796" s="7">
        <v>1.3</v>
      </c>
      <c r="O1796" s="7"/>
      <c r="P1796" s="7"/>
      <c r="Q1796" t="s">
        <v>55</v>
      </c>
      <c r="R1796" s="7" t="str">
        <f>TEXT(Table1[[#This Row],[Date]],"mmm yyyy")</f>
        <v>Apr 2026</v>
      </c>
      <c r="S1796" s="9">
        <f>YEAR(Table1[[#This Row],[Date]])</f>
        <v>2026</v>
      </c>
      <c r="T1796" s="9"/>
      <c r="U1796" s="9"/>
    </row>
    <row r="1797" spans="1:21" x14ac:dyDescent="0.3">
      <c r="A1797" t="s">
        <v>2499</v>
      </c>
      <c r="B1797" s="6">
        <v>45931</v>
      </c>
      <c r="C1797" t="s">
        <v>18</v>
      </c>
      <c r="D1797" t="s">
        <v>52</v>
      </c>
      <c r="E1797" t="s">
        <v>48</v>
      </c>
      <c r="F1797" t="s">
        <v>716</v>
      </c>
      <c r="G1797" t="s">
        <v>50</v>
      </c>
      <c r="H1797" t="s">
        <v>86</v>
      </c>
      <c r="I1797" t="s">
        <v>24</v>
      </c>
      <c r="J1797" s="9">
        <v>1</v>
      </c>
      <c r="K1797" s="7">
        <v>11100</v>
      </c>
      <c r="L1797" s="7">
        <v>11100</v>
      </c>
      <c r="M1797" s="9"/>
      <c r="N1797" s="7">
        <v>7.3</v>
      </c>
      <c r="O1797" s="7"/>
      <c r="P1797" s="7"/>
      <c r="Q1797" t="s">
        <v>24</v>
      </c>
      <c r="R1797" s="7" t="str">
        <f>TEXT(Table1[[#This Row],[Date]],"mmm yyyy")</f>
        <v>Oct 2025</v>
      </c>
      <c r="S1797" s="9">
        <f>YEAR(Table1[[#This Row],[Date]])</f>
        <v>2025</v>
      </c>
      <c r="T1797" s="9"/>
      <c r="U1797" s="9"/>
    </row>
    <row r="1798" spans="1:21" hidden="1" x14ac:dyDescent="0.3">
      <c r="A1798" t="s">
        <v>2500</v>
      </c>
      <c r="B1798" s="6">
        <v>45974</v>
      </c>
      <c r="C1798" t="s">
        <v>26</v>
      </c>
      <c r="D1798" t="s">
        <v>27</v>
      </c>
      <c r="E1798" t="s">
        <v>37</v>
      </c>
      <c r="F1798" t="s">
        <v>297</v>
      </c>
      <c r="G1798" t="s">
        <v>44</v>
      </c>
      <c r="J1798" s="9">
        <v>0</v>
      </c>
      <c r="K1798" s="7">
        <v>0</v>
      </c>
      <c r="L1798" s="7">
        <v>0</v>
      </c>
      <c r="M1798" s="9">
        <v>1</v>
      </c>
      <c r="N1798" s="7">
        <v>10.5</v>
      </c>
      <c r="O1798" s="7">
        <v>20.7</v>
      </c>
      <c r="P1798" s="7">
        <v>4.3</v>
      </c>
      <c r="Q1798" t="s">
        <v>31</v>
      </c>
      <c r="R1798" s="7" t="str">
        <f>TEXT(Table1[[#This Row],[Date]],"mmm yyyy")</f>
        <v>Nov 2025</v>
      </c>
      <c r="S1798" s="9">
        <f>YEAR(Table1[[#This Row],[Date]])</f>
        <v>2025</v>
      </c>
      <c r="T1798" s="9"/>
      <c r="U1798" s="9"/>
    </row>
    <row r="1799" spans="1:21" x14ac:dyDescent="0.3">
      <c r="A1799" t="s">
        <v>2501</v>
      </c>
      <c r="B1799" s="6">
        <v>46252</v>
      </c>
      <c r="C1799" t="s">
        <v>18</v>
      </c>
      <c r="D1799" t="s">
        <v>41</v>
      </c>
      <c r="E1799" t="s">
        <v>20</v>
      </c>
      <c r="F1799" t="s">
        <v>1624</v>
      </c>
      <c r="G1799" t="s">
        <v>50</v>
      </c>
      <c r="H1799" t="s">
        <v>78</v>
      </c>
      <c r="I1799" t="s">
        <v>24</v>
      </c>
      <c r="J1799" s="9">
        <v>1</v>
      </c>
      <c r="K1799" s="7">
        <v>9400</v>
      </c>
      <c r="L1799" s="7">
        <v>9400</v>
      </c>
      <c r="M1799" s="9"/>
      <c r="N1799" s="7">
        <v>16</v>
      </c>
      <c r="O1799" s="7"/>
      <c r="P1799" s="7"/>
      <c r="Q1799" t="s">
        <v>24</v>
      </c>
      <c r="R1799" s="7" t="str">
        <f>TEXT(Table1[[#This Row],[Date]],"mmm yyyy")</f>
        <v>Aug 2026</v>
      </c>
      <c r="S1799" s="9">
        <f>YEAR(Table1[[#This Row],[Date]])</f>
        <v>2026</v>
      </c>
      <c r="T1799" s="9"/>
      <c r="U1799" s="9"/>
    </row>
    <row r="1800" spans="1:21" x14ac:dyDescent="0.3">
      <c r="A1800" t="s">
        <v>2502</v>
      </c>
      <c r="B1800" s="6">
        <v>45940</v>
      </c>
      <c r="C1800" t="s">
        <v>18</v>
      </c>
      <c r="D1800" t="s">
        <v>19</v>
      </c>
      <c r="E1800" t="s">
        <v>48</v>
      </c>
      <c r="F1800" t="s">
        <v>2503</v>
      </c>
      <c r="G1800" t="s">
        <v>44</v>
      </c>
      <c r="H1800" t="s">
        <v>78</v>
      </c>
      <c r="I1800" t="s">
        <v>45</v>
      </c>
      <c r="J1800" s="9">
        <v>1</v>
      </c>
      <c r="K1800" s="7">
        <v>27400</v>
      </c>
      <c r="L1800" s="7">
        <v>0</v>
      </c>
      <c r="M1800" s="9"/>
      <c r="N1800" s="7">
        <v>12.8</v>
      </c>
      <c r="O1800" s="7"/>
      <c r="P1800" s="7"/>
      <c r="Q1800" t="s">
        <v>45</v>
      </c>
      <c r="R1800" s="7" t="str">
        <f>TEXT(Table1[[#This Row],[Date]],"mmm yyyy")</f>
        <v>Oct 2025</v>
      </c>
      <c r="S1800" s="9">
        <f>YEAR(Table1[[#This Row],[Date]])</f>
        <v>2025</v>
      </c>
      <c r="T1800" s="9"/>
      <c r="U1800" s="9"/>
    </row>
    <row r="1801" spans="1:21" x14ac:dyDescent="0.3">
      <c r="A1801" t="s">
        <v>2504</v>
      </c>
      <c r="B1801" s="6">
        <v>46087</v>
      </c>
      <c r="C1801" t="s">
        <v>18</v>
      </c>
      <c r="D1801" t="s">
        <v>64</v>
      </c>
      <c r="E1801" t="s">
        <v>28</v>
      </c>
      <c r="F1801" t="s">
        <v>1619</v>
      </c>
      <c r="G1801" t="s">
        <v>22</v>
      </c>
      <c r="H1801" t="s">
        <v>23</v>
      </c>
      <c r="I1801" t="s">
        <v>89</v>
      </c>
      <c r="J1801" s="9">
        <v>1</v>
      </c>
      <c r="K1801" s="7">
        <v>156800</v>
      </c>
      <c r="L1801" s="7">
        <v>0</v>
      </c>
      <c r="M1801" s="9"/>
      <c r="N1801" s="7">
        <v>7.2</v>
      </c>
      <c r="O1801" s="7"/>
      <c r="P1801" s="7"/>
      <c r="Q1801" t="s">
        <v>89</v>
      </c>
      <c r="R1801" s="7" t="str">
        <f>TEXT(Table1[[#This Row],[Date]],"mmm yyyy")</f>
        <v>Mar 2026</v>
      </c>
      <c r="S1801" s="9">
        <f>YEAR(Table1[[#This Row],[Date]])</f>
        <v>2026</v>
      </c>
      <c r="T1801" s="9"/>
      <c r="U1801" s="9"/>
    </row>
    <row r="1802" spans="1:21" hidden="1" x14ac:dyDescent="0.3">
      <c r="A1802" t="s">
        <v>2505</v>
      </c>
      <c r="B1802" s="6">
        <v>46197</v>
      </c>
      <c r="C1802" t="s">
        <v>26</v>
      </c>
      <c r="D1802" t="s">
        <v>126</v>
      </c>
      <c r="E1802" t="s">
        <v>20</v>
      </c>
      <c r="F1802" t="s">
        <v>499</v>
      </c>
      <c r="G1802" t="s">
        <v>30</v>
      </c>
      <c r="J1802" s="9">
        <v>0</v>
      </c>
      <c r="K1802" s="7">
        <v>0</v>
      </c>
      <c r="L1802" s="7">
        <v>0</v>
      </c>
      <c r="M1802" s="9">
        <v>1</v>
      </c>
      <c r="N1802" s="7">
        <v>5.9</v>
      </c>
      <c r="O1802" s="7">
        <v>2.2999999999999998</v>
      </c>
      <c r="P1802" s="7">
        <v>5</v>
      </c>
      <c r="Q1802" t="s">
        <v>39</v>
      </c>
      <c r="R1802" s="7" t="str">
        <f>TEXT(Table1[[#This Row],[Date]],"mmm yyyy")</f>
        <v>Jun 2026</v>
      </c>
      <c r="S1802" s="9">
        <f>YEAR(Table1[[#This Row],[Date]])</f>
        <v>2026</v>
      </c>
      <c r="T1802" s="9"/>
      <c r="U1802" s="9"/>
    </row>
    <row r="1803" spans="1:21" hidden="1" x14ac:dyDescent="0.3">
      <c r="A1803" t="s">
        <v>2506</v>
      </c>
      <c r="B1803" s="6">
        <v>46134</v>
      </c>
      <c r="C1803" t="s">
        <v>26</v>
      </c>
      <c r="D1803" t="s">
        <v>36</v>
      </c>
      <c r="E1803" t="s">
        <v>37</v>
      </c>
      <c r="F1803" t="s">
        <v>796</v>
      </c>
      <c r="G1803" t="s">
        <v>22</v>
      </c>
      <c r="J1803" s="9">
        <v>0</v>
      </c>
      <c r="K1803" s="7">
        <v>0</v>
      </c>
      <c r="L1803" s="7">
        <v>0</v>
      </c>
      <c r="M1803" s="9">
        <v>1</v>
      </c>
      <c r="N1803" s="7">
        <v>8.1</v>
      </c>
      <c r="O1803" s="7">
        <v>17.399999999999999</v>
      </c>
      <c r="P1803" s="7">
        <v>4.3</v>
      </c>
      <c r="Q1803" t="s">
        <v>62</v>
      </c>
      <c r="R1803" s="7" t="str">
        <f>TEXT(Table1[[#This Row],[Date]],"mmm yyyy")</f>
        <v>Apr 2026</v>
      </c>
      <c r="S1803" s="9">
        <f>YEAR(Table1[[#This Row],[Date]])</f>
        <v>2026</v>
      </c>
      <c r="T1803" s="9"/>
      <c r="U1803" s="9"/>
    </row>
    <row r="1804" spans="1:21" x14ac:dyDescent="0.3">
      <c r="A1804" t="s">
        <v>2507</v>
      </c>
      <c r="B1804" s="6">
        <v>46089</v>
      </c>
      <c r="C1804" t="s">
        <v>18</v>
      </c>
      <c r="D1804" t="s">
        <v>95</v>
      </c>
      <c r="E1804" t="s">
        <v>20</v>
      </c>
      <c r="F1804" t="s">
        <v>412</v>
      </c>
      <c r="G1804" t="s">
        <v>22</v>
      </c>
      <c r="H1804" t="s">
        <v>23</v>
      </c>
      <c r="I1804" t="s">
        <v>55</v>
      </c>
      <c r="J1804" s="9">
        <v>1</v>
      </c>
      <c r="K1804" s="7">
        <v>29300</v>
      </c>
      <c r="L1804" s="7">
        <v>0</v>
      </c>
      <c r="M1804" s="9"/>
      <c r="N1804" s="7">
        <v>17.600000000000001</v>
      </c>
      <c r="O1804" s="7"/>
      <c r="P1804" s="7"/>
      <c r="Q1804" t="s">
        <v>55</v>
      </c>
      <c r="R1804" s="7" t="str">
        <f>TEXT(Table1[[#This Row],[Date]],"mmm yyyy")</f>
        <v>Mar 2026</v>
      </c>
      <c r="S1804" s="9">
        <f>YEAR(Table1[[#This Row],[Date]])</f>
        <v>2026</v>
      </c>
      <c r="T1804" s="9"/>
      <c r="U1804" s="9"/>
    </row>
    <row r="1805" spans="1:21" x14ac:dyDescent="0.3">
      <c r="A1805" t="s">
        <v>2508</v>
      </c>
      <c r="B1805" s="6">
        <v>46232</v>
      </c>
      <c r="C1805" t="s">
        <v>18</v>
      </c>
      <c r="D1805" t="s">
        <v>95</v>
      </c>
      <c r="E1805" t="s">
        <v>20</v>
      </c>
      <c r="F1805" t="s">
        <v>467</v>
      </c>
      <c r="G1805" t="s">
        <v>30</v>
      </c>
      <c r="H1805" t="s">
        <v>78</v>
      </c>
      <c r="I1805" t="s">
        <v>55</v>
      </c>
      <c r="J1805" s="9">
        <v>1</v>
      </c>
      <c r="K1805" s="7">
        <v>29000</v>
      </c>
      <c r="L1805" s="7">
        <v>0</v>
      </c>
      <c r="M1805" s="9"/>
      <c r="N1805" s="7">
        <v>22.7</v>
      </c>
      <c r="O1805" s="7"/>
      <c r="P1805" s="7"/>
      <c r="Q1805" t="s">
        <v>55</v>
      </c>
      <c r="R1805" s="7" t="str">
        <f>TEXT(Table1[[#This Row],[Date]],"mmm yyyy")</f>
        <v>Jul 2026</v>
      </c>
      <c r="S1805" s="9">
        <f>YEAR(Table1[[#This Row],[Date]])</f>
        <v>2026</v>
      </c>
      <c r="T1805" s="9"/>
      <c r="U1805" s="9"/>
    </row>
    <row r="1806" spans="1:21" x14ac:dyDescent="0.3">
      <c r="A1806" t="s">
        <v>2509</v>
      </c>
      <c r="B1806" s="6">
        <v>46204</v>
      </c>
      <c r="C1806" t="s">
        <v>18</v>
      </c>
      <c r="D1806" t="s">
        <v>41</v>
      </c>
      <c r="E1806" t="s">
        <v>48</v>
      </c>
      <c r="F1806" t="s">
        <v>1150</v>
      </c>
      <c r="G1806" t="s">
        <v>30</v>
      </c>
      <c r="H1806" t="s">
        <v>23</v>
      </c>
      <c r="I1806" t="s">
        <v>24</v>
      </c>
      <c r="J1806" s="9">
        <v>1</v>
      </c>
      <c r="K1806" s="7">
        <v>6200</v>
      </c>
      <c r="L1806" s="7">
        <v>6200</v>
      </c>
      <c r="M1806" s="9"/>
      <c r="N1806" s="7">
        <v>13</v>
      </c>
      <c r="O1806" s="7"/>
      <c r="P1806" s="7"/>
      <c r="Q1806" t="s">
        <v>24</v>
      </c>
      <c r="R1806" s="7" t="str">
        <f>TEXT(Table1[[#This Row],[Date]],"mmm yyyy")</f>
        <v>Jul 2026</v>
      </c>
      <c r="S1806" s="9">
        <f>YEAR(Table1[[#This Row],[Date]])</f>
        <v>2026</v>
      </c>
      <c r="T1806" s="9"/>
      <c r="U1806" s="9"/>
    </row>
    <row r="1807" spans="1:21" hidden="1" x14ac:dyDescent="0.3">
      <c r="A1807" t="s">
        <v>2510</v>
      </c>
      <c r="B1807" s="6">
        <v>45987</v>
      </c>
      <c r="C1807" t="s">
        <v>26</v>
      </c>
      <c r="D1807" t="s">
        <v>36</v>
      </c>
      <c r="E1807" t="s">
        <v>20</v>
      </c>
      <c r="F1807" t="s">
        <v>1059</v>
      </c>
      <c r="G1807" t="s">
        <v>30</v>
      </c>
      <c r="J1807" s="9">
        <v>0</v>
      </c>
      <c r="K1807" s="7">
        <v>0</v>
      </c>
      <c r="L1807" s="7">
        <v>0</v>
      </c>
      <c r="M1807" s="9">
        <v>1</v>
      </c>
      <c r="N1807" s="7">
        <v>7.6</v>
      </c>
      <c r="O1807" s="7">
        <v>5.6</v>
      </c>
      <c r="P1807" s="7">
        <v>3.6</v>
      </c>
      <c r="Q1807" t="s">
        <v>39</v>
      </c>
      <c r="R1807" s="7" t="str">
        <f>TEXT(Table1[[#This Row],[Date]],"mmm yyyy")</f>
        <v>Nov 2025</v>
      </c>
      <c r="S1807" s="9">
        <f>YEAR(Table1[[#This Row],[Date]])</f>
        <v>2025</v>
      </c>
      <c r="T1807" s="9"/>
      <c r="U1807" s="9"/>
    </row>
    <row r="1808" spans="1:21" hidden="1" x14ac:dyDescent="0.3">
      <c r="A1808" t="s">
        <v>2511</v>
      </c>
      <c r="B1808" s="6">
        <v>45960</v>
      </c>
      <c r="C1808" t="s">
        <v>26</v>
      </c>
      <c r="D1808" t="s">
        <v>69</v>
      </c>
      <c r="E1808" t="s">
        <v>20</v>
      </c>
      <c r="F1808" t="s">
        <v>942</v>
      </c>
      <c r="G1808" t="s">
        <v>22</v>
      </c>
      <c r="J1808" s="9">
        <v>0</v>
      </c>
      <c r="K1808" s="7">
        <v>0</v>
      </c>
      <c r="L1808" s="7">
        <v>0</v>
      </c>
      <c r="M1808" s="9">
        <v>1</v>
      </c>
      <c r="N1808" s="7">
        <v>1.2</v>
      </c>
      <c r="O1808" s="7">
        <v>1.7</v>
      </c>
      <c r="P1808" s="7">
        <v>3.6</v>
      </c>
      <c r="Q1808" t="s">
        <v>62</v>
      </c>
      <c r="R1808" s="7" t="str">
        <f>TEXT(Table1[[#This Row],[Date]],"mmm yyyy")</f>
        <v>Oct 2025</v>
      </c>
      <c r="S1808" s="9">
        <f>YEAR(Table1[[#This Row],[Date]])</f>
        <v>2025</v>
      </c>
      <c r="T1808" s="9"/>
      <c r="U1808" s="9"/>
    </row>
    <row r="1809" spans="1:21" x14ac:dyDescent="0.3">
      <c r="A1809" t="s">
        <v>2512</v>
      </c>
      <c r="B1809" s="6">
        <v>46047</v>
      </c>
      <c r="C1809" t="s">
        <v>18</v>
      </c>
      <c r="D1809" t="s">
        <v>19</v>
      </c>
      <c r="E1809" t="s">
        <v>20</v>
      </c>
      <c r="F1809" t="s">
        <v>766</v>
      </c>
      <c r="G1809" t="s">
        <v>30</v>
      </c>
      <c r="H1809" t="s">
        <v>23</v>
      </c>
      <c r="I1809" t="s">
        <v>89</v>
      </c>
      <c r="J1809" s="9">
        <v>1</v>
      </c>
      <c r="K1809" s="7">
        <v>20500</v>
      </c>
      <c r="L1809" s="7">
        <v>0</v>
      </c>
      <c r="M1809" s="9"/>
      <c r="N1809" s="7">
        <v>5.7</v>
      </c>
      <c r="O1809" s="7"/>
      <c r="P1809" s="7"/>
      <c r="Q1809" t="s">
        <v>89</v>
      </c>
      <c r="R1809" s="7" t="str">
        <f>TEXT(Table1[[#This Row],[Date]],"mmm yyyy")</f>
        <v>Jan 2026</v>
      </c>
      <c r="S1809" s="9">
        <f>YEAR(Table1[[#This Row],[Date]])</f>
        <v>2026</v>
      </c>
      <c r="T1809" s="9"/>
      <c r="U1809" s="9"/>
    </row>
    <row r="1810" spans="1:21" x14ac:dyDescent="0.3">
      <c r="A1810" t="s">
        <v>2513</v>
      </c>
      <c r="B1810" s="6">
        <v>46153</v>
      </c>
      <c r="C1810" t="s">
        <v>18</v>
      </c>
      <c r="D1810" t="s">
        <v>95</v>
      </c>
      <c r="E1810" t="s">
        <v>20</v>
      </c>
      <c r="F1810" t="s">
        <v>655</v>
      </c>
      <c r="G1810" t="s">
        <v>30</v>
      </c>
      <c r="H1810" t="s">
        <v>78</v>
      </c>
      <c r="I1810" t="s">
        <v>55</v>
      </c>
      <c r="J1810" s="9">
        <v>1</v>
      </c>
      <c r="K1810" s="7">
        <v>11400</v>
      </c>
      <c r="L1810" s="7">
        <v>0</v>
      </c>
      <c r="M1810" s="9"/>
      <c r="N1810" s="7">
        <v>19.5</v>
      </c>
      <c r="O1810" s="7"/>
      <c r="P1810" s="7"/>
      <c r="Q1810" t="s">
        <v>55</v>
      </c>
      <c r="R1810" s="7" t="str">
        <f>TEXT(Table1[[#This Row],[Date]],"mmm yyyy")</f>
        <v>May 2026</v>
      </c>
      <c r="S1810" s="9">
        <f>YEAR(Table1[[#This Row],[Date]])</f>
        <v>2026</v>
      </c>
      <c r="T1810" s="9"/>
      <c r="U1810" s="9"/>
    </row>
    <row r="1811" spans="1:21" x14ac:dyDescent="0.3">
      <c r="A1811" t="s">
        <v>2514</v>
      </c>
      <c r="B1811" s="6">
        <v>46091</v>
      </c>
      <c r="C1811" t="s">
        <v>18</v>
      </c>
      <c r="D1811" t="s">
        <v>19</v>
      </c>
      <c r="E1811" t="s">
        <v>20</v>
      </c>
      <c r="F1811" t="s">
        <v>499</v>
      </c>
      <c r="G1811" t="s">
        <v>22</v>
      </c>
      <c r="H1811" t="s">
        <v>78</v>
      </c>
      <c r="I1811" t="s">
        <v>79</v>
      </c>
      <c r="J1811" s="9">
        <v>1</v>
      </c>
      <c r="K1811" s="7">
        <v>6100</v>
      </c>
      <c r="L1811" s="7">
        <v>0</v>
      </c>
      <c r="M1811" s="9"/>
      <c r="N1811" s="7">
        <v>16.899999999999999</v>
      </c>
      <c r="O1811" s="7"/>
      <c r="P1811" s="7"/>
      <c r="Q1811" t="s">
        <v>79</v>
      </c>
      <c r="R1811" s="7" t="str">
        <f>TEXT(Table1[[#This Row],[Date]],"mmm yyyy")</f>
        <v>Mar 2026</v>
      </c>
      <c r="S1811" s="9">
        <f>YEAR(Table1[[#This Row],[Date]])</f>
        <v>2026</v>
      </c>
      <c r="T1811" s="9"/>
      <c r="U1811" s="9"/>
    </row>
    <row r="1812" spans="1:21" hidden="1" x14ac:dyDescent="0.3">
      <c r="A1812" t="s">
        <v>2515</v>
      </c>
      <c r="B1812" s="6">
        <v>46050</v>
      </c>
      <c r="C1812" t="s">
        <v>26</v>
      </c>
      <c r="D1812" t="s">
        <v>36</v>
      </c>
      <c r="E1812" t="s">
        <v>37</v>
      </c>
      <c r="F1812" t="s">
        <v>323</v>
      </c>
      <c r="G1812" t="s">
        <v>44</v>
      </c>
      <c r="J1812" s="9">
        <v>0</v>
      </c>
      <c r="K1812" s="7">
        <v>0</v>
      </c>
      <c r="L1812" s="7">
        <v>0</v>
      </c>
      <c r="M1812" s="9">
        <v>1</v>
      </c>
      <c r="N1812" s="7">
        <v>10.9</v>
      </c>
      <c r="O1812" s="7">
        <v>3.9</v>
      </c>
      <c r="P1812" s="7">
        <v>4</v>
      </c>
      <c r="Q1812" t="s">
        <v>31</v>
      </c>
      <c r="R1812" s="7" t="str">
        <f>TEXT(Table1[[#This Row],[Date]],"mmm yyyy")</f>
        <v>Jan 2026</v>
      </c>
      <c r="S1812" s="9">
        <f>YEAR(Table1[[#This Row],[Date]])</f>
        <v>2026</v>
      </c>
      <c r="T1812" s="9"/>
      <c r="U1812" s="9"/>
    </row>
    <row r="1813" spans="1:21" hidden="1" x14ac:dyDescent="0.3">
      <c r="A1813" t="s">
        <v>2516</v>
      </c>
      <c r="B1813" s="6">
        <v>46145</v>
      </c>
      <c r="C1813" t="s">
        <v>26</v>
      </c>
      <c r="D1813" t="s">
        <v>126</v>
      </c>
      <c r="E1813" t="s">
        <v>20</v>
      </c>
      <c r="F1813" t="s">
        <v>2517</v>
      </c>
      <c r="G1813" t="s">
        <v>22</v>
      </c>
      <c r="J1813" s="9">
        <v>0</v>
      </c>
      <c r="K1813" s="7">
        <v>0</v>
      </c>
      <c r="L1813" s="7">
        <v>0</v>
      </c>
      <c r="M1813" s="9">
        <v>1</v>
      </c>
      <c r="N1813" s="7">
        <v>6.1</v>
      </c>
      <c r="O1813" s="7">
        <v>7.4</v>
      </c>
      <c r="P1813" s="7">
        <v>4.2</v>
      </c>
      <c r="Q1813" t="s">
        <v>62</v>
      </c>
      <c r="R1813" s="7" t="str">
        <f>TEXT(Table1[[#This Row],[Date]],"mmm yyyy")</f>
        <v>May 2026</v>
      </c>
      <c r="S1813" s="9">
        <f>YEAR(Table1[[#This Row],[Date]])</f>
        <v>2026</v>
      </c>
      <c r="T1813" s="9"/>
      <c r="U1813" s="9"/>
    </row>
    <row r="1814" spans="1:21" x14ac:dyDescent="0.3">
      <c r="A1814" t="s">
        <v>2518</v>
      </c>
      <c r="B1814" s="6">
        <v>46067</v>
      </c>
      <c r="C1814" t="s">
        <v>18</v>
      </c>
      <c r="D1814" t="s">
        <v>19</v>
      </c>
      <c r="E1814" t="s">
        <v>20</v>
      </c>
      <c r="F1814" t="s">
        <v>1354</v>
      </c>
      <c r="G1814" t="s">
        <v>44</v>
      </c>
      <c r="H1814" t="s">
        <v>23</v>
      </c>
      <c r="I1814" t="s">
        <v>89</v>
      </c>
      <c r="J1814" s="9">
        <v>1</v>
      </c>
      <c r="K1814" s="7">
        <v>20100</v>
      </c>
      <c r="L1814" s="7">
        <v>0</v>
      </c>
      <c r="M1814" s="9"/>
      <c r="N1814" s="7">
        <v>1.4</v>
      </c>
      <c r="O1814" s="7"/>
      <c r="P1814" s="7"/>
      <c r="Q1814" t="s">
        <v>89</v>
      </c>
      <c r="R1814" s="7" t="str">
        <f>TEXT(Table1[[#This Row],[Date]],"mmm yyyy")</f>
        <v>Feb 2026</v>
      </c>
      <c r="S1814" s="9">
        <f>YEAR(Table1[[#This Row],[Date]])</f>
        <v>2026</v>
      </c>
      <c r="T1814" s="9"/>
      <c r="U1814" s="9"/>
    </row>
    <row r="1815" spans="1:21" x14ac:dyDescent="0.3">
      <c r="A1815" t="s">
        <v>2519</v>
      </c>
      <c r="B1815" s="6">
        <v>46110</v>
      </c>
      <c r="C1815" t="s">
        <v>18</v>
      </c>
      <c r="D1815" t="s">
        <v>47</v>
      </c>
      <c r="E1815" t="s">
        <v>42</v>
      </c>
      <c r="F1815" t="s">
        <v>1893</v>
      </c>
      <c r="G1815" t="s">
        <v>44</v>
      </c>
      <c r="H1815" t="s">
        <v>66</v>
      </c>
      <c r="I1815" t="s">
        <v>79</v>
      </c>
      <c r="J1815" s="9">
        <v>1</v>
      </c>
      <c r="K1815" s="7">
        <v>12800</v>
      </c>
      <c r="L1815" s="7">
        <v>0</v>
      </c>
      <c r="M1815" s="9"/>
      <c r="N1815" s="7">
        <v>20.100000000000001</v>
      </c>
      <c r="O1815" s="7"/>
      <c r="P1815" s="7"/>
      <c r="Q1815" t="s">
        <v>79</v>
      </c>
      <c r="R1815" s="7" t="str">
        <f>TEXT(Table1[[#This Row],[Date]],"mmm yyyy")</f>
        <v>Mar 2026</v>
      </c>
      <c r="S1815" s="9">
        <f>YEAR(Table1[[#This Row],[Date]])</f>
        <v>2026</v>
      </c>
      <c r="T1815" s="9"/>
      <c r="U1815" s="9"/>
    </row>
    <row r="1816" spans="1:21" x14ac:dyDescent="0.3">
      <c r="A1816" t="s">
        <v>2520</v>
      </c>
      <c r="B1816" s="6">
        <v>46227</v>
      </c>
      <c r="C1816" t="s">
        <v>18</v>
      </c>
      <c r="D1816" t="s">
        <v>41</v>
      </c>
      <c r="E1816" t="s">
        <v>48</v>
      </c>
      <c r="F1816" t="s">
        <v>246</v>
      </c>
      <c r="G1816" t="s">
        <v>30</v>
      </c>
      <c r="H1816" t="s">
        <v>66</v>
      </c>
      <c r="I1816" t="s">
        <v>45</v>
      </c>
      <c r="J1816" s="9">
        <v>1</v>
      </c>
      <c r="K1816" s="7">
        <v>48400</v>
      </c>
      <c r="L1816" s="7">
        <v>0</v>
      </c>
      <c r="M1816" s="9"/>
      <c r="N1816" s="7">
        <v>15.2</v>
      </c>
      <c r="O1816" s="7"/>
      <c r="P1816" s="7"/>
      <c r="Q1816" t="s">
        <v>45</v>
      </c>
      <c r="R1816" s="7" t="str">
        <f>TEXT(Table1[[#This Row],[Date]],"mmm yyyy")</f>
        <v>Jul 2026</v>
      </c>
      <c r="S1816" s="9">
        <f>YEAR(Table1[[#This Row],[Date]])</f>
        <v>2026</v>
      </c>
      <c r="T1816" s="9"/>
      <c r="U1816" s="9"/>
    </row>
    <row r="1817" spans="1:21" hidden="1" x14ac:dyDescent="0.3">
      <c r="A1817" t="s">
        <v>2521</v>
      </c>
      <c r="B1817" s="6">
        <v>46047</v>
      </c>
      <c r="C1817" t="s">
        <v>26</v>
      </c>
      <c r="D1817" t="s">
        <v>126</v>
      </c>
      <c r="E1817" t="s">
        <v>28</v>
      </c>
      <c r="F1817" t="s">
        <v>1063</v>
      </c>
      <c r="G1817" t="s">
        <v>50</v>
      </c>
      <c r="J1817" s="9">
        <v>0</v>
      </c>
      <c r="K1817" s="7">
        <v>0</v>
      </c>
      <c r="L1817" s="7">
        <v>0</v>
      </c>
      <c r="M1817" s="9">
        <v>1</v>
      </c>
      <c r="N1817" s="7">
        <v>7.7</v>
      </c>
      <c r="O1817" s="7">
        <v>2.2000000000000002</v>
      </c>
      <c r="P1817" s="7">
        <v>4.5</v>
      </c>
      <c r="Q1817" t="s">
        <v>39</v>
      </c>
      <c r="R1817" s="7" t="str">
        <f>TEXT(Table1[[#This Row],[Date]],"mmm yyyy")</f>
        <v>Jan 2026</v>
      </c>
      <c r="S1817" s="9">
        <f>YEAR(Table1[[#This Row],[Date]])</f>
        <v>2026</v>
      </c>
      <c r="T1817" s="9"/>
      <c r="U1817" s="9"/>
    </row>
    <row r="1818" spans="1:21" x14ac:dyDescent="0.3">
      <c r="A1818" t="s">
        <v>2522</v>
      </c>
      <c r="B1818" s="6">
        <v>46063</v>
      </c>
      <c r="C1818" t="s">
        <v>18</v>
      </c>
      <c r="D1818" t="s">
        <v>19</v>
      </c>
      <c r="E1818" t="s">
        <v>20</v>
      </c>
      <c r="F1818" t="s">
        <v>1516</v>
      </c>
      <c r="G1818" t="s">
        <v>22</v>
      </c>
      <c r="H1818" t="s">
        <v>23</v>
      </c>
      <c r="I1818" t="s">
        <v>45</v>
      </c>
      <c r="J1818" s="9">
        <v>1</v>
      </c>
      <c r="K1818" s="7">
        <v>16700</v>
      </c>
      <c r="L1818" s="7">
        <v>0</v>
      </c>
      <c r="M1818" s="9"/>
      <c r="N1818" s="7">
        <v>2.1</v>
      </c>
      <c r="O1818" s="7"/>
      <c r="P1818" s="7"/>
      <c r="Q1818" t="s">
        <v>45</v>
      </c>
      <c r="R1818" s="7" t="str">
        <f>TEXT(Table1[[#This Row],[Date]],"mmm yyyy")</f>
        <v>Feb 2026</v>
      </c>
      <c r="S1818" s="9">
        <f>YEAR(Table1[[#This Row],[Date]])</f>
        <v>2026</v>
      </c>
      <c r="T1818" s="9"/>
      <c r="U1818" s="9"/>
    </row>
    <row r="1819" spans="1:21" hidden="1" x14ac:dyDescent="0.3">
      <c r="A1819" t="s">
        <v>2523</v>
      </c>
      <c r="B1819" s="6">
        <v>46141</v>
      </c>
      <c r="C1819" t="s">
        <v>26</v>
      </c>
      <c r="D1819" t="s">
        <v>232</v>
      </c>
      <c r="E1819" t="s">
        <v>20</v>
      </c>
      <c r="F1819" t="s">
        <v>658</v>
      </c>
      <c r="G1819" t="s">
        <v>22</v>
      </c>
      <c r="J1819" s="9">
        <v>0</v>
      </c>
      <c r="K1819" s="7">
        <v>0</v>
      </c>
      <c r="L1819" s="7">
        <v>0</v>
      </c>
      <c r="M1819" s="9">
        <v>1</v>
      </c>
      <c r="N1819" s="7">
        <v>4.9000000000000004</v>
      </c>
      <c r="O1819" s="7">
        <v>5.5</v>
      </c>
      <c r="P1819" s="7">
        <v>3.7</v>
      </c>
      <c r="Q1819" t="s">
        <v>62</v>
      </c>
      <c r="R1819" s="7" t="str">
        <f>TEXT(Table1[[#This Row],[Date]],"mmm yyyy")</f>
        <v>Apr 2026</v>
      </c>
      <c r="S1819" s="9">
        <f>YEAR(Table1[[#This Row],[Date]])</f>
        <v>2026</v>
      </c>
      <c r="T1819" s="9"/>
      <c r="U1819" s="9"/>
    </row>
    <row r="1820" spans="1:21" hidden="1" x14ac:dyDescent="0.3">
      <c r="A1820" t="s">
        <v>2524</v>
      </c>
      <c r="B1820" s="6">
        <v>45986</v>
      </c>
      <c r="C1820" t="s">
        <v>26</v>
      </c>
      <c r="D1820" t="s">
        <v>36</v>
      </c>
      <c r="E1820" t="s">
        <v>48</v>
      </c>
      <c r="F1820" t="s">
        <v>442</v>
      </c>
      <c r="G1820" t="s">
        <v>30</v>
      </c>
      <c r="J1820" s="9">
        <v>0</v>
      </c>
      <c r="K1820" s="7">
        <v>0</v>
      </c>
      <c r="L1820" s="7">
        <v>0</v>
      </c>
      <c r="M1820" s="9">
        <v>1</v>
      </c>
      <c r="N1820" s="7">
        <v>8.9</v>
      </c>
      <c r="O1820" s="7">
        <v>11.5</v>
      </c>
      <c r="P1820" s="7">
        <v>4.5</v>
      </c>
      <c r="Q1820" t="s">
        <v>39</v>
      </c>
      <c r="R1820" s="7" t="str">
        <f>TEXT(Table1[[#This Row],[Date]],"mmm yyyy")</f>
        <v>Nov 2025</v>
      </c>
      <c r="S1820" s="9">
        <f>YEAR(Table1[[#This Row],[Date]])</f>
        <v>2025</v>
      </c>
      <c r="T1820" s="9"/>
      <c r="U1820" s="9"/>
    </row>
    <row r="1821" spans="1:21" x14ac:dyDescent="0.3">
      <c r="A1821" t="s">
        <v>2525</v>
      </c>
      <c r="B1821" s="6">
        <v>46104</v>
      </c>
      <c r="C1821" t="s">
        <v>18</v>
      </c>
      <c r="D1821" t="s">
        <v>105</v>
      </c>
      <c r="E1821" t="s">
        <v>20</v>
      </c>
      <c r="F1821" t="s">
        <v>990</v>
      </c>
      <c r="G1821" t="s">
        <v>22</v>
      </c>
      <c r="H1821" t="s">
        <v>78</v>
      </c>
      <c r="I1821" t="s">
        <v>79</v>
      </c>
      <c r="J1821" s="9">
        <v>1</v>
      </c>
      <c r="K1821" s="7">
        <v>6800</v>
      </c>
      <c r="L1821" s="7">
        <v>0</v>
      </c>
      <c r="M1821" s="9"/>
      <c r="N1821" s="7">
        <v>1.2</v>
      </c>
      <c r="O1821" s="7"/>
      <c r="P1821" s="7"/>
      <c r="Q1821" t="s">
        <v>79</v>
      </c>
      <c r="R1821" s="7" t="str">
        <f>TEXT(Table1[[#This Row],[Date]],"mmm yyyy")</f>
        <v>Mar 2026</v>
      </c>
      <c r="S1821" s="9">
        <f>YEAR(Table1[[#This Row],[Date]])</f>
        <v>2026</v>
      </c>
      <c r="T1821" s="9"/>
      <c r="U1821" s="9"/>
    </row>
    <row r="1822" spans="1:21" x14ac:dyDescent="0.3">
      <c r="A1822" t="s">
        <v>2526</v>
      </c>
      <c r="B1822" s="6">
        <v>45981</v>
      </c>
      <c r="C1822" t="s">
        <v>18</v>
      </c>
      <c r="D1822" t="s">
        <v>52</v>
      </c>
      <c r="E1822" t="s">
        <v>20</v>
      </c>
      <c r="F1822" t="s">
        <v>558</v>
      </c>
      <c r="G1822" t="s">
        <v>30</v>
      </c>
      <c r="H1822" t="s">
        <v>23</v>
      </c>
      <c r="I1822" t="s">
        <v>55</v>
      </c>
      <c r="J1822" s="9">
        <v>1</v>
      </c>
      <c r="K1822" s="7">
        <v>55500</v>
      </c>
      <c r="L1822" s="7">
        <v>0</v>
      </c>
      <c r="M1822" s="9"/>
      <c r="N1822" s="7">
        <v>22.8</v>
      </c>
      <c r="O1822" s="7"/>
      <c r="P1822" s="7"/>
      <c r="Q1822" t="s">
        <v>55</v>
      </c>
      <c r="R1822" s="7" t="str">
        <f>TEXT(Table1[[#This Row],[Date]],"mmm yyyy")</f>
        <v>Nov 2025</v>
      </c>
      <c r="S1822" s="9">
        <f>YEAR(Table1[[#This Row],[Date]])</f>
        <v>2025</v>
      </c>
      <c r="T1822" s="9"/>
      <c r="U1822" s="9"/>
    </row>
    <row r="1823" spans="1:21" x14ac:dyDescent="0.3">
      <c r="A1823" t="s">
        <v>2527</v>
      </c>
      <c r="B1823" s="6">
        <v>45979</v>
      </c>
      <c r="C1823" t="s">
        <v>18</v>
      </c>
      <c r="D1823" t="s">
        <v>47</v>
      </c>
      <c r="E1823" t="s">
        <v>42</v>
      </c>
      <c r="F1823" t="s">
        <v>2528</v>
      </c>
      <c r="G1823" t="s">
        <v>50</v>
      </c>
      <c r="H1823" t="s">
        <v>86</v>
      </c>
      <c r="I1823" t="s">
        <v>24</v>
      </c>
      <c r="J1823" s="9">
        <v>1</v>
      </c>
      <c r="K1823" s="7">
        <v>30400</v>
      </c>
      <c r="L1823" s="7">
        <v>30400</v>
      </c>
      <c r="M1823" s="9"/>
      <c r="N1823" s="7">
        <v>12.9</v>
      </c>
      <c r="O1823" s="7"/>
      <c r="P1823" s="7"/>
      <c r="Q1823" t="s">
        <v>24</v>
      </c>
      <c r="R1823" s="7" t="str">
        <f>TEXT(Table1[[#This Row],[Date]],"mmm yyyy")</f>
        <v>Nov 2025</v>
      </c>
      <c r="S1823" s="9">
        <f>YEAR(Table1[[#This Row],[Date]])</f>
        <v>2025</v>
      </c>
      <c r="T1823" s="9"/>
      <c r="U1823" s="9"/>
    </row>
    <row r="1824" spans="1:21" hidden="1" x14ac:dyDescent="0.3">
      <c r="A1824" t="s">
        <v>2529</v>
      </c>
      <c r="B1824" s="6">
        <v>46250</v>
      </c>
      <c r="C1824" t="s">
        <v>26</v>
      </c>
      <c r="D1824" t="s">
        <v>126</v>
      </c>
      <c r="E1824" t="s">
        <v>48</v>
      </c>
      <c r="F1824" t="s">
        <v>832</v>
      </c>
      <c r="G1824" t="s">
        <v>22</v>
      </c>
      <c r="J1824" s="9">
        <v>0</v>
      </c>
      <c r="K1824" s="7">
        <v>0</v>
      </c>
      <c r="L1824" s="7">
        <v>0</v>
      </c>
      <c r="M1824" s="9">
        <v>1</v>
      </c>
      <c r="N1824" s="7">
        <v>6.1</v>
      </c>
      <c r="O1824" s="7">
        <v>11</v>
      </c>
      <c r="P1824" s="7">
        <v>5</v>
      </c>
      <c r="Q1824" t="s">
        <v>31</v>
      </c>
      <c r="R1824" s="7" t="str">
        <f>TEXT(Table1[[#This Row],[Date]],"mmm yyyy")</f>
        <v>Aug 2026</v>
      </c>
      <c r="S1824" s="9">
        <f>YEAR(Table1[[#This Row],[Date]])</f>
        <v>2026</v>
      </c>
      <c r="T1824" s="9"/>
      <c r="U1824" s="9"/>
    </row>
    <row r="1825" spans="1:21" hidden="1" x14ac:dyDescent="0.3">
      <c r="A1825" t="s">
        <v>2530</v>
      </c>
      <c r="B1825" s="6">
        <v>46155</v>
      </c>
      <c r="C1825" t="s">
        <v>26</v>
      </c>
      <c r="D1825" t="s">
        <v>126</v>
      </c>
      <c r="E1825" t="s">
        <v>20</v>
      </c>
      <c r="F1825" t="s">
        <v>635</v>
      </c>
      <c r="G1825" t="s">
        <v>22</v>
      </c>
      <c r="J1825" s="9">
        <v>0</v>
      </c>
      <c r="K1825" s="7">
        <v>0</v>
      </c>
      <c r="L1825" s="7">
        <v>0</v>
      </c>
      <c r="M1825" s="9">
        <v>1</v>
      </c>
      <c r="N1825" s="7">
        <v>6.1</v>
      </c>
      <c r="O1825" s="7">
        <v>4.3</v>
      </c>
      <c r="P1825" s="7">
        <v>4.5</v>
      </c>
      <c r="Q1825" t="s">
        <v>39</v>
      </c>
      <c r="R1825" s="7" t="str">
        <f>TEXT(Table1[[#This Row],[Date]],"mmm yyyy")</f>
        <v>May 2026</v>
      </c>
      <c r="S1825" s="9">
        <f>YEAR(Table1[[#This Row],[Date]])</f>
        <v>2026</v>
      </c>
      <c r="T1825" s="9"/>
      <c r="U1825" s="9"/>
    </row>
    <row r="1826" spans="1:21" hidden="1" x14ac:dyDescent="0.3">
      <c r="A1826" t="s">
        <v>2531</v>
      </c>
      <c r="B1826" s="6">
        <v>45996</v>
      </c>
      <c r="C1826" t="s">
        <v>26</v>
      </c>
      <c r="D1826" t="s">
        <v>114</v>
      </c>
      <c r="E1826" t="s">
        <v>20</v>
      </c>
      <c r="F1826" t="s">
        <v>696</v>
      </c>
      <c r="G1826" t="s">
        <v>44</v>
      </c>
      <c r="J1826" s="9">
        <v>0</v>
      </c>
      <c r="K1826" s="7">
        <v>0</v>
      </c>
      <c r="L1826" s="7">
        <v>0</v>
      </c>
      <c r="M1826" s="9">
        <v>1</v>
      </c>
      <c r="N1826" s="7">
        <v>6</v>
      </c>
      <c r="O1826" s="7">
        <v>17.2</v>
      </c>
      <c r="P1826" s="7">
        <v>4.5999999999999996</v>
      </c>
      <c r="Q1826" t="s">
        <v>31</v>
      </c>
      <c r="R1826" s="7" t="str">
        <f>TEXT(Table1[[#This Row],[Date]],"mmm yyyy")</f>
        <v>Dec 2025</v>
      </c>
      <c r="S1826" s="9">
        <f>YEAR(Table1[[#This Row],[Date]])</f>
        <v>2025</v>
      </c>
      <c r="T1826" s="9"/>
      <c r="U1826" s="9"/>
    </row>
    <row r="1827" spans="1:21" x14ac:dyDescent="0.3">
      <c r="A1827" t="s">
        <v>2532</v>
      </c>
      <c r="B1827" s="6">
        <v>45903</v>
      </c>
      <c r="C1827" t="s">
        <v>18</v>
      </c>
      <c r="D1827" t="s">
        <v>19</v>
      </c>
      <c r="E1827" t="s">
        <v>20</v>
      </c>
      <c r="F1827" t="s">
        <v>549</v>
      </c>
      <c r="G1827" t="s">
        <v>30</v>
      </c>
      <c r="H1827" t="s">
        <v>78</v>
      </c>
      <c r="I1827" t="s">
        <v>67</v>
      </c>
      <c r="J1827" s="9">
        <v>1</v>
      </c>
      <c r="K1827" s="7">
        <v>57000</v>
      </c>
      <c r="L1827" s="7">
        <v>0</v>
      </c>
      <c r="M1827" s="9"/>
      <c r="N1827" s="7">
        <v>20.6</v>
      </c>
      <c r="O1827" s="7"/>
      <c r="P1827" s="7"/>
      <c r="Q1827" t="s">
        <v>67</v>
      </c>
      <c r="R1827" s="7" t="str">
        <f>TEXT(Table1[[#This Row],[Date]],"mmm yyyy")</f>
        <v>Sep 2025</v>
      </c>
      <c r="S1827" s="9">
        <f>YEAR(Table1[[#This Row],[Date]])</f>
        <v>2025</v>
      </c>
      <c r="T1827" s="9"/>
      <c r="U1827" s="9"/>
    </row>
    <row r="1828" spans="1:21" x14ac:dyDescent="0.3">
      <c r="A1828" t="s">
        <v>2533</v>
      </c>
      <c r="B1828" s="6">
        <v>46198</v>
      </c>
      <c r="C1828" t="s">
        <v>18</v>
      </c>
      <c r="D1828" t="s">
        <v>47</v>
      </c>
      <c r="E1828" t="s">
        <v>20</v>
      </c>
      <c r="F1828" t="s">
        <v>1730</v>
      </c>
      <c r="G1828" t="s">
        <v>44</v>
      </c>
      <c r="H1828" t="s">
        <v>78</v>
      </c>
      <c r="I1828" t="s">
        <v>55</v>
      </c>
      <c r="J1828" s="9">
        <v>1</v>
      </c>
      <c r="K1828" s="7">
        <v>14500</v>
      </c>
      <c r="L1828" s="7">
        <v>0</v>
      </c>
      <c r="M1828" s="9"/>
      <c r="N1828" s="7">
        <v>9</v>
      </c>
      <c r="O1828" s="7"/>
      <c r="P1828" s="7"/>
      <c r="Q1828" t="s">
        <v>55</v>
      </c>
      <c r="R1828" s="7" t="str">
        <f>TEXT(Table1[[#This Row],[Date]],"mmm yyyy")</f>
        <v>Jun 2026</v>
      </c>
      <c r="S1828" s="9">
        <f>YEAR(Table1[[#This Row],[Date]])</f>
        <v>2026</v>
      </c>
      <c r="T1828" s="9"/>
      <c r="U1828" s="9"/>
    </row>
    <row r="1829" spans="1:21" hidden="1" x14ac:dyDescent="0.3">
      <c r="A1829" t="s">
        <v>2534</v>
      </c>
      <c r="B1829" s="6">
        <v>45976</v>
      </c>
      <c r="C1829" t="s">
        <v>26</v>
      </c>
      <c r="D1829" t="s">
        <v>126</v>
      </c>
      <c r="E1829" t="s">
        <v>20</v>
      </c>
      <c r="F1829" t="s">
        <v>1709</v>
      </c>
      <c r="G1829" t="s">
        <v>30</v>
      </c>
      <c r="J1829" s="9">
        <v>0</v>
      </c>
      <c r="K1829" s="7">
        <v>0</v>
      </c>
      <c r="L1829" s="7">
        <v>0</v>
      </c>
      <c r="M1829" s="9">
        <v>1</v>
      </c>
      <c r="N1829" s="7">
        <v>5.6</v>
      </c>
      <c r="O1829" s="7">
        <v>6.6</v>
      </c>
      <c r="P1829" s="7">
        <v>3.1</v>
      </c>
      <c r="Q1829" t="s">
        <v>31</v>
      </c>
      <c r="R1829" s="7" t="str">
        <f>TEXT(Table1[[#This Row],[Date]],"mmm yyyy")</f>
        <v>Nov 2025</v>
      </c>
      <c r="S1829" s="9">
        <f>YEAR(Table1[[#This Row],[Date]])</f>
        <v>2025</v>
      </c>
      <c r="T1829" s="9"/>
      <c r="U1829" s="9"/>
    </row>
    <row r="1830" spans="1:21" hidden="1" x14ac:dyDescent="0.3">
      <c r="A1830" t="s">
        <v>2535</v>
      </c>
      <c r="B1830" s="6">
        <v>46228</v>
      </c>
      <c r="C1830" t="s">
        <v>26</v>
      </c>
      <c r="D1830" t="s">
        <v>232</v>
      </c>
      <c r="E1830" t="s">
        <v>20</v>
      </c>
      <c r="F1830" t="s">
        <v>818</v>
      </c>
      <c r="G1830" t="s">
        <v>22</v>
      </c>
      <c r="J1830" s="9">
        <v>0</v>
      </c>
      <c r="K1830" s="7">
        <v>0</v>
      </c>
      <c r="L1830" s="7">
        <v>0</v>
      </c>
      <c r="M1830" s="9">
        <v>1</v>
      </c>
      <c r="N1830" s="7">
        <v>10.6</v>
      </c>
      <c r="O1830" s="7">
        <v>28.1</v>
      </c>
      <c r="P1830" s="7">
        <v>2</v>
      </c>
      <c r="Q1830" t="s">
        <v>31</v>
      </c>
      <c r="R1830" s="7" t="str">
        <f>TEXT(Table1[[#This Row],[Date]],"mmm yyyy")</f>
        <v>Jul 2026</v>
      </c>
      <c r="S1830" s="9">
        <f>YEAR(Table1[[#This Row],[Date]])</f>
        <v>2026</v>
      </c>
      <c r="T1830" s="9"/>
      <c r="U1830" s="9"/>
    </row>
    <row r="1831" spans="1:21" x14ac:dyDescent="0.3">
      <c r="A1831" t="s">
        <v>2536</v>
      </c>
      <c r="B1831" s="6">
        <v>46252</v>
      </c>
      <c r="C1831" t="s">
        <v>18</v>
      </c>
      <c r="D1831" t="s">
        <v>41</v>
      </c>
      <c r="E1831" t="s">
        <v>28</v>
      </c>
      <c r="F1831" t="s">
        <v>874</v>
      </c>
      <c r="G1831" t="s">
        <v>30</v>
      </c>
      <c r="H1831" t="s">
        <v>78</v>
      </c>
      <c r="I1831" t="s">
        <v>55</v>
      </c>
      <c r="J1831" s="9">
        <v>1</v>
      </c>
      <c r="K1831" s="7">
        <v>52100</v>
      </c>
      <c r="L1831" s="7">
        <v>0</v>
      </c>
      <c r="M1831" s="9"/>
      <c r="N1831" s="7">
        <v>2.6</v>
      </c>
      <c r="O1831" s="7"/>
      <c r="P1831" s="7"/>
      <c r="Q1831" t="s">
        <v>55</v>
      </c>
      <c r="R1831" s="7" t="str">
        <f>TEXT(Table1[[#This Row],[Date]],"mmm yyyy")</f>
        <v>Aug 2026</v>
      </c>
      <c r="S1831" s="9">
        <f>YEAR(Table1[[#This Row],[Date]])</f>
        <v>2026</v>
      </c>
      <c r="T1831" s="9"/>
      <c r="U1831" s="9"/>
    </row>
    <row r="1832" spans="1:21" hidden="1" x14ac:dyDescent="0.3">
      <c r="A1832" t="s">
        <v>2537</v>
      </c>
      <c r="B1832" s="6">
        <v>46198</v>
      </c>
      <c r="C1832" t="s">
        <v>26</v>
      </c>
      <c r="D1832" t="s">
        <v>69</v>
      </c>
      <c r="E1832" t="s">
        <v>20</v>
      </c>
      <c r="F1832" t="s">
        <v>1407</v>
      </c>
      <c r="G1832" t="s">
        <v>44</v>
      </c>
      <c r="J1832" s="9">
        <v>0</v>
      </c>
      <c r="K1832" s="7">
        <v>0</v>
      </c>
      <c r="L1832" s="7">
        <v>0</v>
      </c>
      <c r="M1832" s="9">
        <v>1</v>
      </c>
      <c r="N1832" s="7">
        <v>4.3</v>
      </c>
      <c r="O1832" s="7">
        <v>13.2</v>
      </c>
      <c r="P1832" s="7">
        <v>3.9</v>
      </c>
      <c r="Q1832" t="s">
        <v>225</v>
      </c>
      <c r="R1832" s="7" t="str">
        <f>TEXT(Table1[[#This Row],[Date]],"mmm yyyy")</f>
        <v>Jun 2026</v>
      </c>
      <c r="S1832" s="9">
        <f>YEAR(Table1[[#This Row],[Date]])</f>
        <v>2026</v>
      </c>
      <c r="T1832" s="9"/>
      <c r="U1832" s="9"/>
    </row>
    <row r="1833" spans="1:21" hidden="1" x14ac:dyDescent="0.3">
      <c r="A1833" t="s">
        <v>2538</v>
      </c>
      <c r="B1833" s="6">
        <v>45944</v>
      </c>
      <c r="C1833" t="s">
        <v>26</v>
      </c>
      <c r="D1833" t="s">
        <v>27</v>
      </c>
      <c r="E1833" t="s">
        <v>37</v>
      </c>
      <c r="F1833" t="s">
        <v>1478</v>
      </c>
      <c r="G1833" t="s">
        <v>30</v>
      </c>
      <c r="J1833" s="9">
        <v>0</v>
      </c>
      <c r="K1833" s="7">
        <v>0</v>
      </c>
      <c r="L1833" s="7">
        <v>0</v>
      </c>
      <c r="M1833" s="9">
        <v>1</v>
      </c>
      <c r="N1833" s="7">
        <v>6.6</v>
      </c>
      <c r="O1833" s="7">
        <v>8.8000000000000007</v>
      </c>
      <c r="P1833" s="7">
        <v>3.3</v>
      </c>
      <c r="Q1833" t="s">
        <v>225</v>
      </c>
      <c r="R1833" s="7" t="str">
        <f>TEXT(Table1[[#This Row],[Date]],"mmm yyyy")</f>
        <v>Oct 2025</v>
      </c>
      <c r="S1833" s="9">
        <f>YEAR(Table1[[#This Row],[Date]])</f>
        <v>2025</v>
      </c>
      <c r="T1833" s="9"/>
      <c r="U1833" s="9"/>
    </row>
    <row r="1834" spans="1:21" hidden="1" x14ac:dyDescent="0.3">
      <c r="A1834" t="s">
        <v>2539</v>
      </c>
      <c r="B1834" s="6">
        <v>45993</v>
      </c>
      <c r="C1834" t="s">
        <v>26</v>
      </c>
      <c r="D1834" t="s">
        <v>69</v>
      </c>
      <c r="E1834" t="s">
        <v>20</v>
      </c>
      <c r="F1834" t="s">
        <v>131</v>
      </c>
      <c r="G1834" t="s">
        <v>30</v>
      </c>
      <c r="J1834" s="9">
        <v>0</v>
      </c>
      <c r="K1834" s="7">
        <v>0</v>
      </c>
      <c r="L1834" s="7">
        <v>0</v>
      </c>
      <c r="M1834" s="9">
        <v>1</v>
      </c>
      <c r="N1834" s="7">
        <v>0.5</v>
      </c>
      <c r="O1834" s="7">
        <v>7.5</v>
      </c>
      <c r="P1834" s="7">
        <v>5</v>
      </c>
      <c r="Q1834" t="s">
        <v>62</v>
      </c>
      <c r="R1834" s="7" t="str">
        <f>TEXT(Table1[[#This Row],[Date]],"mmm yyyy")</f>
        <v>Dec 2025</v>
      </c>
      <c r="S1834" s="9">
        <f>YEAR(Table1[[#This Row],[Date]])</f>
        <v>2025</v>
      </c>
      <c r="T1834" s="9"/>
      <c r="U1834" s="9"/>
    </row>
    <row r="1835" spans="1:21" hidden="1" x14ac:dyDescent="0.3">
      <c r="A1835" t="s">
        <v>2540</v>
      </c>
      <c r="B1835" s="6">
        <v>45956</v>
      </c>
      <c r="C1835" t="s">
        <v>26</v>
      </c>
      <c r="D1835" t="s">
        <v>33</v>
      </c>
      <c r="E1835" t="s">
        <v>48</v>
      </c>
      <c r="F1835" t="s">
        <v>734</v>
      </c>
      <c r="G1835" t="s">
        <v>44</v>
      </c>
      <c r="J1835" s="9">
        <v>0</v>
      </c>
      <c r="K1835" s="7">
        <v>0</v>
      </c>
      <c r="L1835" s="7">
        <v>0</v>
      </c>
      <c r="M1835" s="9">
        <v>1</v>
      </c>
      <c r="N1835" s="7">
        <v>7.4</v>
      </c>
      <c r="O1835" s="7">
        <v>15</v>
      </c>
      <c r="P1835" s="7">
        <v>4.8</v>
      </c>
      <c r="Q1835" t="s">
        <v>31</v>
      </c>
      <c r="R1835" s="7" t="str">
        <f>TEXT(Table1[[#This Row],[Date]],"mmm yyyy")</f>
        <v>Oct 2025</v>
      </c>
      <c r="S1835" s="9">
        <f>YEAR(Table1[[#This Row],[Date]])</f>
        <v>2025</v>
      </c>
      <c r="T1835" s="9"/>
      <c r="U1835" s="9"/>
    </row>
    <row r="1836" spans="1:21" hidden="1" x14ac:dyDescent="0.3">
      <c r="A1836" t="s">
        <v>2541</v>
      </c>
      <c r="B1836" s="6">
        <v>46141</v>
      </c>
      <c r="C1836" t="s">
        <v>26</v>
      </c>
      <c r="D1836" t="s">
        <v>114</v>
      </c>
      <c r="E1836" t="s">
        <v>37</v>
      </c>
      <c r="F1836" t="s">
        <v>442</v>
      </c>
      <c r="G1836" t="s">
        <v>30</v>
      </c>
      <c r="J1836" s="9">
        <v>0</v>
      </c>
      <c r="K1836" s="7">
        <v>0</v>
      </c>
      <c r="L1836" s="7">
        <v>0</v>
      </c>
      <c r="M1836" s="9">
        <v>1</v>
      </c>
      <c r="N1836" s="7">
        <v>8.4</v>
      </c>
      <c r="O1836" s="7">
        <v>9</v>
      </c>
      <c r="P1836" s="7">
        <v>3.5</v>
      </c>
      <c r="Q1836" t="s">
        <v>31</v>
      </c>
      <c r="R1836" s="7" t="str">
        <f>TEXT(Table1[[#This Row],[Date]],"mmm yyyy")</f>
        <v>Apr 2026</v>
      </c>
      <c r="S1836" s="9">
        <f>YEAR(Table1[[#This Row],[Date]])</f>
        <v>2026</v>
      </c>
      <c r="T1836" s="9"/>
      <c r="U1836" s="9"/>
    </row>
    <row r="1837" spans="1:21" hidden="1" x14ac:dyDescent="0.3">
      <c r="A1837" t="s">
        <v>2542</v>
      </c>
      <c r="B1837" s="6">
        <v>46128</v>
      </c>
      <c r="C1837" t="s">
        <v>26</v>
      </c>
      <c r="D1837" t="s">
        <v>33</v>
      </c>
      <c r="E1837" t="s">
        <v>48</v>
      </c>
      <c r="F1837" t="s">
        <v>1304</v>
      </c>
      <c r="G1837" t="s">
        <v>30</v>
      </c>
      <c r="J1837" s="9">
        <v>0</v>
      </c>
      <c r="K1837" s="7">
        <v>0</v>
      </c>
      <c r="L1837" s="7">
        <v>0</v>
      </c>
      <c r="M1837" s="9">
        <v>1</v>
      </c>
      <c r="N1837" s="7">
        <v>5.7</v>
      </c>
      <c r="O1837" s="7">
        <v>8</v>
      </c>
      <c r="P1837" s="7">
        <v>4.2</v>
      </c>
      <c r="Q1837" t="s">
        <v>62</v>
      </c>
      <c r="R1837" s="7" t="str">
        <f>TEXT(Table1[[#This Row],[Date]],"mmm yyyy")</f>
        <v>Apr 2026</v>
      </c>
      <c r="S1837" s="9">
        <f>YEAR(Table1[[#This Row],[Date]])</f>
        <v>2026</v>
      </c>
      <c r="T1837" s="9"/>
      <c r="U1837" s="9"/>
    </row>
    <row r="1838" spans="1:21" x14ac:dyDescent="0.3">
      <c r="A1838" t="s">
        <v>2543</v>
      </c>
      <c r="B1838" s="6">
        <v>45911</v>
      </c>
      <c r="C1838" t="s">
        <v>18</v>
      </c>
      <c r="D1838" t="s">
        <v>52</v>
      </c>
      <c r="E1838" t="s">
        <v>37</v>
      </c>
      <c r="F1838" t="s">
        <v>1456</v>
      </c>
      <c r="G1838" t="s">
        <v>50</v>
      </c>
      <c r="H1838" t="s">
        <v>23</v>
      </c>
      <c r="I1838" t="s">
        <v>89</v>
      </c>
      <c r="J1838" s="9">
        <v>1</v>
      </c>
      <c r="K1838" s="7">
        <v>9100</v>
      </c>
      <c r="L1838" s="7">
        <v>0</v>
      </c>
      <c r="M1838" s="9"/>
      <c r="N1838" s="7">
        <v>5.3</v>
      </c>
      <c r="O1838" s="7"/>
      <c r="P1838" s="7"/>
      <c r="Q1838" t="s">
        <v>89</v>
      </c>
      <c r="R1838" s="7" t="str">
        <f>TEXT(Table1[[#This Row],[Date]],"mmm yyyy")</f>
        <v>Sep 2025</v>
      </c>
      <c r="S1838" s="9">
        <f>YEAR(Table1[[#This Row],[Date]])</f>
        <v>2025</v>
      </c>
      <c r="T1838" s="9"/>
      <c r="U1838" s="9"/>
    </row>
    <row r="1839" spans="1:21" x14ac:dyDescent="0.3">
      <c r="A1839" t="s">
        <v>2544</v>
      </c>
      <c r="B1839" s="6">
        <v>46157</v>
      </c>
      <c r="C1839" t="s">
        <v>18</v>
      </c>
      <c r="D1839" t="s">
        <v>105</v>
      </c>
      <c r="E1839" t="s">
        <v>28</v>
      </c>
      <c r="F1839" t="s">
        <v>1135</v>
      </c>
      <c r="G1839" t="s">
        <v>30</v>
      </c>
      <c r="H1839" t="s">
        <v>86</v>
      </c>
      <c r="I1839" t="s">
        <v>45</v>
      </c>
      <c r="J1839" s="9">
        <v>1</v>
      </c>
      <c r="K1839" s="7">
        <v>35300</v>
      </c>
      <c r="L1839" s="7">
        <v>0</v>
      </c>
      <c r="M1839" s="9"/>
      <c r="N1839" s="7">
        <v>3.3</v>
      </c>
      <c r="O1839" s="7"/>
      <c r="P1839" s="7"/>
      <c r="Q1839" t="s">
        <v>45</v>
      </c>
      <c r="R1839" s="7" t="str">
        <f>TEXT(Table1[[#This Row],[Date]],"mmm yyyy")</f>
        <v>May 2026</v>
      </c>
      <c r="S1839" s="9">
        <f>YEAR(Table1[[#This Row],[Date]])</f>
        <v>2026</v>
      </c>
      <c r="T1839" s="9"/>
      <c r="U1839" s="9"/>
    </row>
    <row r="1840" spans="1:21" hidden="1" x14ac:dyDescent="0.3">
      <c r="A1840" t="s">
        <v>2545</v>
      </c>
      <c r="B1840" s="6">
        <v>46089</v>
      </c>
      <c r="C1840" t="s">
        <v>26</v>
      </c>
      <c r="D1840" t="s">
        <v>27</v>
      </c>
      <c r="E1840" t="s">
        <v>42</v>
      </c>
      <c r="F1840" t="s">
        <v>650</v>
      </c>
      <c r="G1840" t="s">
        <v>44</v>
      </c>
      <c r="J1840" s="9">
        <v>0</v>
      </c>
      <c r="K1840" s="7">
        <v>0</v>
      </c>
      <c r="L1840" s="7">
        <v>0</v>
      </c>
      <c r="M1840" s="9">
        <v>1</v>
      </c>
      <c r="N1840" s="7">
        <v>9.1</v>
      </c>
      <c r="O1840" s="7">
        <v>2.7</v>
      </c>
      <c r="P1840" s="7">
        <v>4.0999999999999996</v>
      </c>
      <c r="Q1840" t="s">
        <v>39</v>
      </c>
      <c r="R1840" s="7" t="str">
        <f>TEXT(Table1[[#This Row],[Date]],"mmm yyyy")</f>
        <v>Mar 2026</v>
      </c>
      <c r="S1840" s="9">
        <f>YEAR(Table1[[#This Row],[Date]])</f>
        <v>2026</v>
      </c>
      <c r="T1840" s="9"/>
      <c r="U1840" s="9"/>
    </row>
    <row r="1841" spans="1:21" x14ac:dyDescent="0.3">
      <c r="A1841" t="s">
        <v>2546</v>
      </c>
      <c r="B1841" s="6">
        <v>46063</v>
      </c>
      <c r="C1841" t="s">
        <v>18</v>
      </c>
      <c r="D1841" t="s">
        <v>105</v>
      </c>
      <c r="E1841" t="s">
        <v>48</v>
      </c>
      <c r="F1841" t="s">
        <v>785</v>
      </c>
      <c r="G1841" t="s">
        <v>22</v>
      </c>
      <c r="H1841" t="s">
        <v>86</v>
      </c>
      <c r="I1841" t="s">
        <v>24</v>
      </c>
      <c r="J1841" s="9">
        <v>1</v>
      </c>
      <c r="K1841" s="7">
        <v>15800</v>
      </c>
      <c r="L1841" s="7">
        <v>15800</v>
      </c>
      <c r="M1841" s="9"/>
      <c r="N1841" s="7">
        <v>23.6</v>
      </c>
      <c r="O1841" s="7"/>
      <c r="P1841" s="7"/>
      <c r="Q1841" t="s">
        <v>24</v>
      </c>
      <c r="R1841" s="7" t="str">
        <f>TEXT(Table1[[#This Row],[Date]],"mmm yyyy")</f>
        <v>Feb 2026</v>
      </c>
      <c r="S1841" s="9">
        <f>YEAR(Table1[[#This Row],[Date]])</f>
        <v>2026</v>
      </c>
      <c r="T1841" s="9"/>
      <c r="U1841" s="9"/>
    </row>
    <row r="1842" spans="1:21" x14ac:dyDescent="0.3">
      <c r="A1842" t="s">
        <v>2547</v>
      </c>
      <c r="B1842" s="6">
        <v>46030</v>
      </c>
      <c r="C1842" t="s">
        <v>18</v>
      </c>
      <c r="D1842" t="s">
        <v>47</v>
      </c>
      <c r="E1842" t="s">
        <v>20</v>
      </c>
      <c r="F1842" t="s">
        <v>1394</v>
      </c>
      <c r="G1842" t="s">
        <v>30</v>
      </c>
      <c r="H1842" t="s">
        <v>23</v>
      </c>
      <c r="I1842" t="s">
        <v>79</v>
      </c>
      <c r="J1842" s="9">
        <v>1</v>
      </c>
      <c r="K1842" s="7">
        <v>61400</v>
      </c>
      <c r="L1842" s="7">
        <v>0</v>
      </c>
      <c r="M1842" s="9"/>
      <c r="N1842" s="7">
        <v>11.1</v>
      </c>
      <c r="O1842" s="7"/>
      <c r="P1842" s="7"/>
      <c r="Q1842" t="s">
        <v>79</v>
      </c>
      <c r="R1842" s="7" t="str">
        <f>TEXT(Table1[[#This Row],[Date]],"mmm yyyy")</f>
        <v>Jan 2026</v>
      </c>
      <c r="S1842" s="9">
        <f>YEAR(Table1[[#This Row],[Date]])</f>
        <v>2026</v>
      </c>
      <c r="T1842" s="9"/>
      <c r="U1842" s="9"/>
    </row>
    <row r="1843" spans="1:21" x14ac:dyDescent="0.3">
      <c r="A1843" t="s">
        <v>2548</v>
      </c>
      <c r="B1843" s="6">
        <v>46254</v>
      </c>
      <c r="C1843" t="s">
        <v>18</v>
      </c>
      <c r="D1843" t="s">
        <v>52</v>
      </c>
      <c r="E1843" t="s">
        <v>28</v>
      </c>
      <c r="F1843" t="s">
        <v>773</v>
      </c>
      <c r="G1843" t="s">
        <v>22</v>
      </c>
      <c r="H1843" t="s">
        <v>54</v>
      </c>
      <c r="I1843" t="s">
        <v>45</v>
      </c>
      <c r="J1843" s="9">
        <v>1</v>
      </c>
      <c r="K1843" s="7">
        <v>20900</v>
      </c>
      <c r="L1843" s="7">
        <v>0</v>
      </c>
      <c r="M1843" s="9"/>
      <c r="N1843" s="7">
        <v>6.2</v>
      </c>
      <c r="O1843" s="7"/>
      <c r="P1843" s="7"/>
      <c r="Q1843" t="s">
        <v>45</v>
      </c>
      <c r="R1843" s="7" t="str">
        <f>TEXT(Table1[[#This Row],[Date]],"mmm yyyy")</f>
        <v>Aug 2026</v>
      </c>
      <c r="S1843" s="9">
        <f>YEAR(Table1[[#This Row],[Date]])</f>
        <v>2026</v>
      </c>
      <c r="T1843" s="9"/>
      <c r="U1843" s="9"/>
    </row>
    <row r="1844" spans="1:21" x14ac:dyDescent="0.3">
      <c r="A1844" t="s">
        <v>2549</v>
      </c>
      <c r="B1844" s="6">
        <v>45942</v>
      </c>
      <c r="C1844" t="s">
        <v>18</v>
      </c>
      <c r="D1844" t="s">
        <v>41</v>
      </c>
      <c r="E1844" t="s">
        <v>20</v>
      </c>
      <c r="F1844" t="s">
        <v>944</v>
      </c>
      <c r="G1844" t="s">
        <v>30</v>
      </c>
      <c r="H1844" t="s">
        <v>23</v>
      </c>
      <c r="I1844" t="s">
        <v>45</v>
      </c>
      <c r="J1844" s="9">
        <v>1</v>
      </c>
      <c r="K1844" s="7">
        <v>10500</v>
      </c>
      <c r="L1844" s="7">
        <v>0</v>
      </c>
      <c r="M1844" s="9"/>
      <c r="N1844" s="7">
        <v>23.7</v>
      </c>
      <c r="O1844" s="7"/>
      <c r="P1844" s="7"/>
      <c r="Q1844" t="s">
        <v>45</v>
      </c>
      <c r="R1844" s="7" t="str">
        <f>TEXT(Table1[[#This Row],[Date]],"mmm yyyy")</f>
        <v>Oct 2025</v>
      </c>
      <c r="S1844" s="9">
        <f>YEAR(Table1[[#This Row],[Date]])</f>
        <v>2025</v>
      </c>
      <c r="T1844" s="9"/>
      <c r="U1844" s="9"/>
    </row>
    <row r="1845" spans="1:21" hidden="1" x14ac:dyDescent="0.3">
      <c r="A1845" t="s">
        <v>2550</v>
      </c>
      <c r="B1845" s="6">
        <v>46060</v>
      </c>
      <c r="C1845" t="s">
        <v>26</v>
      </c>
      <c r="D1845" t="s">
        <v>232</v>
      </c>
      <c r="E1845" t="s">
        <v>48</v>
      </c>
      <c r="F1845" t="s">
        <v>1012</v>
      </c>
      <c r="G1845" t="s">
        <v>22</v>
      </c>
      <c r="J1845" s="9">
        <v>0</v>
      </c>
      <c r="K1845" s="7">
        <v>0</v>
      </c>
      <c r="L1845" s="7">
        <v>0</v>
      </c>
      <c r="M1845" s="9">
        <v>1</v>
      </c>
      <c r="N1845" s="7">
        <v>10.5</v>
      </c>
      <c r="O1845" s="7">
        <v>15.5</v>
      </c>
      <c r="P1845" s="7">
        <v>3.4</v>
      </c>
      <c r="Q1845" t="s">
        <v>62</v>
      </c>
      <c r="R1845" s="7" t="str">
        <f>TEXT(Table1[[#This Row],[Date]],"mmm yyyy")</f>
        <v>Feb 2026</v>
      </c>
      <c r="S1845" s="9">
        <f>YEAR(Table1[[#This Row],[Date]])</f>
        <v>2026</v>
      </c>
      <c r="T1845" s="9"/>
      <c r="U1845" s="9"/>
    </row>
    <row r="1846" spans="1:21" hidden="1" x14ac:dyDescent="0.3">
      <c r="A1846" t="s">
        <v>2551</v>
      </c>
      <c r="B1846" s="6">
        <v>45909</v>
      </c>
      <c r="C1846" t="s">
        <v>26</v>
      </c>
      <c r="D1846" t="s">
        <v>69</v>
      </c>
      <c r="E1846" t="s">
        <v>37</v>
      </c>
      <c r="F1846" t="s">
        <v>428</v>
      </c>
      <c r="G1846" t="s">
        <v>50</v>
      </c>
      <c r="J1846" s="9">
        <v>0</v>
      </c>
      <c r="K1846" s="7">
        <v>0</v>
      </c>
      <c r="L1846" s="7">
        <v>0</v>
      </c>
      <c r="M1846" s="9">
        <v>1</v>
      </c>
      <c r="N1846" s="7">
        <v>12</v>
      </c>
      <c r="O1846" s="7">
        <v>7.8</v>
      </c>
      <c r="P1846" s="7">
        <v>3.8</v>
      </c>
      <c r="Q1846" t="s">
        <v>39</v>
      </c>
      <c r="R1846" s="7" t="str">
        <f>TEXT(Table1[[#This Row],[Date]],"mmm yyyy")</f>
        <v>Sep 2025</v>
      </c>
      <c r="S1846" s="9">
        <f>YEAR(Table1[[#This Row],[Date]])</f>
        <v>2025</v>
      </c>
      <c r="T1846" s="9"/>
      <c r="U1846" s="9"/>
    </row>
    <row r="1847" spans="1:21" x14ac:dyDescent="0.3">
      <c r="A1847" t="s">
        <v>2552</v>
      </c>
      <c r="B1847" s="6">
        <v>45996</v>
      </c>
      <c r="C1847" t="s">
        <v>18</v>
      </c>
      <c r="D1847" t="s">
        <v>64</v>
      </c>
      <c r="E1847" t="s">
        <v>48</v>
      </c>
      <c r="F1847" t="s">
        <v>796</v>
      </c>
      <c r="G1847" t="s">
        <v>30</v>
      </c>
      <c r="H1847" t="s">
        <v>66</v>
      </c>
      <c r="I1847" t="s">
        <v>24</v>
      </c>
      <c r="J1847" s="9">
        <v>1</v>
      </c>
      <c r="K1847" s="7">
        <v>16800</v>
      </c>
      <c r="L1847" s="7">
        <v>16800</v>
      </c>
      <c r="M1847" s="9"/>
      <c r="N1847" s="7">
        <v>3.8</v>
      </c>
      <c r="O1847" s="7"/>
      <c r="P1847" s="7"/>
      <c r="Q1847" t="s">
        <v>24</v>
      </c>
      <c r="R1847" s="7" t="str">
        <f>TEXT(Table1[[#This Row],[Date]],"mmm yyyy")</f>
        <v>Dec 2025</v>
      </c>
      <c r="S1847" s="9">
        <f>YEAR(Table1[[#This Row],[Date]])</f>
        <v>2025</v>
      </c>
      <c r="T1847" s="9"/>
      <c r="U1847" s="9"/>
    </row>
    <row r="1848" spans="1:21" x14ac:dyDescent="0.3">
      <c r="A1848" t="s">
        <v>2553</v>
      </c>
      <c r="B1848" s="6">
        <v>45933</v>
      </c>
      <c r="C1848" t="s">
        <v>18</v>
      </c>
      <c r="D1848" t="s">
        <v>41</v>
      </c>
      <c r="E1848" t="s">
        <v>20</v>
      </c>
      <c r="F1848" t="s">
        <v>398</v>
      </c>
      <c r="G1848" t="s">
        <v>44</v>
      </c>
      <c r="H1848" t="s">
        <v>78</v>
      </c>
      <c r="I1848" t="s">
        <v>67</v>
      </c>
      <c r="J1848" s="9">
        <v>1</v>
      </c>
      <c r="K1848" s="7">
        <v>18300</v>
      </c>
      <c r="L1848" s="7">
        <v>0</v>
      </c>
      <c r="M1848" s="9"/>
      <c r="N1848" s="7">
        <v>22.5</v>
      </c>
      <c r="O1848" s="7"/>
      <c r="P1848" s="7"/>
      <c r="Q1848" t="s">
        <v>67</v>
      </c>
      <c r="R1848" s="7" t="str">
        <f>TEXT(Table1[[#This Row],[Date]],"mmm yyyy")</f>
        <v>Oct 2025</v>
      </c>
      <c r="S1848" s="9">
        <f>YEAR(Table1[[#This Row],[Date]])</f>
        <v>2025</v>
      </c>
      <c r="T1848" s="9"/>
      <c r="U1848" s="9"/>
    </row>
    <row r="1849" spans="1:21" x14ac:dyDescent="0.3">
      <c r="A1849" t="s">
        <v>2554</v>
      </c>
      <c r="B1849" s="6">
        <v>46053</v>
      </c>
      <c r="C1849" t="s">
        <v>18</v>
      </c>
      <c r="D1849" t="s">
        <v>19</v>
      </c>
      <c r="E1849" t="s">
        <v>20</v>
      </c>
      <c r="F1849" t="s">
        <v>43</v>
      </c>
      <c r="G1849" t="s">
        <v>22</v>
      </c>
      <c r="H1849" t="s">
        <v>78</v>
      </c>
      <c r="I1849" t="s">
        <v>89</v>
      </c>
      <c r="J1849" s="9">
        <v>1</v>
      </c>
      <c r="K1849" s="7">
        <v>13700</v>
      </c>
      <c r="L1849" s="7">
        <v>0</v>
      </c>
      <c r="M1849" s="9"/>
      <c r="N1849" s="7">
        <v>11.4</v>
      </c>
      <c r="O1849" s="7"/>
      <c r="P1849" s="7"/>
      <c r="Q1849" t="s">
        <v>89</v>
      </c>
      <c r="R1849" s="7" t="str">
        <f>TEXT(Table1[[#This Row],[Date]],"mmm yyyy")</f>
        <v>Jan 2026</v>
      </c>
      <c r="S1849" s="9">
        <f>YEAR(Table1[[#This Row],[Date]])</f>
        <v>2026</v>
      </c>
      <c r="T1849" s="9"/>
      <c r="U1849" s="9"/>
    </row>
    <row r="1850" spans="1:21" hidden="1" x14ac:dyDescent="0.3">
      <c r="A1850" t="s">
        <v>2555</v>
      </c>
      <c r="B1850" s="6">
        <v>46068</v>
      </c>
      <c r="C1850" t="s">
        <v>26</v>
      </c>
      <c r="D1850" t="s">
        <v>72</v>
      </c>
      <c r="E1850" t="s">
        <v>20</v>
      </c>
      <c r="F1850" t="s">
        <v>2556</v>
      </c>
      <c r="G1850" t="s">
        <v>22</v>
      </c>
      <c r="J1850" s="9">
        <v>0</v>
      </c>
      <c r="K1850" s="7">
        <v>0</v>
      </c>
      <c r="L1850" s="7">
        <v>0</v>
      </c>
      <c r="M1850" s="9">
        <v>1</v>
      </c>
      <c r="N1850" s="7">
        <v>1.3</v>
      </c>
      <c r="O1850" s="7">
        <v>11.7</v>
      </c>
      <c r="P1850" s="7">
        <v>4.2</v>
      </c>
      <c r="Q1850" t="s">
        <v>62</v>
      </c>
      <c r="R1850" s="7" t="str">
        <f>TEXT(Table1[[#This Row],[Date]],"mmm yyyy")</f>
        <v>Feb 2026</v>
      </c>
      <c r="S1850" s="9">
        <f>YEAR(Table1[[#This Row],[Date]])</f>
        <v>2026</v>
      </c>
      <c r="T1850" s="9"/>
      <c r="U1850" s="9"/>
    </row>
    <row r="1851" spans="1:21" hidden="1" x14ac:dyDescent="0.3">
      <c r="A1851" t="s">
        <v>2557</v>
      </c>
      <c r="B1851" s="6">
        <v>46191</v>
      </c>
      <c r="C1851" t="s">
        <v>26</v>
      </c>
      <c r="D1851" t="s">
        <v>232</v>
      </c>
      <c r="E1851" t="s">
        <v>20</v>
      </c>
      <c r="F1851" t="s">
        <v>75</v>
      </c>
      <c r="G1851" t="s">
        <v>50</v>
      </c>
      <c r="J1851" s="9">
        <v>0</v>
      </c>
      <c r="K1851" s="7">
        <v>0</v>
      </c>
      <c r="L1851" s="7">
        <v>0</v>
      </c>
      <c r="M1851" s="9">
        <v>1</v>
      </c>
      <c r="N1851" s="7">
        <v>8.3000000000000007</v>
      </c>
      <c r="O1851" s="7">
        <v>8.9</v>
      </c>
      <c r="P1851" s="7">
        <v>3.8</v>
      </c>
      <c r="Q1851" t="s">
        <v>31</v>
      </c>
      <c r="R1851" s="7" t="str">
        <f>TEXT(Table1[[#This Row],[Date]],"mmm yyyy")</f>
        <v>Jun 2026</v>
      </c>
      <c r="S1851" s="9">
        <f>YEAR(Table1[[#This Row],[Date]])</f>
        <v>2026</v>
      </c>
      <c r="T1851" s="9"/>
      <c r="U1851" s="9"/>
    </row>
    <row r="1852" spans="1:21" x14ac:dyDescent="0.3">
      <c r="A1852" t="s">
        <v>2558</v>
      </c>
      <c r="B1852" s="6">
        <v>45984</v>
      </c>
      <c r="C1852" t="s">
        <v>18</v>
      </c>
      <c r="D1852" t="s">
        <v>41</v>
      </c>
      <c r="E1852" t="s">
        <v>48</v>
      </c>
      <c r="F1852" t="s">
        <v>382</v>
      </c>
      <c r="G1852" t="s">
        <v>30</v>
      </c>
      <c r="H1852" t="s">
        <v>66</v>
      </c>
      <c r="I1852" t="s">
        <v>45</v>
      </c>
      <c r="J1852" s="9">
        <v>1</v>
      </c>
      <c r="K1852" s="7">
        <v>9800</v>
      </c>
      <c r="L1852" s="7">
        <v>0</v>
      </c>
      <c r="M1852" s="9"/>
      <c r="N1852" s="7">
        <v>19.5</v>
      </c>
      <c r="O1852" s="7"/>
      <c r="P1852" s="7"/>
      <c r="Q1852" t="s">
        <v>45</v>
      </c>
      <c r="R1852" s="7" t="str">
        <f>TEXT(Table1[[#This Row],[Date]],"mmm yyyy")</f>
        <v>Nov 2025</v>
      </c>
      <c r="S1852" s="9">
        <f>YEAR(Table1[[#This Row],[Date]])</f>
        <v>2025</v>
      </c>
      <c r="T1852" s="9"/>
      <c r="U1852" s="9"/>
    </row>
    <row r="1853" spans="1:21" hidden="1" x14ac:dyDescent="0.3">
      <c r="A1853" t="s">
        <v>2559</v>
      </c>
      <c r="B1853" s="6">
        <v>46213</v>
      </c>
      <c r="C1853" t="s">
        <v>26</v>
      </c>
      <c r="D1853" t="s">
        <v>33</v>
      </c>
      <c r="E1853" t="s">
        <v>42</v>
      </c>
      <c r="F1853" t="s">
        <v>438</v>
      </c>
      <c r="G1853" t="s">
        <v>22</v>
      </c>
      <c r="J1853" s="9">
        <v>0</v>
      </c>
      <c r="K1853" s="7">
        <v>0</v>
      </c>
      <c r="L1853" s="7">
        <v>0</v>
      </c>
      <c r="M1853" s="9">
        <v>1</v>
      </c>
      <c r="N1853" s="7">
        <v>0.2</v>
      </c>
      <c r="O1853" s="7">
        <v>17</v>
      </c>
      <c r="P1853" s="7">
        <v>4.4000000000000004</v>
      </c>
      <c r="Q1853" t="s">
        <v>62</v>
      </c>
      <c r="R1853" s="7" t="str">
        <f>TEXT(Table1[[#This Row],[Date]],"mmm yyyy")</f>
        <v>Jul 2026</v>
      </c>
      <c r="S1853" s="9">
        <f>YEAR(Table1[[#This Row],[Date]])</f>
        <v>2026</v>
      </c>
      <c r="T1853" s="9"/>
      <c r="U1853" s="9"/>
    </row>
    <row r="1854" spans="1:21" hidden="1" x14ac:dyDescent="0.3">
      <c r="A1854" t="s">
        <v>2560</v>
      </c>
      <c r="B1854" s="6">
        <v>46031</v>
      </c>
      <c r="C1854" t="s">
        <v>26</v>
      </c>
      <c r="D1854" t="s">
        <v>232</v>
      </c>
      <c r="E1854" t="s">
        <v>42</v>
      </c>
      <c r="F1854" t="s">
        <v>495</v>
      </c>
      <c r="G1854" t="s">
        <v>44</v>
      </c>
      <c r="J1854" s="9">
        <v>0</v>
      </c>
      <c r="K1854" s="7">
        <v>0</v>
      </c>
      <c r="L1854" s="7">
        <v>0</v>
      </c>
      <c r="M1854" s="9">
        <v>1</v>
      </c>
      <c r="N1854" s="7">
        <v>9.8000000000000007</v>
      </c>
      <c r="O1854" s="7">
        <v>3.3</v>
      </c>
      <c r="P1854" s="7">
        <v>4.4000000000000004</v>
      </c>
      <c r="Q1854" t="s">
        <v>62</v>
      </c>
      <c r="R1854" s="7" t="str">
        <f>TEXT(Table1[[#This Row],[Date]],"mmm yyyy")</f>
        <v>Jan 2026</v>
      </c>
      <c r="S1854" s="9">
        <f>YEAR(Table1[[#This Row],[Date]])</f>
        <v>2026</v>
      </c>
      <c r="T1854" s="9"/>
      <c r="U1854" s="9"/>
    </row>
    <row r="1855" spans="1:21" hidden="1" x14ac:dyDescent="0.3">
      <c r="A1855" t="s">
        <v>2561</v>
      </c>
      <c r="B1855" s="6">
        <v>46043</v>
      </c>
      <c r="C1855" t="s">
        <v>26</v>
      </c>
      <c r="D1855" t="s">
        <v>33</v>
      </c>
      <c r="E1855" t="s">
        <v>37</v>
      </c>
      <c r="F1855" t="s">
        <v>2461</v>
      </c>
      <c r="G1855" t="s">
        <v>50</v>
      </c>
      <c r="J1855" s="9">
        <v>0</v>
      </c>
      <c r="K1855" s="7">
        <v>0</v>
      </c>
      <c r="L1855" s="7">
        <v>0</v>
      </c>
      <c r="M1855" s="9">
        <v>1</v>
      </c>
      <c r="N1855" s="7">
        <v>1.8</v>
      </c>
      <c r="O1855" s="7">
        <v>6.6</v>
      </c>
      <c r="P1855" s="7">
        <v>3.6</v>
      </c>
      <c r="Q1855" t="s">
        <v>62</v>
      </c>
      <c r="R1855" s="7" t="str">
        <f>TEXT(Table1[[#This Row],[Date]],"mmm yyyy")</f>
        <v>Jan 2026</v>
      </c>
      <c r="S1855" s="9">
        <f>YEAR(Table1[[#This Row],[Date]])</f>
        <v>2026</v>
      </c>
      <c r="T1855" s="9"/>
      <c r="U1855" s="9"/>
    </row>
    <row r="1856" spans="1:21" hidden="1" x14ac:dyDescent="0.3">
      <c r="A1856" t="s">
        <v>2562</v>
      </c>
      <c r="B1856" s="6">
        <v>45930</v>
      </c>
      <c r="C1856" t="s">
        <v>26</v>
      </c>
      <c r="D1856" t="s">
        <v>69</v>
      </c>
      <c r="E1856" t="s">
        <v>48</v>
      </c>
      <c r="F1856" t="s">
        <v>203</v>
      </c>
      <c r="G1856" t="s">
        <v>50</v>
      </c>
      <c r="J1856" s="9">
        <v>0</v>
      </c>
      <c r="K1856" s="7">
        <v>0</v>
      </c>
      <c r="L1856" s="7">
        <v>0</v>
      </c>
      <c r="M1856" s="9">
        <v>1</v>
      </c>
      <c r="N1856" s="7">
        <v>5.8</v>
      </c>
      <c r="O1856" s="7">
        <v>17.3</v>
      </c>
      <c r="P1856" s="7">
        <v>5</v>
      </c>
      <c r="Q1856" t="s">
        <v>39</v>
      </c>
      <c r="R1856" s="7" t="str">
        <f>TEXT(Table1[[#This Row],[Date]],"mmm yyyy")</f>
        <v>Sep 2025</v>
      </c>
      <c r="S1856" s="9">
        <f>YEAR(Table1[[#This Row],[Date]])</f>
        <v>2025</v>
      </c>
      <c r="T1856" s="9"/>
      <c r="U1856" s="9"/>
    </row>
    <row r="1857" spans="1:21" x14ac:dyDescent="0.3">
      <c r="A1857" t="s">
        <v>2563</v>
      </c>
      <c r="B1857" s="6">
        <v>46190</v>
      </c>
      <c r="C1857" t="s">
        <v>18</v>
      </c>
      <c r="D1857" t="s">
        <v>41</v>
      </c>
      <c r="E1857" t="s">
        <v>37</v>
      </c>
      <c r="F1857" t="s">
        <v>1578</v>
      </c>
      <c r="G1857" t="s">
        <v>50</v>
      </c>
      <c r="H1857" t="s">
        <v>86</v>
      </c>
      <c r="I1857" t="s">
        <v>79</v>
      </c>
      <c r="J1857" s="9">
        <v>1</v>
      </c>
      <c r="K1857" s="7">
        <v>36700</v>
      </c>
      <c r="L1857" s="7">
        <v>0</v>
      </c>
      <c r="M1857" s="9"/>
      <c r="N1857" s="7">
        <v>6</v>
      </c>
      <c r="O1857" s="7"/>
      <c r="P1857" s="7"/>
      <c r="Q1857" t="s">
        <v>79</v>
      </c>
      <c r="R1857" s="7" t="str">
        <f>TEXT(Table1[[#This Row],[Date]],"mmm yyyy")</f>
        <v>Jun 2026</v>
      </c>
      <c r="S1857" s="9">
        <f>YEAR(Table1[[#This Row],[Date]])</f>
        <v>2026</v>
      </c>
      <c r="T1857" s="9"/>
      <c r="U1857" s="9"/>
    </row>
    <row r="1858" spans="1:21" hidden="1" x14ac:dyDescent="0.3">
      <c r="A1858" t="s">
        <v>2564</v>
      </c>
      <c r="B1858" s="6">
        <v>46237</v>
      </c>
      <c r="C1858" t="s">
        <v>26</v>
      </c>
      <c r="D1858" t="s">
        <v>27</v>
      </c>
      <c r="E1858" t="s">
        <v>42</v>
      </c>
      <c r="F1858" t="s">
        <v>268</v>
      </c>
      <c r="G1858" t="s">
        <v>50</v>
      </c>
      <c r="J1858" s="9">
        <v>0</v>
      </c>
      <c r="K1858" s="7">
        <v>0</v>
      </c>
      <c r="L1858" s="7">
        <v>0</v>
      </c>
      <c r="M1858" s="9">
        <v>1</v>
      </c>
      <c r="N1858" s="7">
        <v>1.7</v>
      </c>
      <c r="O1858" s="7">
        <v>9</v>
      </c>
      <c r="P1858" s="7">
        <v>4.8</v>
      </c>
      <c r="Q1858" t="s">
        <v>31</v>
      </c>
      <c r="R1858" s="7" t="str">
        <f>TEXT(Table1[[#This Row],[Date]],"mmm yyyy")</f>
        <v>Aug 2026</v>
      </c>
      <c r="S1858" s="9">
        <f>YEAR(Table1[[#This Row],[Date]])</f>
        <v>2026</v>
      </c>
      <c r="T1858" s="9"/>
      <c r="U1858" s="9"/>
    </row>
    <row r="1859" spans="1:21" x14ac:dyDescent="0.3">
      <c r="A1859" t="s">
        <v>2565</v>
      </c>
      <c r="B1859" s="6">
        <v>45996</v>
      </c>
      <c r="C1859" t="s">
        <v>18</v>
      </c>
      <c r="D1859" t="s">
        <v>117</v>
      </c>
      <c r="E1859" t="s">
        <v>48</v>
      </c>
      <c r="F1859" t="s">
        <v>2566</v>
      </c>
      <c r="G1859" t="s">
        <v>30</v>
      </c>
      <c r="H1859" t="s">
        <v>78</v>
      </c>
      <c r="I1859" t="s">
        <v>55</v>
      </c>
      <c r="J1859" s="9">
        <v>1</v>
      </c>
      <c r="K1859" s="7">
        <v>5000</v>
      </c>
      <c r="L1859" s="7">
        <v>0</v>
      </c>
      <c r="M1859" s="9"/>
      <c r="N1859" s="7">
        <v>5.4</v>
      </c>
      <c r="O1859" s="7"/>
      <c r="P1859" s="7"/>
      <c r="Q1859" t="s">
        <v>55</v>
      </c>
      <c r="R1859" s="7" t="str">
        <f>TEXT(Table1[[#This Row],[Date]],"mmm yyyy")</f>
        <v>Dec 2025</v>
      </c>
      <c r="S1859" s="9">
        <f>YEAR(Table1[[#This Row],[Date]])</f>
        <v>2025</v>
      </c>
      <c r="T1859" s="9"/>
      <c r="U1859" s="9"/>
    </row>
    <row r="1860" spans="1:21" hidden="1" x14ac:dyDescent="0.3">
      <c r="A1860" t="s">
        <v>2567</v>
      </c>
      <c r="B1860" s="6">
        <v>46119</v>
      </c>
      <c r="C1860" t="s">
        <v>26</v>
      </c>
      <c r="D1860" t="s">
        <v>33</v>
      </c>
      <c r="E1860" t="s">
        <v>48</v>
      </c>
      <c r="F1860" t="s">
        <v>1273</v>
      </c>
      <c r="G1860" t="s">
        <v>22</v>
      </c>
      <c r="J1860" s="9">
        <v>0</v>
      </c>
      <c r="K1860" s="7">
        <v>0</v>
      </c>
      <c r="L1860" s="7">
        <v>0</v>
      </c>
      <c r="M1860" s="9">
        <v>1</v>
      </c>
      <c r="N1860" s="7">
        <v>4.8</v>
      </c>
      <c r="O1860" s="7">
        <v>8.3000000000000007</v>
      </c>
      <c r="P1860" s="7">
        <v>4.4000000000000004</v>
      </c>
      <c r="Q1860" t="s">
        <v>39</v>
      </c>
      <c r="R1860" s="7" t="str">
        <f>TEXT(Table1[[#This Row],[Date]],"mmm yyyy")</f>
        <v>Apr 2026</v>
      </c>
      <c r="S1860" s="9">
        <f>YEAR(Table1[[#This Row],[Date]])</f>
        <v>2026</v>
      </c>
      <c r="T1860" s="9"/>
      <c r="U1860" s="9"/>
    </row>
    <row r="1861" spans="1:21" hidden="1" x14ac:dyDescent="0.3">
      <c r="A1861" t="s">
        <v>2568</v>
      </c>
      <c r="B1861" s="6">
        <v>46182</v>
      </c>
      <c r="C1861" t="s">
        <v>26</v>
      </c>
      <c r="D1861" t="s">
        <v>33</v>
      </c>
      <c r="E1861" t="s">
        <v>20</v>
      </c>
      <c r="F1861" t="s">
        <v>2401</v>
      </c>
      <c r="G1861" t="s">
        <v>30</v>
      </c>
      <c r="J1861" s="9">
        <v>0</v>
      </c>
      <c r="K1861" s="7">
        <v>0</v>
      </c>
      <c r="L1861" s="7">
        <v>0</v>
      </c>
      <c r="M1861" s="9">
        <v>1</v>
      </c>
      <c r="N1861" s="7">
        <v>6.4</v>
      </c>
      <c r="O1861" s="7">
        <v>9.8000000000000007</v>
      </c>
      <c r="P1861" s="7">
        <v>4.7</v>
      </c>
      <c r="Q1861" t="s">
        <v>31</v>
      </c>
      <c r="R1861" s="7" t="str">
        <f>TEXT(Table1[[#This Row],[Date]],"mmm yyyy")</f>
        <v>Jun 2026</v>
      </c>
      <c r="S1861" s="9">
        <f>YEAR(Table1[[#This Row],[Date]])</f>
        <v>2026</v>
      </c>
      <c r="T1861" s="9"/>
      <c r="U1861" s="9"/>
    </row>
    <row r="1862" spans="1:21" hidden="1" x14ac:dyDescent="0.3">
      <c r="A1862" t="s">
        <v>2569</v>
      </c>
      <c r="B1862" s="6">
        <v>46224</v>
      </c>
      <c r="C1862" t="s">
        <v>26</v>
      </c>
      <c r="D1862" t="s">
        <v>72</v>
      </c>
      <c r="E1862" t="s">
        <v>20</v>
      </c>
      <c r="F1862" t="s">
        <v>1129</v>
      </c>
      <c r="G1862" t="s">
        <v>22</v>
      </c>
      <c r="J1862" s="9">
        <v>0</v>
      </c>
      <c r="K1862" s="7">
        <v>0</v>
      </c>
      <c r="L1862" s="7">
        <v>0</v>
      </c>
      <c r="M1862" s="9">
        <v>1</v>
      </c>
      <c r="N1862" s="7">
        <v>9.6999999999999993</v>
      </c>
      <c r="O1862" s="7">
        <v>8.9</v>
      </c>
      <c r="P1862" s="7">
        <v>4.5999999999999996</v>
      </c>
      <c r="Q1862" t="s">
        <v>31</v>
      </c>
      <c r="R1862" s="7" t="str">
        <f>TEXT(Table1[[#This Row],[Date]],"mmm yyyy")</f>
        <v>Jul 2026</v>
      </c>
      <c r="S1862" s="9">
        <f>YEAR(Table1[[#This Row],[Date]])</f>
        <v>2026</v>
      </c>
      <c r="T1862" s="9"/>
      <c r="U1862" s="9"/>
    </row>
    <row r="1863" spans="1:21" hidden="1" x14ac:dyDescent="0.3">
      <c r="A1863" t="s">
        <v>2570</v>
      </c>
      <c r="B1863" s="6">
        <v>45901</v>
      </c>
      <c r="C1863" t="s">
        <v>26</v>
      </c>
      <c r="D1863" t="s">
        <v>232</v>
      </c>
      <c r="E1863" t="s">
        <v>20</v>
      </c>
      <c r="F1863" t="s">
        <v>467</v>
      </c>
      <c r="G1863" t="s">
        <v>44</v>
      </c>
      <c r="J1863" s="9">
        <v>0</v>
      </c>
      <c r="K1863" s="7">
        <v>0</v>
      </c>
      <c r="L1863" s="7">
        <v>0</v>
      </c>
      <c r="M1863" s="9">
        <v>1</v>
      </c>
      <c r="N1863" s="7">
        <v>0.4</v>
      </c>
      <c r="O1863" s="7">
        <v>23.2</v>
      </c>
      <c r="P1863" s="7">
        <v>4.0999999999999996</v>
      </c>
      <c r="Q1863" t="s">
        <v>39</v>
      </c>
      <c r="R1863" s="7" t="str">
        <f>TEXT(Table1[[#This Row],[Date]],"mmm yyyy")</f>
        <v>Sep 2025</v>
      </c>
      <c r="S1863" s="9">
        <f>YEAR(Table1[[#This Row],[Date]])</f>
        <v>2025</v>
      </c>
      <c r="T1863" s="9"/>
      <c r="U1863" s="9"/>
    </row>
    <row r="1864" spans="1:21" x14ac:dyDescent="0.3">
      <c r="A1864" t="s">
        <v>2571</v>
      </c>
      <c r="B1864" s="6">
        <v>46113</v>
      </c>
      <c r="C1864" t="s">
        <v>18</v>
      </c>
      <c r="D1864" t="s">
        <v>117</v>
      </c>
      <c r="E1864" t="s">
        <v>37</v>
      </c>
      <c r="F1864" t="s">
        <v>1392</v>
      </c>
      <c r="G1864" t="s">
        <v>22</v>
      </c>
      <c r="H1864" t="s">
        <v>86</v>
      </c>
      <c r="I1864" t="s">
        <v>79</v>
      </c>
      <c r="J1864" s="9">
        <v>1</v>
      </c>
      <c r="K1864" s="7">
        <v>34700</v>
      </c>
      <c r="L1864" s="7">
        <v>0</v>
      </c>
      <c r="M1864" s="9"/>
      <c r="N1864" s="7">
        <v>12.2</v>
      </c>
      <c r="O1864" s="7"/>
      <c r="P1864" s="7"/>
      <c r="Q1864" t="s">
        <v>79</v>
      </c>
      <c r="R1864" s="7" t="str">
        <f>TEXT(Table1[[#This Row],[Date]],"mmm yyyy")</f>
        <v>Apr 2026</v>
      </c>
      <c r="S1864" s="9">
        <f>YEAR(Table1[[#This Row],[Date]])</f>
        <v>2026</v>
      </c>
      <c r="T1864" s="9"/>
      <c r="U1864" s="9"/>
    </row>
    <row r="1865" spans="1:21" x14ac:dyDescent="0.3">
      <c r="A1865" t="s">
        <v>2572</v>
      </c>
      <c r="B1865" s="6">
        <v>46161</v>
      </c>
      <c r="C1865" t="s">
        <v>18</v>
      </c>
      <c r="D1865" t="s">
        <v>95</v>
      </c>
      <c r="E1865" t="s">
        <v>28</v>
      </c>
      <c r="F1865" t="s">
        <v>1135</v>
      </c>
      <c r="G1865" t="s">
        <v>22</v>
      </c>
      <c r="H1865" t="s">
        <v>23</v>
      </c>
      <c r="I1865" t="s">
        <v>24</v>
      </c>
      <c r="J1865" s="9">
        <v>1</v>
      </c>
      <c r="K1865" s="7">
        <v>16100</v>
      </c>
      <c r="L1865" s="7">
        <v>16100</v>
      </c>
      <c r="M1865" s="9"/>
      <c r="N1865" s="7">
        <v>18.8</v>
      </c>
      <c r="O1865" s="7"/>
      <c r="P1865" s="7"/>
      <c r="Q1865" t="s">
        <v>24</v>
      </c>
      <c r="R1865" s="7" t="str">
        <f>TEXT(Table1[[#This Row],[Date]],"mmm yyyy")</f>
        <v>May 2026</v>
      </c>
      <c r="S1865" s="9">
        <f>YEAR(Table1[[#This Row],[Date]])</f>
        <v>2026</v>
      </c>
      <c r="T1865" s="9"/>
      <c r="U1865" s="9"/>
    </row>
    <row r="1866" spans="1:21" hidden="1" x14ac:dyDescent="0.3">
      <c r="A1866" t="s">
        <v>2573</v>
      </c>
      <c r="B1866" s="6">
        <v>45925</v>
      </c>
      <c r="C1866" t="s">
        <v>26</v>
      </c>
      <c r="D1866" t="s">
        <v>232</v>
      </c>
      <c r="E1866" t="s">
        <v>37</v>
      </c>
      <c r="F1866" t="s">
        <v>233</v>
      </c>
      <c r="G1866" t="s">
        <v>44</v>
      </c>
      <c r="J1866" s="9">
        <v>0</v>
      </c>
      <c r="K1866" s="7">
        <v>0</v>
      </c>
      <c r="L1866" s="7">
        <v>0</v>
      </c>
      <c r="M1866" s="9">
        <v>1</v>
      </c>
      <c r="N1866" s="7">
        <v>3</v>
      </c>
      <c r="O1866" s="7">
        <v>21.9</v>
      </c>
      <c r="P1866" s="7">
        <v>3.9</v>
      </c>
      <c r="Q1866" t="s">
        <v>31</v>
      </c>
      <c r="R1866" s="7" t="str">
        <f>TEXT(Table1[[#This Row],[Date]],"mmm yyyy")</f>
        <v>Sep 2025</v>
      </c>
      <c r="S1866" s="9">
        <f>YEAR(Table1[[#This Row],[Date]])</f>
        <v>2025</v>
      </c>
      <c r="T1866" s="9"/>
      <c r="U1866" s="9"/>
    </row>
    <row r="1867" spans="1:21" hidden="1" x14ac:dyDescent="0.3">
      <c r="A1867" t="s">
        <v>2574</v>
      </c>
      <c r="B1867" s="6">
        <v>45911</v>
      </c>
      <c r="C1867" t="s">
        <v>26</v>
      </c>
      <c r="D1867" t="s">
        <v>114</v>
      </c>
      <c r="E1867" t="s">
        <v>20</v>
      </c>
      <c r="F1867" t="s">
        <v>288</v>
      </c>
      <c r="G1867" t="s">
        <v>30</v>
      </c>
      <c r="J1867" s="9">
        <v>0</v>
      </c>
      <c r="K1867" s="7">
        <v>0</v>
      </c>
      <c r="L1867" s="7">
        <v>0</v>
      </c>
      <c r="M1867" s="9">
        <v>1</v>
      </c>
      <c r="N1867" s="7">
        <v>9.1</v>
      </c>
      <c r="O1867" s="7">
        <v>4.2</v>
      </c>
      <c r="P1867" s="7">
        <v>5</v>
      </c>
      <c r="Q1867" t="s">
        <v>39</v>
      </c>
      <c r="R1867" s="7" t="str">
        <f>TEXT(Table1[[#This Row],[Date]],"mmm yyyy")</f>
        <v>Sep 2025</v>
      </c>
      <c r="S1867" s="9">
        <f>YEAR(Table1[[#This Row],[Date]])</f>
        <v>2025</v>
      </c>
      <c r="T1867" s="9"/>
      <c r="U1867" s="9"/>
    </row>
    <row r="1868" spans="1:21" x14ac:dyDescent="0.3">
      <c r="A1868" t="s">
        <v>2575</v>
      </c>
      <c r="B1868" s="6">
        <v>46002</v>
      </c>
      <c r="C1868" t="s">
        <v>18</v>
      </c>
      <c r="D1868" t="s">
        <v>95</v>
      </c>
      <c r="E1868" t="s">
        <v>48</v>
      </c>
      <c r="F1868" t="s">
        <v>710</v>
      </c>
      <c r="G1868" t="s">
        <v>22</v>
      </c>
      <c r="H1868" t="s">
        <v>23</v>
      </c>
      <c r="I1868" t="s">
        <v>67</v>
      </c>
      <c r="J1868" s="9">
        <v>1</v>
      </c>
      <c r="K1868" s="7">
        <v>5000</v>
      </c>
      <c r="L1868" s="7">
        <v>0</v>
      </c>
      <c r="M1868" s="9"/>
      <c r="N1868" s="7">
        <v>15.7</v>
      </c>
      <c r="O1868" s="7"/>
      <c r="P1868" s="7"/>
      <c r="Q1868" t="s">
        <v>67</v>
      </c>
      <c r="R1868" s="7" t="str">
        <f>TEXT(Table1[[#This Row],[Date]],"mmm yyyy")</f>
        <v>Dec 2025</v>
      </c>
      <c r="S1868" s="9">
        <f>YEAR(Table1[[#This Row],[Date]])</f>
        <v>2025</v>
      </c>
      <c r="T1868" s="9"/>
      <c r="U1868" s="9"/>
    </row>
    <row r="1869" spans="1:21" x14ac:dyDescent="0.3">
      <c r="A1869" t="s">
        <v>2576</v>
      </c>
      <c r="B1869" s="6">
        <v>45994</v>
      </c>
      <c r="C1869" t="s">
        <v>18</v>
      </c>
      <c r="D1869" t="s">
        <v>117</v>
      </c>
      <c r="E1869" t="s">
        <v>37</v>
      </c>
      <c r="F1869" t="s">
        <v>917</v>
      </c>
      <c r="G1869" t="s">
        <v>30</v>
      </c>
      <c r="H1869" t="s">
        <v>23</v>
      </c>
      <c r="I1869" t="s">
        <v>67</v>
      </c>
      <c r="J1869" s="9">
        <v>1</v>
      </c>
      <c r="K1869" s="7">
        <v>7500</v>
      </c>
      <c r="L1869" s="7">
        <v>0</v>
      </c>
      <c r="M1869" s="9"/>
      <c r="N1869" s="7">
        <v>8.3000000000000007</v>
      </c>
      <c r="O1869" s="7"/>
      <c r="P1869" s="7"/>
      <c r="Q1869" t="s">
        <v>67</v>
      </c>
      <c r="R1869" s="7" t="str">
        <f>TEXT(Table1[[#This Row],[Date]],"mmm yyyy")</f>
        <v>Dec 2025</v>
      </c>
      <c r="S1869" s="9">
        <f>YEAR(Table1[[#This Row],[Date]])</f>
        <v>2025</v>
      </c>
      <c r="T1869" s="9"/>
      <c r="U1869" s="9"/>
    </row>
    <row r="1870" spans="1:21" x14ac:dyDescent="0.3">
      <c r="A1870" t="s">
        <v>2577</v>
      </c>
      <c r="B1870" s="6">
        <v>46115</v>
      </c>
      <c r="C1870" t="s">
        <v>18</v>
      </c>
      <c r="D1870" t="s">
        <v>95</v>
      </c>
      <c r="E1870" t="s">
        <v>20</v>
      </c>
      <c r="F1870" t="s">
        <v>896</v>
      </c>
      <c r="G1870" t="s">
        <v>22</v>
      </c>
      <c r="H1870" t="s">
        <v>23</v>
      </c>
      <c r="I1870" t="s">
        <v>24</v>
      </c>
      <c r="J1870" s="9">
        <v>1</v>
      </c>
      <c r="K1870" s="7">
        <v>28600</v>
      </c>
      <c r="L1870" s="7">
        <v>28600</v>
      </c>
      <c r="M1870" s="9"/>
      <c r="N1870" s="7">
        <v>4</v>
      </c>
      <c r="O1870" s="7"/>
      <c r="P1870" s="7"/>
      <c r="Q1870" t="s">
        <v>24</v>
      </c>
      <c r="R1870" s="7" t="str">
        <f>TEXT(Table1[[#This Row],[Date]],"mmm yyyy")</f>
        <v>Apr 2026</v>
      </c>
      <c r="S1870" s="9">
        <f>YEAR(Table1[[#This Row],[Date]])</f>
        <v>2026</v>
      </c>
      <c r="T1870" s="9"/>
      <c r="U1870" s="9"/>
    </row>
    <row r="1871" spans="1:21" hidden="1" x14ac:dyDescent="0.3">
      <c r="A1871" t="s">
        <v>2578</v>
      </c>
      <c r="B1871" s="6">
        <v>46201</v>
      </c>
      <c r="C1871" t="s">
        <v>26</v>
      </c>
      <c r="D1871" t="s">
        <v>27</v>
      </c>
      <c r="E1871" t="s">
        <v>20</v>
      </c>
      <c r="F1871" t="s">
        <v>785</v>
      </c>
      <c r="G1871" t="s">
        <v>22</v>
      </c>
      <c r="J1871" s="9">
        <v>0</v>
      </c>
      <c r="K1871" s="7">
        <v>0</v>
      </c>
      <c r="L1871" s="7">
        <v>0</v>
      </c>
      <c r="M1871" s="9">
        <v>1</v>
      </c>
      <c r="N1871" s="7">
        <v>10.5</v>
      </c>
      <c r="O1871" s="7">
        <v>4.9000000000000004</v>
      </c>
      <c r="P1871" s="7">
        <v>3.1</v>
      </c>
      <c r="Q1871" t="s">
        <v>225</v>
      </c>
      <c r="R1871" s="7" t="str">
        <f>TEXT(Table1[[#This Row],[Date]],"mmm yyyy")</f>
        <v>Jun 2026</v>
      </c>
      <c r="S1871" s="9">
        <f>YEAR(Table1[[#This Row],[Date]])</f>
        <v>2026</v>
      </c>
      <c r="T1871" s="9"/>
      <c r="U1871" s="9"/>
    </row>
    <row r="1872" spans="1:21" hidden="1" x14ac:dyDescent="0.3">
      <c r="A1872" t="s">
        <v>2579</v>
      </c>
      <c r="B1872" s="6">
        <v>46130</v>
      </c>
      <c r="C1872" t="s">
        <v>26</v>
      </c>
      <c r="D1872" t="s">
        <v>33</v>
      </c>
      <c r="E1872" t="s">
        <v>28</v>
      </c>
      <c r="F1872" t="s">
        <v>108</v>
      </c>
      <c r="G1872" t="s">
        <v>44</v>
      </c>
      <c r="J1872" s="9">
        <v>0</v>
      </c>
      <c r="K1872" s="7">
        <v>0</v>
      </c>
      <c r="L1872" s="7">
        <v>0</v>
      </c>
      <c r="M1872" s="9">
        <v>1</v>
      </c>
      <c r="N1872" s="7">
        <v>0.8</v>
      </c>
      <c r="O1872" s="7">
        <v>7.3</v>
      </c>
      <c r="P1872" s="7">
        <v>4.8</v>
      </c>
      <c r="Q1872" t="s">
        <v>39</v>
      </c>
      <c r="R1872" s="7" t="str">
        <f>TEXT(Table1[[#This Row],[Date]],"mmm yyyy")</f>
        <v>Apr 2026</v>
      </c>
      <c r="S1872" s="9">
        <f>YEAR(Table1[[#This Row],[Date]])</f>
        <v>2026</v>
      </c>
      <c r="T1872" s="9"/>
      <c r="U1872" s="9"/>
    </row>
    <row r="1873" spans="1:21" x14ac:dyDescent="0.3">
      <c r="A1873" t="s">
        <v>2580</v>
      </c>
      <c r="B1873" s="6">
        <v>46179</v>
      </c>
      <c r="C1873" t="s">
        <v>18</v>
      </c>
      <c r="D1873" t="s">
        <v>47</v>
      </c>
      <c r="E1873" t="s">
        <v>28</v>
      </c>
      <c r="F1873" t="s">
        <v>1893</v>
      </c>
      <c r="G1873" t="s">
        <v>50</v>
      </c>
      <c r="H1873" t="s">
        <v>78</v>
      </c>
      <c r="I1873" t="s">
        <v>89</v>
      </c>
      <c r="J1873" s="9">
        <v>1</v>
      </c>
      <c r="K1873" s="7">
        <v>42200</v>
      </c>
      <c r="L1873" s="7">
        <v>0</v>
      </c>
      <c r="M1873" s="9"/>
      <c r="N1873" s="7">
        <v>18.399999999999999</v>
      </c>
      <c r="O1873" s="7"/>
      <c r="P1873" s="7"/>
      <c r="Q1873" t="s">
        <v>89</v>
      </c>
      <c r="R1873" s="7" t="str">
        <f>TEXT(Table1[[#This Row],[Date]],"mmm yyyy")</f>
        <v>Jun 2026</v>
      </c>
      <c r="S1873" s="9">
        <f>YEAR(Table1[[#This Row],[Date]])</f>
        <v>2026</v>
      </c>
      <c r="T1873" s="9"/>
      <c r="U1873" s="9"/>
    </row>
    <row r="1874" spans="1:21" x14ac:dyDescent="0.3">
      <c r="A1874" t="s">
        <v>2581</v>
      </c>
      <c r="B1874" s="6">
        <v>46053</v>
      </c>
      <c r="C1874" t="s">
        <v>18</v>
      </c>
      <c r="D1874" t="s">
        <v>117</v>
      </c>
      <c r="E1874" t="s">
        <v>48</v>
      </c>
      <c r="F1874" t="s">
        <v>1701</v>
      </c>
      <c r="G1874" t="s">
        <v>30</v>
      </c>
      <c r="H1874" t="s">
        <v>23</v>
      </c>
      <c r="I1874" t="s">
        <v>67</v>
      </c>
      <c r="J1874" s="9">
        <v>1</v>
      </c>
      <c r="K1874" s="7">
        <v>14300</v>
      </c>
      <c r="L1874" s="7">
        <v>0</v>
      </c>
      <c r="M1874" s="9"/>
      <c r="N1874" s="7">
        <v>15.2</v>
      </c>
      <c r="O1874" s="7"/>
      <c r="P1874" s="7"/>
      <c r="Q1874" t="s">
        <v>67</v>
      </c>
      <c r="R1874" s="7" t="str">
        <f>TEXT(Table1[[#This Row],[Date]],"mmm yyyy")</f>
        <v>Jan 2026</v>
      </c>
      <c r="S1874" s="9">
        <f>YEAR(Table1[[#This Row],[Date]])</f>
        <v>2026</v>
      </c>
      <c r="T1874" s="9"/>
      <c r="U1874" s="9"/>
    </row>
    <row r="1875" spans="1:21" hidden="1" x14ac:dyDescent="0.3">
      <c r="A1875" t="s">
        <v>2582</v>
      </c>
      <c r="B1875" s="6">
        <v>45929</v>
      </c>
      <c r="C1875" t="s">
        <v>26</v>
      </c>
      <c r="D1875" t="s">
        <v>36</v>
      </c>
      <c r="E1875" t="s">
        <v>42</v>
      </c>
      <c r="F1875" t="s">
        <v>971</v>
      </c>
      <c r="G1875" t="s">
        <v>44</v>
      </c>
      <c r="J1875" s="9">
        <v>0</v>
      </c>
      <c r="K1875" s="7">
        <v>0</v>
      </c>
      <c r="L1875" s="7">
        <v>0</v>
      </c>
      <c r="M1875" s="9">
        <v>1</v>
      </c>
      <c r="N1875" s="7">
        <v>1.5</v>
      </c>
      <c r="O1875" s="7">
        <v>9.6999999999999993</v>
      </c>
      <c r="P1875" s="7">
        <v>4.3</v>
      </c>
      <c r="Q1875" t="s">
        <v>39</v>
      </c>
      <c r="R1875" s="7" t="str">
        <f>TEXT(Table1[[#This Row],[Date]],"mmm yyyy")</f>
        <v>Sep 2025</v>
      </c>
      <c r="S1875" s="9">
        <f>YEAR(Table1[[#This Row],[Date]])</f>
        <v>2025</v>
      </c>
      <c r="T1875" s="9"/>
      <c r="U1875" s="9"/>
    </row>
    <row r="1876" spans="1:21" hidden="1" x14ac:dyDescent="0.3">
      <c r="A1876" t="s">
        <v>2583</v>
      </c>
      <c r="B1876" s="6">
        <v>46003</v>
      </c>
      <c r="C1876" t="s">
        <v>26</v>
      </c>
      <c r="D1876" t="s">
        <v>36</v>
      </c>
      <c r="E1876" t="s">
        <v>48</v>
      </c>
      <c r="F1876" t="s">
        <v>21</v>
      </c>
      <c r="G1876" t="s">
        <v>22</v>
      </c>
      <c r="J1876" s="9">
        <v>0</v>
      </c>
      <c r="K1876" s="7">
        <v>0</v>
      </c>
      <c r="L1876" s="7">
        <v>0</v>
      </c>
      <c r="M1876" s="9">
        <v>1</v>
      </c>
      <c r="N1876" s="7">
        <v>3.5</v>
      </c>
      <c r="O1876" s="7">
        <v>6.3</v>
      </c>
      <c r="P1876" s="7">
        <v>4.2</v>
      </c>
      <c r="Q1876" t="s">
        <v>39</v>
      </c>
      <c r="R1876" s="7" t="str">
        <f>TEXT(Table1[[#This Row],[Date]],"mmm yyyy")</f>
        <v>Dec 2025</v>
      </c>
      <c r="S1876" s="9">
        <f>YEAR(Table1[[#This Row],[Date]])</f>
        <v>2025</v>
      </c>
      <c r="T1876" s="9"/>
      <c r="U1876" s="9"/>
    </row>
    <row r="1877" spans="1:21" x14ac:dyDescent="0.3">
      <c r="A1877" t="s">
        <v>2584</v>
      </c>
      <c r="B1877" s="6">
        <v>46054</v>
      </c>
      <c r="C1877" t="s">
        <v>18</v>
      </c>
      <c r="D1877" t="s">
        <v>64</v>
      </c>
      <c r="E1877" t="s">
        <v>42</v>
      </c>
      <c r="F1877" t="s">
        <v>534</v>
      </c>
      <c r="G1877" t="s">
        <v>30</v>
      </c>
      <c r="H1877" t="s">
        <v>54</v>
      </c>
      <c r="I1877" t="s">
        <v>89</v>
      </c>
      <c r="J1877" s="9">
        <v>1</v>
      </c>
      <c r="K1877" s="7">
        <v>38300</v>
      </c>
      <c r="L1877" s="7">
        <v>0</v>
      </c>
      <c r="M1877" s="9"/>
      <c r="N1877" s="7">
        <v>12.6</v>
      </c>
      <c r="O1877" s="7"/>
      <c r="P1877" s="7"/>
      <c r="Q1877" t="s">
        <v>89</v>
      </c>
      <c r="R1877" s="7" t="str">
        <f>TEXT(Table1[[#This Row],[Date]],"mmm yyyy")</f>
        <v>Feb 2026</v>
      </c>
      <c r="S1877" s="9">
        <f>YEAR(Table1[[#This Row],[Date]])</f>
        <v>2026</v>
      </c>
      <c r="T1877" s="9"/>
      <c r="U1877" s="9"/>
    </row>
    <row r="1878" spans="1:21" hidden="1" x14ac:dyDescent="0.3">
      <c r="A1878" t="s">
        <v>2585</v>
      </c>
      <c r="B1878" s="6">
        <v>46166</v>
      </c>
      <c r="C1878" t="s">
        <v>26</v>
      </c>
      <c r="D1878" t="s">
        <v>69</v>
      </c>
      <c r="E1878" t="s">
        <v>20</v>
      </c>
      <c r="F1878" t="s">
        <v>838</v>
      </c>
      <c r="G1878" t="s">
        <v>50</v>
      </c>
      <c r="J1878" s="9">
        <v>0</v>
      </c>
      <c r="K1878" s="7">
        <v>0</v>
      </c>
      <c r="L1878" s="7">
        <v>0</v>
      </c>
      <c r="M1878" s="9">
        <v>1</v>
      </c>
      <c r="N1878" s="7">
        <v>8.9</v>
      </c>
      <c r="O1878" s="7">
        <v>9.6</v>
      </c>
      <c r="P1878" s="7">
        <v>4.5999999999999996</v>
      </c>
      <c r="Q1878" t="s">
        <v>62</v>
      </c>
      <c r="R1878" s="7" t="str">
        <f>TEXT(Table1[[#This Row],[Date]],"mmm yyyy")</f>
        <v>May 2026</v>
      </c>
      <c r="S1878" s="9">
        <f>YEAR(Table1[[#This Row],[Date]])</f>
        <v>2026</v>
      </c>
      <c r="T1878" s="9"/>
      <c r="U1878" s="9"/>
    </row>
    <row r="1879" spans="1:21" x14ac:dyDescent="0.3">
      <c r="A1879" t="s">
        <v>2586</v>
      </c>
      <c r="B1879" s="6">
        <v>46016</v>
      </c>
      <c r="C1879" t="s">
        <v>18</v>
      </c>
      <c r="D1879" t="s">
        <v>117</v>
      </c>
      <c r="E1879" t="s">
        <v>20</v>
      </c>
      <c r="F1879" t="s">
        <v>1210</v>
      </c>
      <c r="G1879" t="s">
        <v>22</v>
      </c>
      <c r="H1879" t="s">
        <v>78</v>
      </c>
      <c r="I1879" t="s">
        <v>67</v>
      </c>
      <c r="J1879" s="9">
        <v>1</v>
      </c>
      <c r="K1879" s="7">
        <v>17600</v>
      </c>
      <c r="L1879" s="7">
        <v>0</v>
      </c>
      <c r="M1879" s="9"/>
      <c r="N1879" s="7">
        <v>4.9000000000000004</v>
      </c>
      <c r="O1879" s="7"/>
      <c r="P1879" s="7"/>
      <c r="Q1879" t="s">
        <v>67</v>
      </c>
      <c r="R1879" s="7" t="str">
        <f>TEXT(Table1[[#This Row],[Date]],"mmm yyyy")</f>
        <v>Dec 2025</v>
      </c>
      <c r="S1879" s="9">
        <f>YEAR(Table1[[#This Row],[Date]])</f>
        <v>2025</v>
      </c>
      <c r="T1879" s="9"/>
      <c r="U1879" s="9"/>
    </row>
    <row r="1880" spans="1:21" x14ac:dyDescent="0.3">
      <c r="A1880" t="s">
        <v>2587</v>
      </c>
      <c r="B1880" s="6">
        <v>46067</v>
      </c>
      <c r="C1880" t="s">
        <v>18</v>
      </c>
      <c r="D1880" t="s">
        <v>105</v>
      </c>
      <c r="E1880" t="s">
        <v>20</v>
      </c>
      <c r="F1880" t="s">
        <v>260</v>
      </c>
      <c r="G1880" t="s">
        <v>50</v>
      </c>
      <c r="H1880" t="s">
        <v>78</v>
      </c>
      <c r="I1880" t="s">
        <v>24</v>
      </c>
      <c r="J1880" s="9">
        <v>1</v>
      </c>
      <c r="K1880" s="7">
        <v>35000</v>
      </c>
      <c r="L1880" s="7">
        <v>35000</v>
      </c>
      <c r="M1880" s="9"/>
      <c r="N1880" s="7">
        <v>4.5999999999999996</v>
      </c>
      <c r="O1880" s="7"/>
      <c r="P1880" s="7"/>
      <c r="Q1880" t="s">
        <v>24</v>
      </c>
      <c r="R1880" s="7" t="str">
        <f>TEXT(Table1[[#This Row],[Date]],"mmm yyyy")</f>
        <v>Feb 2026</v>
      </c>
      <c r="S1880" s="9">
        <f>YEAR(Table1[[#This Row],[Date]])</f>
        <v>2026</v>
      </c>
      <c r="T1880" s="9"/>
      <c r="U1880" s="9"/>
    </row>
    <row r="1881" spans="1:21" hidden="1" x14ac:dyDescent="0.3">
      <c r="A1881" t="s">
        <v>2588</v>
      </c>
      <c r="B1881" s="6">
        <v>45953</v>
      </c>
      <c r="C1881" t="s">
        <v>26</v>
      </c>
      <c r="D1881" t="s">
        <v>232</v>
      </c>
      <c r="E1881" t="s">
        <v>48</v>
      </c>
      <c r="F1881" t="s">
        <v>781</v>
      </c>
      <c r="G1881" t="s">
        <v>30</v>
      </c>
      <c r="J1881" s="9">
        <v>0</v>
      </c>
      <c r="K1881" s="7">
        <v>0</v>
      </c>
      <c r="L1881" s="7">
        <v>0</v>
      </c>
      <c r="M1881" s="9">
        <v>1</v>
      </c>
      <c r="N1881" s="7">
        <v>7.9</v>
      </c>
      <c r="O1881" s="7">
        <v>4.7</v>
      </c>
      <c r="P1881" s="7">
        <v>5</v>
      </c>
      <c r="Q1881" t="s">
        <v>39</v>
      </c>
      <c r="R1881" s="7" t="str">
        <f>TEXT(Table1[[#This Row],[Date]],"mmm yyyy")</f>
        <v>Oct 2025</v>
      </c>
      <c r="S1881" s="9">
        <f>YEAR(Table1[[#This Row],[Date]])</f>
        <v>2025</v>
      </c>
      <c r="T1881" s="9"/>
      <c r="U1881" s="9"/>
    </row>
    <row r="1882" spans="1:21" hidden="1" x14ac:dyDescent="0.3">
      <c r="A1882" t="s">
        <v>2589</v>
      </c>
      <c r="B1882" s="6">
        <v>45936</v>
      </c>
      <c r="C1882" t="s">
        <v>26</v>
      </c>
      <c r="D1882" t="s">
        <v>114</v>
      </c>
      <c r="E1882" t="s">
        <v>28</v>
      </c>
      <c r="F1882" t="s">
        <v>1127</v>
      </c>
      <c r="G1882" t="s">
        <v>22</v>
      </c>
      <c r="J1882" s="9">
        <v>0</v>
      </c>
      <c r="K1882" s="7">
        <v>0</v>
      </c>
      <c r="L1882" s="7">
        <v>0</v>
      </c>
      <c r="M1882" s="9">
        <v>1</v>
      </c>
      <c r="N1882" s="7">
        <v>8.1</v>
      </c>
      <c r="O1882" s="7">
        <v>14.1</v>
      </c>
      <c r="P1882" s="7">
        <v>3.8</v>
      </c>
      <c r="Q1882" t="s">
        <v>39</v>
      </c>
      <c r="R1882" s="7" t="str">
        <f>TEXT(Table1[[#This Row],[Date]],"mmm yyyy")</f>
        <v>Oct 2025</v>
      </c>
      <c r="S1882" s="9">
        <f>YEAR(Table1[[#This Row],[Date]])</f>
        <v>2025</v>
      </c>
      <c r="T1882" s="9"/>
      <c r="U1882" s="9"/>
    </row>
    <row r="1883" spans="1:21" hidden="1" x14ac:dyDescent="0.3">
      <c r="A1883" t="s">
        <v>2590</v>
      </c>
      <c r="B1883" s="6">
        <v>46227</v>
      </c>
      <c r="C1883" t="s">
        <v>26</v>
      </c>
      <c r="D1883" t="s">
        <v>33</v>
      </c>
      <c r="E1883" t="s">
        <v>37</v>
      </c>
      <c r="F1883" t="s">
        <v>978</v>
      </c>
      <c r="G1883" t="s">
        <v>22</v>
      </c>
      <c r="J1883" s="9">
        <v>0</v>
      </c>
      <c r="K1883" s="7">
        <v>0</v>
      </c>
      <c r="L1883" s="7">
        <v>0</v>
      </c>
      <c r="M1883" s="9">
        <v>1</v>
      </c>
      <c r="N1883" s="7">
        <v>6.6</v>
      </c>
      <c r="O1883" s="7">
        <v>3.7</v>
      </c>
      <c r="P1883" s="7">
        <v>3.3</v>
      </c>
      <c r="Q1883" t="s">
        <v>39</v>
      </c>
      <c r="R1883" s="7" t="str">
        <f>TEXT(Table1[[#This Row],[Date]],"mmm yyyy")</f>
        <v>Jul 2026</v>
      </c>
      <c r="S1883" s="9">
        <f>YEAR(Table1[[#This Row],[Date]])</f>
        <v>2026</v>
      </c>
      <c r="T1883" s="9"/>
      <c r="U1883" s="9"/>
    </row>
    <row r="1884" spans="1:21" hidden="1" x14ac:dyDescent="0.3">
      <c r="A1884" t="s">
        <v>2591</v>
      </c>
      <c r="B1884" s="6">
        <v>46215</v>
      </c>
      <c r="C1884" t="s">
        <v>26</v>
      </c>
      <c r="D1884" t="s">
        <v>36</v>
      </c>
      <c r="E1884" t="s">
        <v>37</v>
      </c>
      <c r="F1884" t="s">
        <v>120</v>
      </c>
      <c r="G1884" t="s">
        <v>22</v>
      </c>
      <c r="J1884" s="9">
        <v>0</v>
      </c>
      <c r="K1884" s="7">
        <v>0</v>
      </c>
      <c r="L1884" s="7">
        <v>0</v>
      </c>
      <c r="M1884" s="9">
        <v>1</v>
      </c>
      <c r="N1884" s="7">
        <v>2</v>
      </c>
      <c r="O1884" s="7">
        <v>10.199999999999999</v>
      </c>
      <c r="P1884" s="7">
        <v>4.9000000000000004</v>
      </c>
      <c r="Q1884" t="s">
        <v>39</v>
      </c>
      <c r="R1884" s="7" t="str">
        <f>TEXT(Table1[[#This Row],[Date]],"mmm yyyy")</f>
        <v>Jul 2026</v>
      </c>
      <c r="S1884" s="9">
        <f>YEAR(Table1[[#This Row],[Date]])</f>
        <v>2026</v>
      </c>
      <c r="T1884" s="9"/>
      <c r="U1884" s="9"/>
    </row>
    <row r="1885" spans="1:21" hidden="1" x14ac:dyDescent="0.3">
      <c r="A1885" t="s">
        <v>2592</v>
      </c>
      <c r="B1885" s="6">
        <v>46166</v>
      </c>
      <c r="C1885" t="s">
        <v>26</v>
      </c>
      <c r="D1885" t="s">
        <v>69</v>
      </c>
      <c r="E1885" t="s">
        <v>48</v>
      </c>
      <c r="F1885" t="s">
        <v>641</v>
      </c>
      <c r="G1885" t="s">
        <v>30</v>
      </c>
      <c r="J1885" s="9">
        <v>0</v>
      </c>
      <c r="K1885" s="7">
        <v>0</v>
      </c>
      <c r="L1885" s="7">
        <v>0</v>
      </c>
      <c r="M1885" s="9">
        <v>1</v>
      </c>
      <c r="N1885" s="7">
        <v>11.4</v>
      </c>
      <c r="O1885" s="7">
        <v>6.2</v>
      </c>
      <c r="P1885" s="7">
        <v>3.8</v>
      </c>
      <c r="Q1885" t="s">
        <v>39</v>
      </c>
      <c r="R1885" s="7" t="str">
        <f>TEXT(Table1[[#This Row],[Date]],"mmm yyyy")</f>
        <v>May 2026</v>
      </c>
      <c r="S1885" s="9">
        <f>YEAR(Table1[[#This Row],[Date]])</f>
        <v>2026</v>
      </c>
      <c r="T1885" s="9"/>
      <c r="U1885" s="9"/>
    </row>
    <row r="1886" spans="1:21" x14ac:dyDescent="0.3">
      <c r="A1886" t="s">
        <v>2593</v>
      </c>
      <c r="B1886" s="6">
        <v>46262</v>
      </c>
      <c r="C1886" t="s">
        <v>18</v>
      </c>
      <c r="D1886" t="s">
        <v>105</v>
      </c>
      <c r="E1886" t="s">
        <v>20</v>
      </c>
      <c r="F1886" t="s">
        <v>978</v>
      </c>
      <c r="G1886" t="s">
        <v>22</v>
      </c>
      <c r="H1886" t="s">
        <v>86</v>
      </c>
      <c r="I1886" t="s">
        <v>67</v>
      </c>
      <c r="J1886" s="9">
        <v>1</v>
      </c>
      <c r="K1886" s="7">
        <v>29400</v>
      </c>
      <c r="L1886" s="7">
        <v>0</v>
      </c>
      <c r="M1886" s="9"/>
      <c r="N1886" s="7">
        <v>16.2</v>
      </c>
      <c r="O1886" s="7"/>
      <c r="P1886" s="7"/>
      <c r="Q1886" t="s">
        <v>67</v>
      </c>
      <c r="R1886" s="7" t="str">
        <f>TEXT(Table1[[#This Row],[Date]],"mmm yyyy")</f>
        <v>Aug 2026</v>
      </c>
      <c r="S1886" s="9">
        <f>YEAR(Table1[[#This Row],[Date]])</f>
        <v>2026</v>
      </c>
      <c r="T1886" s="9"/>
      <c r="U1886" s="9"/>
    </row>
    <row r="1887" spans="1:21" x14ac:dyDescent="0.3">
      <c r="A1887" t="s">
        <v>2594</v>
      </c>
      <c r="B1887" s="6">
        <v>46205</v>
      </c>
      <c r="C1887" t="s">
        <v>18</v>
      </c>
      <c r="D1887" t="s">
        <v>117</v>
      </c>
      <c r="E1887" t="s">
        <v>20</v>
      </c>
      <c r="F1887" t="s">
        <v>286</v>
      </c>
      <c r="G1887" t="s">
        <v>44</v>
      </c>
      <c r="H1887" t="s">
        <v>86</v>
      </c>
      <c r="I1887" t="s">
        <v>24</v>
      </c>
      <c r="J1887" s="9">
        <v>1</v>
      </c>
      <c r="K1887" s="7">
        <v>5000</v>
      </c>
      <c r="L1887" s="7">
        <v>5000</v>
      </c>
      <c r="M1887" s="9"/>
      <c r="N1887" s="7">
        <v>4.5999999999999996</v>
      </c>
      <c r="O1887" s="7"/>
      <c r="P1887" s="7"/>
      <c r="Q1887" t="s">
        <v>24</v>
      </c>
      <c r="R1887" s="7" t="str">
        <f>TEXT(Table1[[#This Row],[Date]],"mmm yyyy")</f>
        <v>Jul 2026</v>
      </c>
      <c r="S1887" s="9">
        <f>YEAR(Table1[[#This Row],[Date]])</f>
        <v>2026</v>
      </c>
      <c r="T1887" s="9"/>
      <c r="U1887" s="9"/>
    </row>
    <row r="1888" spans="1:21" x14ac:dyDescent="0.3">
      <c r="A1888" t="s">
        <v>2595</v>
      </c>
      <c r="B1888" s="6">
        <v>45993</v>
      </c>
      <c r="C1888" t="s">
        <v>18</v>
      </c>
      <c r="D1888" t="s">
        <v>105</v>
      </c>
      <c r="E1888" t="s">
        <v>48</v>
      </c>
      <c r="F1888" t="s">
        <v>681</v>
      </c>
      <c r="G1888" t="s">
        <v>50</v>
      </c>
      <c r="H1888" t="s">
        <v>23</v>
      </c>
      <c r="I1888" t="s">
        <v>55</v>
      </c>
      <c r="J1888" s="9">
        <v>1</v>
      </c>
      <c r="K1888" s="7">
        <v>16500</v>
      </c>
      <c r="L1888" s="7">
        <v>0</v>
      </c>
      <c r="M1888" s="9"/>
      <c r="N1888" s="7">
        <v>14.3</v>
      </c>
      <c r="O1888" s="7"/>
      <c r="P1888" s="7"/>
      <c r="Q1888" t="s">
        <v>55</v>
      </c>
      <c r="R1888" s="7" t="str">
        <f>TEXT(Table1[[#This Row],[Date]],"mmm yyyy")</f>
        <v>Dec 2025</v>
      </c>
      <c r="S1888" s="9">
        <f>YEAR(Table1[[#This Row],[Date]])</f>
        <v>2025</v>
      </c>
      <c r="T1888" s="9"/>
      <c r="U1888" s="9"/>
    </row>
    <row r="1889" spans="1:21" x14ac:dyDescent="0.3">
      <c r="A1889" t="s">
        <v>2596</v>
      </c>
      <c r="B1889" s="6">
        <v>46151</v>
      </c>
      <c r="C1889" t="s">
        <v>18</v>
      </c>
      <c r="D1889" t="s">
        <v>105</v>
      </c>
      <c r="E1889" t="s">
        <v>20</v>
      </c>
      <c r="F1889" t="s">
        <v>1977</v>
      </c>
      <c r="G1889" t="s">
        <v>30</v>
      </c>
      <c r="H1889" t="s">
        <v>23</v>
      </c>
      <c r="I1889" t="s">
        <v>55</v>
      </c>
      <c r="J1889" s="9">
        <v>1</v>
      </c>
      <c r="K1889" s="7">
        <v>16600</v>
      </c>
      <c r="L1889" s="7">
        <v>0</v>
      </c>
      <c r="M1889" s="9"/>
      <c r="N1889" s="7">
        <v>12</v>
      </c>
      <c r="O1889" s="7"/>
      <c r="P1889" s="7"/>
      <c r="Q1889" t="s">
        <v>55</v>
      </c>
      <c r="R1889" s="7" t="str">
        <f>TEXT(Table1[[#This Row],[Date]],"mmm yyyy")</f>
        <v>May 2026</v>
      </c>
      <c r="S1889" s="9">
        <f>YEAR(Table1[[#This Row],[Date]])</f>
        <v>2026</v>
      </c>
      <c r="T1889" s="9"/>
      <c r="U1889" s="9"/>
    </row>
    <row r="1890" spans="1:21" hidden="1" x14ac:dyDescent="0.3">
      <c r="A1890" t="s">
        <v>2597</v>
      </c>
      <c r="B1890" s="6">
        <v>46109</v>
      </c>
      <c r="C1890" t="s">
        <v>26</v>
      </c>
      <c r="D1890" t="s">
        <v>232</v>
      </c>
      <c r="E1890" t="s">
        <v>20</v>
      </c>
      <c r="F1890" t="s">
        <v>681</v>
      </c>
      <c r="G1890" t="s">
        <v>22</v>
      </c>
      <c r="J1890" s="9">
        <v>0</v>
      </c>
      <c r="K1890" s="7">
        <v>0</v>
      </c>
      <c r="L1890" s="7">
        <v>0</v>
      </c>
      <c r="M1890" s="9">
        <v>1</v>
      </c>
      <c r="N1890" s="7">
        <v>8.1</v>
      </c>
      <c r="O1890" s="7">
        <v>4</v>
      </c>
      <c r="P1890" s="7">
        <v>2.8</v>
      </c>
      <c r="Q1890" t="s">
        <v>39</v>
      </c>
      <c r="R1890" s="7" t="str">
        <f>TEXT(Table1[[#This Row],[Date]],"mmm yyyy")</f>
        <v>Mar 2026</v>
      </c>
      <c r="S1890" s="9">
        <f>YEAR(Table1[[#This Row],[Date]])</f>
        <v>2026</v>
      </c>
      <c r="T1890" s="9"/>
      <c r="U1890" s="9"/>
    </row>
    <row r="1891" spans="1:21" hidden="1" x14ac:dyDescent="0.3">
      <c r="A1891" t="s">
        <v>2598</v>
      </c>
      <c r="B1891" s="6">
        <v>45960</v>
      </c>
      <c r="C1891" t="s">
        <v>26</v>
      </c>
      <c r="D1891" t="s">
        <v>114</v>
      </c>
      <c r="E1891" t="s">
        <v>37</v>
      </c>
      <c r="F1891" t="s">
        <v>716</v>
      </c>
      <c r="G1891" t="s">
        <v>30</v>
      </c>
      <c r="J1891" s="9">
        <v>0</v>
      </c>
      <c r="K1891" s="7">
        <v>0</v>
      </c>
      <c r="L1891" s="7">
        <v>0</v>
      </c>
      <c r="M1891" s="9">
        <v>1</v>
      </c>
      <c r="N1891" s="7">
        <v>8</v>
      </c>
      <c r="O1891" s="7">
        <v>9.5</v>
      </c>
      <c r="P1891" s="7">
        <v>2.8</v>
      </c>
      <c r="Q1891" t="s">
        <v>31</v>
      </c>
      <c r="R1891" s="7" t="str">
        <f>TEXT(Table1[[#This Row],[Date]],"mmm yyyy")</f>
        <v>Oct 2025</v>
      </c>
      <c r="S1891" s="9">
        <f>YEAR(Table1[[#This Row],[Date]])</f>
        <v>2025</v>
      </c>
      <c r="T1891" s="9"/>
      <c r="U1891" s="9"/>
    </row>
    <row r="1892" spans="1:21" x14ac:dyDescent="0.3">
      <c r="A1892" t="s">
        <v>2599</v>
      </c>
      <c r="B1892" s="6">
        <v>46207</v>
      </c>
      <c r="C1892" t="s">
        <v>18</v>
      </c>
      <c r="D1892" t="s">
        <v>105</v>
      </c>
      <c r="E1892" t="s">
        <v>20</v>
      </c>
      <c r="F1892" t="s">
        <v>1123</v>
      </c>
      <c r="G1892" t="s">
        <v>44</v>
      </c>
      <c r="H1892" t="s">
        <v>78</v>
      </c>
      <c r="I1892" t="s">
        <v>89</v>
      </c>
      <c r="J1892" s="9">
        <v>1</v>
      </c>
      <c r="K1892" s="7">
        <v>5000</v>
      </c>
      <c r="L1892" s="7">
        <v>0</v>
      </c>
      <c r="M1892" s="9"/>
      <c r="N1892" s="7">
        <v>6</v>
      </c>
      <c r="O1892" s="7"/>
      <c r="P1892" s="7"/>
      <c r="Q1892" t="s">
        <v>89</v>
      </c>
      <c r="R1892" s="7" t="str">
        <f>TEXT(Table1[[#This Row],[Date]],"mmm yyyy")</f>
        <v>Jul 2026</v>
      </c>
      <c r="S1892" s="9">
        <f>YEAR(Table1[[#This Row],[Date]])</f>
        <v>2026</v>
      </c>
      <c r="T1892" s="9"/>
      <c r="U1892" s="9"/>
    </row>
    <row r="1893" spans="1:21" x14ac:dyDescent="0.3">
      <c r="A1893" t="s">
        <v>2600</v>
      </c>
      <c r="B1893" s="6">
        <v>45957</v>
      </c>
      <c r="C1893" t="s">
        <v>18</v>
      </c>
      <c r="D1893" t="s">
        <v>52</v>
      </c>
      <c r="E1893" t="s">
        <v>20</v>
      </c>
      <c r="F1893" t="s">
        <v>1302</v>
      </c>
      <c r="G1893" t="s">
        <v>30</v>
      </c>
      <c r="H1893" t="s">
        <v>78</v>
      </c>
      <c r="I1893" t="s">
        <v>79</v>
      </c>
      <c r="J1893" s="9">
        <v>1</v>
      </c>
      <c r="K1893" s="7">
        <v>10300</v>
      </c>
      <c r="L1893" s="7">
        <v>0</v>
      </c>
      <c r="M1893" s="9"/>
      <c r="N1893" s="7">
        <v>20.7</v>
      </c>
      <c r="O1893" s="7"/>
      <c r="P1893" s="7"/>
      <c r="Q1893" t="s">
        <v>79</v>
      </c>
      <c r="R1893" s="7" t="str">
        <f>TEXT(Table1[[#This Row],[Date]],"mmm yyyy")</f>
        <v>Oct 2025</v>
      </c>
      <c r="S1893" s="9">
        <f>YEAR(Table1[[#This Row],[Date]])</f>
        <v>2025</v>
      </c>
      <c r="T1893" s="9"/>
      <c r="U1893" s="9"/>
    </row>
    <row r="1894" spans="1:21" hidden="1" x14ac:dyDescent="0.3">
      <c r="A1894" t="s">
        <v>2601</v>
      </c>
      <c r="B1894" s="6">
        <v>46084</v>
      </c>
      <c r="C1894" t="s">
        <v>26</v>
      </c>
      <c r="D1894" t="s">
        <v>27</v>
      </c>
      <c r="E1894" t="s">
        <v>20</v>
      </c>
      <c r="F1894" t="s">
        <v>34</v>
      </c>
      <c r="G1894" t="s">
        <v>30</v>
      </c>
      <c r="J1894" s="9">
        <v>0</v>
      </c>
      <c r="K1894" s="7">
        <v>0</v>
      </c>
      <c r="L1894" s="7">
        <v>0</v>
      </c>
      <c r="M1894" s="9">
        <v>1</v>
      </c>
      <c r="N1894" s="7">
        <v>10.6</v>
      </c>
      <c r="O1894" s="7">
        <v>11</v>
      </c>
      <c r="P1894" s="7">
        <v>3.1</v>
      </c>
      <c r="Q1894" t="s">
        <v>39</v>
      </c>
      <c r="R1894" s="7" t="str">
        <f>TEXT(Table1[[#This Row],[Date]],"mmm yyyy")</f>
        <v>Mar 2026</v>
      </c>
      <c r="S1894" s="9">
        <f>YEAR(Table1[[#This Row],[Date]])</f>
        <v>2026</v>
      </c>
      <c r="T1894" s="9"/>
      <c r="U1894" s="9"/>
    </row>
    <row r="1895" spans="1:21" x14ac:dyDescent="0.3">
      <c r="A1895" t="s">
        <v>2602</v>
      </c>
      <c r="B1895" s="6">
        <v>46099</v>
      </c>
      <c r="C1895" t="s">
        <v>18</v>
      </c>
      <c r="D1895" t="s">
        <v>47</v>
      </c>
      <c r="E1895" t="s">
        <v>20</v>
      </c>
      <c r="F1895" t="s">
        <v>2603</v>
      </c>
      <c r="G1895" t="s">
        <v>30</v>
      </c>
      <c r="H1895" t="s">
        <v>66</v>
      </c>
      <c r="I1895" t="s">
        <v>24</v>
      </c>
      <c r="J1895" s="9">
        <v>1</v>
      </c>
      <c r="K1895" s="7">
        <v>51800</v>
      </c>
      <c r="L1895" s="7">
        <v>51800</v>
      </c>
      <c r="M1895" s="9"/>
      <c r="N1895" s="7">
        <v>22.7</v>
      </c>
      <c r="O1895" s="7"/>
      <c r="P1895" s="7"/>
      <c r="Q1895" t="s">
        <v>24</v>
      </c>
      <c r="R1895" s="7" t="str">
        <f>TEXT(Table1[[#This Row],[Date]],"mmm yyyy")</f>
        <v>Mar 2026</v>
      </c>
      <c r="S1895" s="9">
        <f>YEAR(Table1[[#This Row],[Date]])</f>
        <v>2026</v>
      </c>
      <c r="T1895" s="9"/>
      <c r="U1895" s="9"/>
    </row>
    <row r="1896" spans="1:21" hidden="1" x14ac:dyDescent="0.3">
      <c r="A1896" t="s">
        <v>2604</v>
      </c>
      <c r="B1896" s="6">
        <v>46124</v>
      </c>
      <c r="C1896" t="s">
        <v>26</v>
      </c>
      <c r="D1896" t="s">
        <v>36</v>
      </c>
      <c r="E1896" t="s">
        <v>28</v>
      </c>
      <c r="F1896" t="s">
        <v>1284</v>
      </c>
      <c r="G1896" t="s">
        <v>22</v>
      </c>
      <c r="J1896" s="9">
        <v>0</v>
      </c>
      <c r="K1896" s="7">
        <v>0</v>
      </c>
      <c r="L1896" s="7">
        <v>0</v>
      </c>
      <c r="M1896" s="9">
        <v>1</v>
      </c>
      <c r="N1896" s="7">
        <v>8.4</v>
      </c>
      <c r="O1896" s="7">
        <v>8.3000000000000007</v>
      </c>
      <c r="P1896" s="7">
        <v>2.4</v>
      </c>
      <c r="Q1896" t="s">
        <v>62</v>
      </c>
      <c r="R1896" s="7" t="str">
        <f>TEXT(Table1[[#This Row],[Date]],"mmm yyyy")</f>
        <v>Apr 2026</v>
      </c>
      <c r="S1896" s="9">
        <f>YEAR(Table1[[#This Row],[Date]])</f>
        <v>2026</v>
      </c>
      <c r="T1896" s="9"/>
      <c r="U1896" s="9"/>
    </row>
    <row r="1897" spans="1:21" hidden="1" x14ac:dyDescent="0.3">
      <c r="A1897" t="s">
        <v>2605</v>
      </c>
      <c r="B1897" s="6">
        <v>45905</v>
      </c>
      <c r="C1897" t="s">
        <v>26</v>
      </c>
      <c r="D1897" t="s">
        <v>114</v>
      </c>
      <c r="E1897" t="s">
        <v>37</v>
      </c>
      <c r="F1897" t="s">
        <v>2606</v>
      </c>
      <c r="G1897" t="s">
        <v>30</v>
      </c>
      <c r="J1897" s="9">
        <v>0</v>
      </c>
      <c r="K1897" s="7">
        <v>0</v>
      </c>
      <c r="L1897" s="7">
        <v>0</v>
      </c>
      <c r="M1897" s="9">
        <v>1</v>
      </c>
      <c r="N1897" s="7">
        <v>1.3</v>
      </c>
      <c r="O1897" s="7">
        <v>6.5</v>
      </c>
      <c r="P1897" s="7">
        <v>4.8</v>
      </c>
      <c r="Q1897" t="s">
        <v>39</v>
      </c>
      <c r="R1897" s="7" t="str">
        <f>TEXT(Table1[[#This Row],[Date]],"mmm yyyy")</f>
        <v>Sep 2025</v>
      </c>
      <c r="S1897" s="9">
        <f>YEAR(Table1[[#This Row],[Date]])</f>
        <v>2025</v>
      </c>
      <c r="T1897" s="9"/>
      <c r="U1897" s="9"/>
    </row>
    <row r="1898" spans="1:21" hidden="1" x14ac:dyDescent="0.3">
      <c r="A1898" t="s">
        <v>2607</v>
      </c>
      <c r="B1898" s="6">
        <v>46063</v>
      </c>
      <c r="C1898" t="s">
        <v>26</v>
      </c>
      <c r="D1898" t="s">
        <v>126</v>
      </c>
      <c r="E1898" t="s">
        <v>20</v>
      </c>
      <c r="F1898" t="s">
        <v>845</v>
      </c>
      <c r="G1898" t="s">
        <v>44</v>
      </c>
      <c r="J1898" s="9">
        <v>0</v>
      </c>
      <c r="K1898" s="7">
        <v>0</v>
      </c>
      <c r="L1898" s="7">
        <v>0</v>
      </c>
      <c r="M1898" s="9">
        <v>1</v>
      </c>
      <c r="N1898" s="7">
        <v>5.8</v>
      </c>
      <c r="O1898" s="7">
        <v>3.7</v>
      </c>
      <c r="P1898" s="7">
        <v>3.1</v>
      </c>
      <c r="Q1898" t="s">
        <v>62</v>
      </c>
      <c r="R1898" s="7" t="str">
        <f>TEXT(Table1[[#This Row],[Date]],"mmm yyyy")</f>
        <v>Feb 2026</v>
      </c>
      <c r="S1898" s="9">
        <f>YEAR(Table1[[#This Row],[Date]])</f>
        <v>2026</v>
      </c>
      <c r="T1898" s="9"/>
      <c r="U1898" s="9"/>
    </row>
    <row r="1899" spans="1:21" x14ac:dyDescent="0.3">
      <c r="A1899" t="s">
        <v>2608</v>
      </c>
      <c r="B1899" s="6">
        <v>46098</v>
      </c>
      <c r="C1899" t="s">
        <v>18</v>
      </c>
      <c r="D1899" t="s">
        <v>52</v>
      </c>
      <c r="E1899" t="s">
        <v>42</v>
      </c>
      <c r="F1899" t="s">
        <v>1321</v>
      </c>
      <c r="G1899" t="s">
        <v>22</v>
      </c>
      <c r="H1899" t="s">
        <v>78</v>
      </c>
      <c r="I1899" t="s">
        <v>24</v>
      </c>
      <c r="J1899" s="9">
        <v>1</v>
      </c>
      <c r="K1899" s="7">
        <v>33000</v>
      </c>
      <c r="L1899" s="7">
        <v>33000</v>
      </c>
      <c r="M1899" s="9"/>
      <c r="N1899" s="7">
        <v>6.5</v>
      </c>
      <c r="O1899" s="7"/>
      <c r="P1899" s="7"/>
      <c r="Q1899" t="s">
        <v>24</v>
      </c>
      <c r="R1899" s="7" t="str">
        <f>TEXT(Table1[[#This Row],[Date]],"mmm yyyy")</f>
        <v>Mar 2026</v>
      </c>
      <c r="S1899" s="9">
        <f>YEAR(Table1[[#This Row],[Date]])</f>
        <v>2026</v>
      </c>
      <c r="T1899" s="9"/>
      <c r="U1899" s="9"/>
    </row>
    <row r="1900" spans="1:21" x14ac:dyDescent="0.3">
      <c r="A1900" t="s">
        <v>2609</v>
      </c>
      <c r="B1900" s="6">
        <v>46235</v>
      </c>
      <c r="C1900" t="s">
        <v>18</v>
      </c>
      <c r="D1900" t="s">
        <v>105</v>
      </c>
      <c r="E1900" t="s">
        <v>48</v>
      </c>
      <c r="F1900" t="s">
        <v>820</v>
      </c>
      <c r="G1900" t="s">
        <v>22</v>
      </c>
      <c r="H1900" t="s">
        <v>54</v>
      </c>
      <c r="I1900" t="s">
        <v>79</v>
      </c>
      <c r="J1900" s="9">
        <v>1</v>
      </c>
      <c r="K1900" s="7">
        <v>5000</v>
      </c>
      <c r="L1900" s="7">
        <v>0</v>
      </c>
      <c r="M1900" s="9"/>
      <c r="N1900" s="7">
        <v>1.8</v>
      </c>
      <c r="O1900" s="7"/>
      <c r="P1900" s="7"/>
      <c r="Q1900" t="s">
        <v>79</v>
      </c>
      <c r="R1900" s="7" t="str">
        <f>TEXT(Table1[[#This Row],[Date]],"mmm yyyy")</f>
        <v>Aug 2026</v>
      </c>
      <c r="S1900" s="9">
        <f>YEAR(Table1[[#This Row],[Date]])</f>
        <v>2026</v>
      </c>
      <c r="T1900" s="9"/>
      <c r="U1900" s="9"/>
    </row>
    <row r="1901" spans="1:21" hidden="1" x14ac:dyDescent="0.3">
      <c r="A1901" t="s">
        <v>2610</v>
      </c>
      <c r="B1901" s="6">
        <v>46152</v>
      </c>
      <c r="C1901" t="s">
        <v>26</v>
      </c>
      <c r="D1901" t="s">
        <v>69</v>
      </c>
      <c r="E1901" t="s">
        <v>37</v>
      </c>
      <c r="F1901" t="s">
        <v>1531</v>
      </c>
      <c r="G1901" t="s">
        <v>22</v>
      </c>
      <c r="J1901" s="9">
        <v>0</v>
      </c>
      <c r="K1901" s="7">
        <v>0</v>
      </c>
      <c r="L1901" s="7">
        <v>0</v>
      </c>
      <c r="M1901" s="9">
        <v>1</v>
      </c>
      <c r="N1901" s="7">
        <v>4.0999999999999996</v>
      </c>
      <c r="O1901" s="7">
        <v>12.4</v>
      </c>
      <c r="P1901" s="7">
        <v>4.4000000000000004</v>
      </c>
      <c r="Q1901" t="s">
        <v>31</v>
      </c>
      <c r="R1901" s="7" t="str">
        <f>TEXT(Table1[[#This Row],[Date]],"mmm yyyy")</f>
        <v>May 2026</v>
      </c>
      <c r="S1901" s="9">
        <f>YEAR(Table1[[#This Row],[Date]])</f>
        <v>2026</v>
      </c>
      <c r="T1901" s="9"/>
      <c r="U1901" s="9"/>
    </row>
    <row r="1902" spans="1:21" hidden="1" x14ac:dyDescent="0.3">
      <c r="A1902" t="s">
        <v>2611</v>
      </c>
      <c r="B1902" s="6">
        <v>46157</v>
      </c>
      <c r="C1902" t="s">
        <v>26</v>
      </c>
      <c r="D1902" t="s">
        <v>72</v>
      </c>
      <c r="E1902" t="s">
        <v>20</v>
      </c>
      <c r="F1902" t="s">
        <v>2389</v>
      </c>
      <c r="G1902" t="s">
        <v>22</v>
      </c>
      <c r="J1902" s="9">
        <v>0</v>
      </c>
      <c r="K1902" s="7">
        <v>0</v>
      </c>
      <c r="L1902" s="7">
        <v>0</v>
      </c>
      <c r="M1902" s="9">
        <v>1</v>
      </c>
      <c r="N1902" s="7">
        <v>3</v>
      </c>
      <c r="O1902" s="7">
        <v>4.8</v>
      </c>
      <c r="P1902" s="7">
        <v>4</v>
      </c>
      <c r="Q1902" t="s">
        <v>62</v>
      </c>
      <c r="R1902" s="7" t="str">
        <f>TEXT(Table1[[#This Row],[Date]],"mmm yyyy")</f>
        <v>May 2026</v>
      </c>
      <c r="S1902" s="9">
        <f>YEAR(Table1[[#This Row],[Date]])</f>
        <v>2026</v>
      </c>
      <c r="T1902" s="9"/>
      <c r="U1902" s="9"/>
    </row>
    <row r="1903" spans="1:21" x14ac:dyDescent="0.3">
      <c r="A1903" t="s">
        <v>2612</v>
      </c>
      <c r="B1903" s="6">
        <v>45996</v>
      </c>
      <c r="C1903" t="s">
        <v>18</v>
      </c>
      <c r="D1903" t="s">
        <v>105</v>
      </c>
      <c r="E1903" t="s">
        <v>28</v>
      </c>
      <c r="F1903" t="s">
        <v>370</v>
      </c>
      <c r="G1903" t="s">
        <v>30</v>
      </c>
      <c r="H1903" t="s">
        <v>66</v>
      </c>
      <c r="I1903" t="s">
        <v>24</v>
      </c>
      <c r="J1903" s="9">
        <v>1</v>
      </c>
      <c r="K1903" s="7">
        <v>82100</v>
      </c>
      <c r="L1903" s="7">
        <v>82100</v>
      </c>
      <c r="M1903" s="9"/>
      <c r="N1903" s="7">
        <v>9.1</v>
      </c>
      <c r="O1903" s="7"/>
      <c r="P1903" s="7"/>
      <c r="Q1903" t="s">
        <v>24</v>
      </c>
      <c r="R1903" s="7" t="str">
        <f>TEXT(Table1[[#This Row],[Date]],"mmm yyyy")</f>
        <v>Dec 2025</v>
      </c>
      <c r="S1903" s="9">
        <f>YEAR(Table1[[#This Row],[Date]])</f>
        <v>2025</v>
      </c>
      <c r="T1903" s="9"/>
      <c r="U1903" s="9"/>
    </row>
    <row r="1904" spans="1:21" hidden="1" x14ac:dyDescent="0.3">
      <c r="A1904" t="s">
        <v>2613</v>
      </c>
      <c r="B1904" s="6">
        <v>46187</v>
      </c>
      <c r="C1904" t="s">
        <v>26</v>
      </c>
      <c r="D1904" t="s">
        <v>72</v>
      </c>
      <c r="E1904" t="s">
        <v>20</v>
      </c>
      <c r="F1904" t="s">
        <v>290</v>
      </c>
      <c r="G1904" t="s">
        <v>22</v>
      </c>
      <c r="J1904" s="9">
        <v>0</v>
      </c>
      <c r="K1904" s="7">
        <v>0</v>
      </c>
      <c r="L1904" s="7">
        <v>0</v>
      </c>
      <c r="M1904" s="9">
        <v>1</v>
      </c>
      <c r="N1904" s="7">
        <v>5.9</v>
      </c>
      <c r="O1904" s="7">
        <v>6.3</v>
      </c>
      <c r="P1904" s="7">
        <v>4.3</v>
      </c>
      <c r="Q1904" t="s">
        <v>39</v>
      </c>
      <c r="R1904" s="7" t="str">
        <f>TEXT(Table1[[#This Row],[Date]],"mmm yyyy")</f>
        <v>Jun 2026</v>
      </c>
      <c r="S1904" s="9">
        <f>YEAR(Table1[[#This Row],[Date]])</f>
        <v>2026</v>
      </c>
      <c r="T1904" s="9"/>
      <c r="U1904" s="9"/>
    </row>
    <row r="1905" spans="1:21" x14ac:dyDescent="0.3">
      <c r="A1905" t="s">
        <v>2614</v>
      </c>
      <c r="B1905" s="6">
        <v>46062</v>
      </c>
      <c r="C1905" t="s">
        <v>18</v>
      </c>
      <c r="D1905" t="s">
        <v>41</v>
      </c>
      <c r="E1905" t="s">
        <v>20</v>
      </c>
      <c r="F1905" t="s">
        <v>903</v>
      </c>
      <c r="G1905" t="s">
        <v>44</v>
      </c>
      <c r="H1905" t="s">
        <v>54</v>
      </c>
      <c r="I1905" t="s">
        <v>24</v>
      </c>
      <c r="J1905" s="9">
        <v>1</v>
      </c>
      <c r="K1905" s="7">
        <v>15300</v>
      </c>
      <c r="L1905" s="7">
        <v>15300</v>
      </c>
      <c r="M1905" s="9"/>
      <c r="N1905" s="7">
        <v>16.8</v>
      </c>
      <c r="O1905" s="7"/>
      <c r="P1905" s="7"/>
      <c r="Q1905" t="s">
        <v>24</v>
      </c>
      <c r="R1905" s="7" t="str">
        <f>TEXT(Table1[[#This Row],[Date]],"mmm yyyy")</f>
        <v>Feb 2026</v>
      </c>
      <c r="S1905" s="9">
        <f>YEAR(Table1[[#This Row],[Date]])</f>
        <v>2026</v>
      </c>
      <c r="T1905" s="9"/>
      <c r="U1905" s="9"/>
    </row>
    <row r="1906" spans="1:21" hidden="1" x14ac:dyDescent="0.3">
      <c r="A1906" t="s">
        <v>2615</v>
      </c>
      <c r="B1906" s="6">
        <v>46006</v>
      </c>
      <c r="C1906" t="s">
        <v>26</v>
      </c>
      <c r="D1906" t="s">
        <v>27</v>
      </c>
      <c r="E1906" t="s">
        <v>48</v>
      </c>
      <c r="F1906" t="s">
        <v>297</v>
      </c>
      <c r="G1906" t="s">
        <v>30</v>
      </c>
      <c r="J1906" s="9">
        <v>0</v>
      </c>
      <c r="K1906" s="7">
        <v>0</v>
      </c>
      <c r="L1906" s="7">
        <v>0</v>
      </c>
      <c r="M1906" s="9">
        <v>1</v>
      </c>
      <c r="N1906" s="7">
        <v>3.7</v>
      </c>
      <c r="O1906" s="7">
        <v>19.5</v>
      </c>
      <c r="P1906" s="7">
        <v>4.3</v>
      </c>
      <c r="Q1906" t="s">
        <v>39</v>
      </c>
      <c r="R1906" s="7" t="str">
        <f>TEXT(Table1[[#This Row],[Date]],"mmm yyyy")</f>
        <v>Dec 2025</v>
      </c>
      <c r="S1906" s="9">
        <f>YEAR(Table1[[#This Row],[Date]])</f>
        <v>2025</v>
      </c>
      <c r="T1906" s="9"/>
      <c r="U1906" s="9"/>
    </row>
    <row r="1907" spans="1:21" x14ac:dyDescent="0.3">
      <c r="A1907" t="s">
        <v>2616</v>
      </c>
      <c r="B1907" s="6">
        <v>45902</v>
      </c>
      <c r="C1907" t="s">
        <v>18</v>
      </c>
      <c r="D1907" t="s">
        <v>41</v>
      </c>
      <c r="E1907" t="s">
        <v>42</v>
      </c>
      <c r="F1907" t="s">
        <v>1354</v>
      </c>
      <c r="G1907" t="s">
        <v>44</v>
      </c>
      <c r="H1907" t="s">
        <v>86</v>
      </c>
      <c r="I1907" t="s">
        <v>67</v>
      </c>
      <c r="J1907" s="9">
        <v>1</v>
      </c>
      <c r="K1907" s="7">
        <v>5400</v>
      </c>
      <c r="L1907" s="7">
        <v>0</v>
      </c>
      <c r="M1907" s="9"/>
      <c r="N1907" s="7">
        <v>17</v>
      </c>
      <c r="O1907" s="7"/>
      <c r="P1907" s="7"/>
      <c r="Q1907" t="s">
        <v>67</v>
      </c>
      <c r="R1907" s="7" t="str">
        <f>TEXT(Table1[[#This Row],[Date]],"mmm yyyy")</f>
        <v>Sep 2025</v>
      </c>
      <c r="S1907" s="9">
        <f>YEAR(Table1[[#This Row],[Date]])</f>
        <v>2025</v>
      </c>
      <c r="T1907" s="9"/>
      <c r="U1907" s="9"/>
    </row>
    <row r="1908" spans="1:21" hidden="1" x14ac:dyDescent="0.3">
      <c r="A1908" t="s">
        <v>2617</v>
      </c>
      <c r="B1908" s="6">
        <v>46113</v>
      </c>
      <c r="C1908" t="s">
        <v>26</v>
      </c>
      <c r="D1908" t="s">
        <v>36</v>
      </c>
      <c r="E1908" t="s">
        <v>20</v>
      </c>
      <c r="F1908" t="s">
        <v>150</v>
      </c>
      <c r="G1908" t="s">
        <v>22</v>
      </c>
      <c r="J1908" s="9">
        <v>0</v>
      </c>
      <c r="K1908" s="7">
        <v>0</v>
      </c>
      <c r="L1908" s="7">
        <v>0</v>
      </c>
      <c r="M1908" s="9">
        <v>1</v>
      </c>
      <c r="N1908" s="7">
        <v>11.5</v>
      </c>
      <c r="O1908" s="7">
        <v>4.0999999999999996</v>
      </c>
      <c r="P1908" s="7">
        <v>2.6</v>
      </c>
      <c r="Q1908" t="s">
        <v>62</v>
      </c>
      <c r="R1908" s="7" t="str">
        <f>TEXT(Table1[[#This Row],[Date]],"mmm yyyy")</f>
        <v>Apr 2026</v>
      </c>
      <c r="S1908" s="9">
        <f>YEAR(Table1[[#This Row],[Date]])</f>
        <v>2026</v>
      </c>
      <c r="T1908" s="9"/>
      <c r="U1908" s="9"/>
    </row>
    <row r="1909" spans="1:21" x14ac:dyDescent="0.3">
      <c r="A1909" t="s">
        <v>2618</v>
      </c>
      <c r="B1909" s="6">
        <v>46018</v>
      </c>
      <c r="C1909" t="s">
        <v>18</v>
      </c>
      <c r="D1909" t="s">
        <v>95</v>
      </c>
      <c r="E1909" t="s">
        <v>20</v>
      </c>
      <c r="F1909" t="s">
        <v>2619</v>
      </c>
      <c r="G1909" t="s">
        <v>22</v>
      </c>
      <c r="H1909" t="s">
        <v>78</v>
      </c>
      <c r="I1909" t="s">
        <v>55</v>
      </c>
      <c r="J1909" s="9">
        <v>1</v>
      </c>
      <c r="K1909" s="7">
        <v>14400</v>
      </c>
      <c r="L1909" s="7">
        <v>0</v>
      </c>
      <c r="M1909" s="9"/>
      <c r="N1909" s="7">
        <v>17.7</v>
      </c>
      <c r="O1909" s="7"/>
      <c r="P1909" s="7"/>
      <c r="Q1909" t="s">
        <v>55</v>
      </c>
      <c r="R1909" s="7" t="str">
        <f>TEXT(Table1[[#This Row],[Date]],"mmm yyyy")</f>
        <v>Dec 2025</v>
      </c>
      <c r="S1909" s="9">
        <f>YEAR(Table1[[#This Row],[Date]])</f>
        <v>2025</v>
      </c>
      <c r="T1909" s="9"/>
      <c r="U1909" s="9"/>
    </row>
    <row r="1910" spans="1:21" x14ac:dyDescent="0.3">
      <c r="A1910" t="s">
        <v>2620</v>
      </c>
      <c r="B1910" s="6">
        <v>45980</v>
      </c>
      <c r="C1910" t="s">
        <v>18</v>
      </c>
      <c r="D1910" t="s">
        <v>41</v>
      </c>
      <c r="E1910" t="s">
        <v>20</v>
      </c>
      <c r="F1910" t="s">
        <v>942</v>
      </c>
      <c r="G1910" t="s">
        <v>30</v>
      </c>
      <c r="H1910" t="s">
        <v>23</v>
      </c>
      <c r="I1910" t="s">
        <v>24</v>
      </c>
      <c r="J1910" s="9">
        <v>1</v>
      </c>
      <c r="K1910" s="7">
        <v>25300</v>
      </c>
      <c r="L1910" s="7">
        <v>25300</v>
      </c>
      <c r="M1910" s="9"/>
      <c r="N1910" s="7">
        <v>11.4</v>
      </c>
      <c r="O1910" s="7"/>
      <c r="P1910" s="7"/>
      <c r="Q1910" t="s">
        <v>24</v>
      </c>
      <c r="R1910" s="7" t="str">
        <f>TEXT(Table1[[#This Row],[Date]],"mmm yyyy")</f>
        <v>Nov 2025</v>
      </c>
      <c r="S1910" s="9">
        <f>YEAR(Table1[[#This Row],[Date]])</f>
        <v>2025</v>
      </c>
      <c r="T1910" s="9"/>
      <c r="U1910" s="9"/>
    </row>
    <row r="1911" spans="1:21" x14ac:dyDescent="0.3">
      <c r="A1911" t="s">
        <v>2621</v>
      </c>
      <c r="B1911" s="6">
        <v>46052</v>
      </c>
      <c r="C1911" t="s">
        <v>18</v>
      </c>
      <c r="D1911" t="s">
        <v>95</v>
      </c>
      <c r="E1911" t="s">
        <v>37</v>
      </c>
      <c r="F1911" t="s">
        <v>83</v>
      </c>
      <c r="G1911" t="s">
        <v>30</v>
      </c>
      <c r="H1911" t="s">
        <v>86</v>
      </c>
      <c r="I1911" t="s">
        <v>45</v>
      </c>
      <c r="J1911" s="9">
        <v>1</v>
      </c>
      <c r="K1911" s="7">
        <v>31100</v>
      </c>
      <c r="L1911" s="7">
        <v>0</v>
      </c>
      <c r="M1911" s="9"/>
      <c r="N1911" s="7">
        <v>1.3</v>
      </c>
      <c r="O1911" s="7"/>
      <c r="P1911" s="7"/>
      <c r="Q1911" t="s">
        <v>45</v>
      </c>
      <c r="R1911" s="7" t="str">
        <f>TEXT(Table1[[#This Row],[Date]],"mmm yyyy")</f>
        <v>Jan 2026</v>
      </c>
      <c r="S1911" s="9">
        <f>YEAR(Table1[[#This Row],[Date]])</f>
        <v>2026</v>
      </c>
      <c r="T1911" s="9"/>
      <c r="U1911" s="9"/>
    </row>
    <row r="1912" spans="1:21" x14ac:dyDescent="0.3">
      <c r="A1912" t="s">
        <v>2622</v>
      </c>
      <c r="B1912" s="6">
        <v>46011</v>
      </c>
      <c r="C1912" t="s">
        <v>18</v>
      </c>
      <c r="D1912" t="s">
        <v>64</v>
      </c>
      <c r="E1912" t="s">
        <v>48</v>
      </c>
      <c r="F1912" t="s">
        <v>793</v>
      </c>
      <c r="G1912" t="s">
        <v>44</v>
      </c>
      <c r="H1912" t="s">
        <v>78</v>
      </c>
      <c r="I1912" t="s">
        <v>24</v>
      </c>
      <c r="J1912" s="9">
        <v>1</v>
      </c>
      <c r="K1912" s="7">
        <v>39300</v>
      </c>
      <c r="L1912" s="7">
        <v>39300</v>
      </c>
      <c r="M1912" s="9"/>
      <c r="N1912" s="7">
        <v>18.399999999999999</v>
      </c>
      <c r="O1912" s="7"/>
      <c r="P1912" s="7"/>
      <c r="Q1912" t="s">
        <v>24</v>
      </c>
      <c r="R1912" s="7" t="str">
        <f>TEXT(Table1[[#This Row],[Date]],"mmm yyyy")</f>
        <v>Dec 2025</v>
      </c>
      <c r="S1912" s="9">
        <f>YEAR(Table1[[#This Row],[Date]])</f>
        <v>2025</v>
      </c>
      <c r="T1912" s="9"/>
      <c r="U1912" s="9"/>
    </row>
    <row r="1913" spans="1:21" hidden="1" x14ac:dyDescent="0.3">
      <c r="A1913" t="s">
        <v>2623</v>
      </c>
      <c r="B1913" s="6">
        <v>46132</v>
      </c>
      <c r="C1913" t="s">
        <v>26</v>
      </c>
      <c r="D1913" t="s">
        <v>232</v>
      </c>
      <c r="E1913" t="s">
        <v>20</v>
      </c>
      <c r="F1913" t="s">
        <v>669</v>
      </c>
      <c r="G1913" t="s">
        <v>30</v>
      </c>
      <c r="J1913" s="9">
        <v>0</v>
      </c>
      <c r="K1913" s="7">
        <v>0</v>
      </c>
      <c r="L1913" s="7">
        <v>0</v>
      </c>
      <c r="M1913" s="9">
        <v>1</v>
      </c>
      <c r="N1913" s="7">
        <v>6.2</v>
      </c>
      <c r="O1913" s="7">
        <v>6.9</v>
      </c>
      <c r="P1913" s="7">
        <v>4.0999999999999996</v>
      </c>
      <c r="Q1913" t="s">
        <v>31</v>
      </c>
      <c r="R1913" s="7" t="str">
        <f>TEXT(Table1[[#This Row],[Date]],"mmm yyyy")</f>
        <v>Apr 2026</v>
      </c>
      <c r="S1913" s="9">
        <f>YEAR(Table1[[#This Row],[Date]])</f>
        <v>2026</v>
      </c>
      <c r="T1913" s="9"/>
      <c r="U1913" s="9"/>
    </row>
    <row r="1914" spans="1:21" hidden="1" x14ac:dyDescent="0.3">
      <c r="A1914" t="s">
        <v>2624</v>
      </c>
      <c r="B1914" s="6">
        <v>45933</v>
      </c>
      <c r="C1914" t="s">
        <v>26</v>
      </c>
      <c r="D1914" t="s">
        <v>36</v>
      </c>
      <c r="E1914" t="s">
        <v>20</v>
      </c>
      <c r="F1914" t="s">
        <v>1045</v>
      </c>
      <c r="G1914" t="s">
        <v>50</v>
      </c>
      <c r="J1914" s="9">
        <v>0</v>
      </c>
      <c r="K1914" s="7">
        <v>0</v>
      </c>
      <c r="L1914" s="7">
        <v>0</v>
      </c>
      <c r="M1914" s="9">
        <v>1</v>
      </c>
      <c r="N1914" s="7">
        <v>7</v>
      </c>
      <c r="O1914" s="7">
        <v>3.8</v>
      </c>
      <c r="P1914" s="7">
        <v>4.5</v>
      </c>
      <c r="Q1914" t="s">
        <v>31</v>
      </c>
      <c r="R1914" s="7" t="str">
        <f>TEXT(Table1[[#This Row],[Date]],"mmm yyyy")</f>
        <v>Oct 2025</v>
      </c>
      <c r="S1914" s="9">
        <f>YEAR(Table1[[#This Row],[Date]])</f>
        <v>2025</v>
      </c>
      <c r="T1914" s="9"/>
      <c r="U1914" s="9"/>
    </row>
    <row r="1915" spans="1:21" x14ac:dyDescent="0.3">
      <c r="A1915" t="s">
        <v>2625</v>
      </c>
      <c r="B1915" s="6">
        <v>45967</v>
      </c>
      <c r="C1915" t="s">
        <v>18</v>
      </c>
      <c r="D1915" t="s">
        <v>95</v>
      </c>
      <c r="E1915" t="s">
        <v>48</v>
      </c>
      <c r="F1915" t="s">
        <v>268</v>
      </c>
      <c r="G1915" t="s">
        <v>22</v>
      </c>
      <c r="H1915" t="s">
        <v>23</v>
      </c>
      <c r="I1915" t="s">
        <v>79</v>
      </c>
      <c r="J1915" s="9">
        <v>1</v>
      </c>
      <c r="K1915" s="7">
        <v>34500</v>
      </c>
      <c r="L1915" s="7">
        <v>0</v>
      </c>
      <c r="M1915" s="9"/>
      <c r="N1915" s="7">
        <v>7.7</v>
      </c>
      <c r="O1915" s="7"/>
      <c r="P1915" s="7"/>
      <c r="Q1915" t="s">
        <v>79</v>
      </c>
      <c r="R1915" s="7" t="str">
        <f>TEXT(Table1[[#This Row],[Date]],"mmm yyyy")</f>
        <v>Nov 2025</v>
      </c>
      <c r="S1915" s="9">
        <f>YEAR(Table1[[#This Row],[Date]])</f>
        <v>2025</v>
      </c>
      <c r="T1915" s="9"/>
      <c r="U1915" s="9"/>
    </row>
    <row r="1916" spans="1:21" x14ac:dyDescent="0.3">
      <c r="A1916" t="s">
        <v>2626</v>
      </c>
      <c r="B1916" s="6">
        <v>46055</v>
      </c>
      <c r="C1916" t="s">
        <v>18</v>
      </c>
      <c r="D1916" t="s">
        <v>105</v>
      </c>
      <c r="E1916" t="s">
        <v>37</v>
      </c>
      <c r="F1916" t="s">
        <v>1573</v>
      </c>
      <c r="G1916" t="s">
        <v>30</v>
      </c>
      <c r="H1916" t="s">
        <v>86</v>
      </c>
      <c r="I1916" t="s">
        <v>24</v>
      </c>
      <c r="J1916" s="9">
        <v>1</v>
      </c>
      <c r="K1916" s="7">
        <v>17500</v>
      </c>
      <c r="L1916" s="7">
        <v>17500</v>
      </c>
      <c r="M1916" s="9"/>
      <c r="N1916" s="7">
        <v>20.3</v>
      </c>
      <c r="O1916" s="7"/>
      <c r="P1916" s="7"/>
      <c r="Q1916" t="s">
        <v>24</v>
      </c>
      <c r="R1916" s="7" t="str">
        <f>TEXT(Table1[[#This Row],[Date]],"mmm yyyy")</f>
        <v>Feb 2026</v>
      </c>
      <c r="S1916" s="9">
        <f>YEAR(Table1[[#This Row],[Date]])</f>
        <v>2026</v>
      </c>
      <c r="T1916" s="9"/>
      <c r="U1916" s="9"/>
    </row>
    <row r="1917" spans="1:21" hidden="1" x14ac:dyDescent="0.3">
      <c r="A1917" t="s">
        <v>2627</v>
      </c>
      <c r="B1917" s="6">
        <v>46042</v>
      </c>
      <c r="C1917" t="s">
        <v>26</v>
      </c>
      <c r="D1917" t="s">
        <v>114</v>
      </c>
      <c r="E1917" t="s">
        <v>48</v>
      </c>
      <c r="F1917" t="s">
        <v>118</v>
      </c>
      <c r="G1917" t="s">
        <v>30</v>
      </c>
      <c r="J1917" s="9">
        <v>0</v>
      </c>
      <c r="K1917" s="7">
        <v>0</v>
      </c>
      <c r="L1917" s="7">
        <v>0</v>
      </c>
      <c r="M1917" s="9">
        <v>1</v>
      </c>
      <c r="N1917" s="7">
        <v>7.2</v>
      </c>
      <c r="O1917" s="7">
        <v>5.2</v>
      </c>
      <c r="P1917" s="7">
        <v>4.0999999999999996</v>
      </c>
      <c r="Q1917" t="s">
        <v>31</v>
      </c>
      <c r="R1917" s="7" t="str">
        <f>TEXT(Table1[[#This Row],[Date]],"mmm yyyy")</f>
        <v>Jan 2026</v>
      </c>
      <c r="S1917" s="9">
        <f>YEAR(Table1[[#This Row],[Date]])</f>
        <v>2026</v>
      </c>
      <c r="T1917" s="9"/>
      <c r="U1917" s="9"/>
    </row>
    <row r="1918" spans="1:21" hidden="1" x14ac:dyDescent="0.3">
      <c r="A1918" t="s">
        <v>2628</v>
      </c>
      <c r="B1918" s="6">
        <v>46121</v>
      </c>
      <c r="C1918" t="s">
        <v>26</v>
      </c>
      <c r="D1918" t="s">
        <v>114</v>
      </c>
      <c r="E1918" t="s">
        <v>48</v>
      </c>
      <c r="F1918" t="s">
        <v>1416</v>
      </c>
      <c r="G1918" t="s">
        <v>44</v>
      </c>
      <c r="J1918" s="9">
        <v>0</v>
      </c>
      <c r="K1918" s="7">
        <v>0</v>
      </c>
      <c r="L1918" s="7">
        <v>0</v>
      </c>
      <c r="M1918" s="9">
        <v>1</v>
      </c>
      <c r="N1918" s="7">
        <v>4.4000000000000004</v>
      </c>
      <c r="O1918" s="7">
        <v>6.7</v>
      </c>
      <c r="P1918" s="7">
        <v>4.4000000000000004</v>
      </c>
      <c r="Q1918" t="s">
        <v>31</v>
      </c>
      <c r="R1918" s="7" t="str">
        <f>TEXT(Table1[[#This Row],[Date]],"mmm yyyy")</f>
        <v>Apr 2026</v>
      </c>
      <c r="S1918" s="9">
        <f>YEAR(Table1[[#This Row],[Date]])</f>
        <v>2026</v>
      </c>
      <c r="T1918" s="9"/>
      <c r="U1918" s="9"/>
    </row>
    <row r="1919" spans="1:21" hidden="1" x14ac:dyDescent="0.3">
      <c r="A1919" t="s">
        <v>2629</v>
      </c>
      <c r="B1919" s="6">
        <v>46049</v>
      </c>
      <c r="C1919" t="s">
        <v>26</v>
      </c>
      <c r="D1919" t="s">
        <v>33</v>
      </c>
      <c r="E1919" t="s">
        <v>28</v>
      </c>
      <c r="F1919" t="s">
        <v>738</v>
      </c>
      <c r="G1919" t="s">
        <v>22</v>
      </c>
      <c r="J1919" s="9">
        <v>0</v>
      </c>
      <c r="K1919" s="7">
        <v>0</v>
      </c>
      <c r="L1919" s="7">
        <v>0</v>
      </c>
      <c r="M1919" s="9">
        <v>1</v>
      </c>
      <c r="N1919" s="7">
        <v>8</v>
      </c>
      <c r="O1919" s="7">
        <v>13.7</v>
      </c>
      <c r="P1919" s="7">
        <v>4</v>
      </c>
      <c r="Q1919" t="s">
        <v>39</v>
      </c>
      <c r="R1919" s="7" t="str">
        <f>TEXT(Table1[[#This Row],[Date]],"mmm yyyy")</f>
        <v>Jan 2026</v>
      </c>
      <c r="S1919" s="9">
        <f>YEAR(Table1[[#This Row],[Date]])</f>
        <v>2026</v>
      </c>
      <c r="T1919" s="9"/>
      <c r="U1919" s="9"/>
    </row>
    <row r="1920" spans="1:21" x14ac:dyDescent="0.3">
      <c r="A1920" t="s">
        <v>2630</v>
      </c>
      <c r="B1920" s="6">
        <v>46231</v>
      </c>
      <c r="C1920" t="s">
        <v>18</v>
      </c>
      <c r="D1920" t="s">
        <v>52</v>
      </c>
      <c r="E1920" t="s">
        <v>20</v>
      </c>
      <c r="F1920" t="s">
        <v>2414</v>
      </c>
      <c r="G1920" t="s">
        <v>30</v>
      </c>
      <c r="H1920" t="s">
        <v>66</v>
      </c>
      <c r="I1920" t="s">
        <v>24</v>
      </c>
      <c r="J1920" s="9">
        <v>1</v>
      </c>
      <c r="K1920" s="7">
        <v>34700</v>
      </c>
      <c r="L1920" s="7">
        <v>34700</v>
      </c>
      <c r="M1920" s="9"/>
      <c r="N1920" s="7">
        <v>15.8</v>
      </c>
      <c r="O1920" s="7"/>
      <c r="P1920" s="7"/>
      <c r="Q1920" t="s">
        <v>24</v>
      </c>
      <c r="R1920" s="7" t="str">
        <f>TEXT(Table1[[#This Row],[Date]],"mmm yyyy")</f>
        <v>Jul 2026</v>
      </c>
      <c r="S1920" s="9">
        <f>YEAR(Table1[[#This Row],[Date]])</f>
        <v>2026</v>
      </c>
      <c r="T1920" s="9"/>
      <c r="U1920" s="9"/>
    </row>
    <row r="1921" spans="1:21" x14ac:dyDescent="0.3">
      <c r="A1921" t="s">
        <v>2631</v>
      </c>
      <c r="B1921" s="6">
        <v>46093</v>
      </c>
      <c r="C1921" t="s">
        <v>18</v>
      </c>
      <c r="D1921" t="s">
        <v>95</v>
      </c>
      <c r="E1921" t="s">
        <v>28</v>
      </c>
      <c r="F1921" t="s">
        <v>1300</v>
      </c>
      <c r="G1921" t="s">
        <v>50</v>
      </c>
      <c r="H1921" t="s">
        <v>86</v>
      </c>
      <c r="I1921" t="s">
        <v>55</v>
      </c>
      <c r="J1921" s="9">
        <v>1</v>
      </c>
      <c r="K1921" s="7">
        <v>9800</v>
      </c>
      <c r="L1921" s="7">
        <v>0</v>
      </c>
      <c r="M1921" s="9"/>
      <c r="N1921" s="7">
        <v>20.399999999999999</v>
      </c>
      <c r="O1921" s="7"/>
      <c r="P1921" s="7"/>
      <c r="Q1921" t="s">
        <v>55</v>
      </c>
      <c r="R1921" s="7" t="str">
        <f>TEXT(Table1[[#This Row],[Date]],"mmm yyyy")</f>
        <v>Mar 2026</v>
      </c>
      <c r="S1921" s="9">
        <f>YEAR(Table1[[#This Row],[Date]])</f>
        <v>2026</v>
      </c>
      <c r="T1921" s="9"/>
      <c r="U1921" s="9"/>
    </row>
    <row r="1922" spans="1:21" hidden="1" x14ac:dyDescent="0.3">
      <c r="A1922" t="s">
        <v>2632</v>
      </c>
      <c r="B1922" s="6">
        <v>45933</v>
      </c>
      <c r="C1922" t="s">
        <v>26</v>
      </c>
      <c r="D1922" t="s">
        <v>69</v>
      </c>
      <c r="E1922" t="s">
        <v>42</v>
      </c>
      <c r="F1922" t="s">
        <v>1180</v>
      </c>
      <c r="G1922" t="s">
        <v>30</v>
      </c>
      <c r="J1922" s="9">
        <v>0</v>
      </c>
      <c r="K1922" s="7">
        <v>0</v>
      </c>
      <c r="L1922" s="7">
        <v>0</v>
      </c>
      <c r="M1922" s="9">
        <v>1</v>
      </c>
      <c r="N1922" s="7">
        <v>4.5999999999999996</v>
      </c>
      <c r="O1922" s="7">
        <v>2.2999999999999998</v>
      </c>
      <c r="P1922" s="7">
        <v>4.0999999999999996</v>
      </c>
      <c r="Q1922" t="s">
        <v>31</v>
      </c>
      <c r="R1922" s="7" t="str">
        <f>TEXT(Table1[[#This Row],[Date]],"mmm yyyy")</f>
        <v>Oct 2025</v>
      </c>
      <c r="S1922" s="9">
        <f>YEAR(Table1[[#This Row],[Date]])</f>
        <v>2025</v>
      </c>
      <c r="T1922" s="9"/>
      <c r="U1922" s="9"/>
    </row>
    <row r="1923" spans="1:21" x14ac:dyDescent="0.3">
      <c r="A1923" t="s">
        <v>2633</v>
      </c>
      <c r="B1923" s="6">
        <v>46024</v>
      </c>
      <c r="C1923" t="s">
        <v>18</v>
      </c>
      <c r="D1923" t="s">
        <v>47</v>
      </c>
      <c r="E1923" t="s">
        <v>28</v>
      </c>
      <c r="F1923" t="s">
        <v>178</v>
      </c>
      <c r="G1923" t="s">
        <v>22</v>
      </c>
      <c r="H1923" t="s">
        <v>78</v>
      </c>
      <c r="I1923" t="s">
        <v>45</v>
      </c>
      <c r="J1923" s="9">
        <v>1</v>
      </c>
      <c r="K1923" s="7">
        <v>10200</v>
      </c>
      <c r="L1923" s="7">
        <v>0</v>
      </c>
      <c r="M1923" s="9"/>
      <c r="N1923" s="7">
        <v>8.8000000000000007</v>
      </c>
      <c r="O1923" s="7"/>
      <c r="P1923" s="7"/>
      <c r="Q1923" t="s">
        <v>45</v>
      </c>
      <c r="R1923" s="7" t="str">
        <f>TEXT(Table1[[#This Row],[Date]],"mmm yyyy")</f>
        <v>Jan 2026</v>
      </c>
      <c r="S1923" s="9">
        <f>YEAR(Table1[[#This Row],[Date]])</f>
        <v>2026</v>
      </c>
      <c r="T1923" s="9"/>
      <c r="U1923" s="9"/>
    </row>
    <row r="1924" spans="1:21" hidden="1" x14ac:dyDescent="0.3">
      <c r="A1924" t="s">
        <v>2634</v>
      </c>
      <c r="B1924" s="6">
        <v>46101</v>
      </c>
      <c r="C1924" t="s">
        <v>26</v>
      </c>
      <c r="D1924" t="s">
        <v>33</v>
      </c>
      <c r="E1924" t="s">
        <v>48</v>
      </c>
      <c r="F1924" t="s">
        <v>144</v>
      </c>
      <c r="G1924" t="s">
        <v>22</v>
      </c>
      <c r="J1924" s="9">
        <v>0</v>
      </c>
      <c r="K1924" s="7">
        <v>0</v>
      </c>
      <c r="L1924" s="7">
        <v>0</v>
      </c>
      <c r="M1924" s="9">
        <v>1</v>
      </c>
      <c r="N1924" s="7">
        <v>0.3</v>
      </c>
      <c r="O1924" s="7">
        <v>8.1</v>
      </c>
      <c r="P1924" s="7">
        <v>4.3</v>
      </c>
      <c r="Q1924" t="s">
        <v>39</v>
      </c>
      <c r="R1924" s="7" t="str">
        <f>TEXT(Table1[[#This Row],[Date]],"mmm yyyy")</f>
        <v>Mar 2026</v>
      </c>
      <c r="S1924" s="9">
        <f>YEAR(Table1[[#This Row],[Date]])</f>
        <v>2026</v>
      </c>
      <c r="T1924" s="9"/>
      <c r="U1924" s="9"/>
    </row>
    <row r="1925" spans="1:21" x14ac:dyDescent="0.3">
      <c r="A1925" t="s">
        <v>2635</v>
      </c>
      <c r="B1925" s="6">
        <v>46009</v>
      </c>
      <c r="C1925" t="s">
        <v>18</v>
      </c>
      <c r="D1925" t="s">
        <v>95</v>
      </c>
      <c r="E1925" t="s">
        <v>20</v>
      </c>
      <c r="F1925" t="s">
        <v>465</v>
      </c>
      <c r="G1925" t="s">
        <v>30</v>
      </c>
      <c r="H1925" t="s">
        <v>78</v>
      </c>
      <c r="I1925" t="s">
        <v>89</v>
      </c>
      <c r="J1925" s="9">
        <v>1</v>
      </c>
      <c r="K1925" s="7">
        <v>12500</v>
      </c>
      <c r="L1925" s="7">
        <v>0</v>
      </c>
      <c r="M1925" s="9"/>
      <c r="N1925" s="7">
        <v>12.4</v>
      </c>
      <c r="O1925" s="7"/>
      <c r="P1925" s="7"/>
      <c r="Q1925" t="s">
        <v>89</v>
      </c>
      <c r="R1925" s="7" t="str">
        <f>TEXT(Table1[[#This Row],[Date]],"mmm yyyy")</f>
        <v>Dec 2025</v>
      </c>
      <c r="S1925" s="9">
        <f>YEAR(Table1[[#This Row],[Date]])</f>
        <v>2025</v>
      </c>
      <c r="T1925" s="9"/>
      <c r="U1925" s="9"/>
    </row>
    <row r="1926" spans="1:21" hidden="1" x14ac:dyDescent="0.3">
      <c r="A1926" t="s">
        <v>2636</v>
      </c>
      <c r="B1926" s="6">
        <v>46219</v>
      </c>
      <c r="C1926" t="s">
        <v>26</v>
      </c>
      <c r="D1926" t="s">
        <v>126</v>
      </c>
      <c r="E1926" t="s">
        <v>20</v>
      </c>
      <c r="F1926" t="s">
        <v>272</v>
      </c>
      <c r="G1926" t="s">
        <v>22</v>
      </c>
      <c r="J1926" s="9">
        <v>0</v>
      </c>
      <c r="K1926" s="7">
        <v>0</v>
      </c>
      <c r="L1926" s="7">
        <v>0</v>
      </c>
      <c r="M1926" s="9">
        <v>1</v>
      </c>
      <c r="N1926" s="7">
        <v>1.2</v>
      </c>
      <c r="O1926" s="7">
        <v>6.7</v>
      </c>
      <c r="P1926" s="7">
        <v>4.7</v>
      </c>
      <c r="Q1926" t="s">
        <v>225</v>
      </c>
      <c r="R1926" s="7" t="str">
        <f>TEXT(Table1[[#This Row],[Date]],"mmm yyyy")</f>
        <v>Jul 2026</v>
      </c>
      <c r="S1926" s="9">
        <f>YEAR(Table1[[#This Row],[Date]])</f>
        <v>2026</v>
      </c>
      <c r="T1926" s="9"/>
      <c r="U1926" s="9"/>
    </row>
    <row r="1927" spans="1:21" x14ac:dyDescent="0.3">
      <c r="A1927" t="s">
        <v>2637</v>
      </c>
      <c r="B1927" s="6">
        <v>46005</v>
      </c>
      <c r="C1927" t="s">
        <v>18</v>
      </c>
      <c r="D1927" t="s">
        <v>117</v>
      </c>
      <c r="E1927" t="s">
        <v>20</v>
      </c>
      <c r="F1927" t="s">
        <v>146</v>
      </c>
      <c r="G1927" t="s">
        <v>30</v>
      </c>
      <c r="H1927" t="s">
        <v>86</v>
      </c>
      <c r="I1927" t="s">
        <v>45</v>
      </c>
      <c r="J1927" s="9">
        <v>1</v>
      </c>
      <c r="K1927" s="7">
        <v>33500</v>
      </c>
      <c r="L1927" s="7">
        <v>0</v>
      </c>
      <c r="M1927" s="9"/>
      <c r="N1927" s="7">
        <v>23.9</v>
      </c>
      <c r="O1927" s="7"/>
      <c r="P1927" s="7"/>
      <c r="Q1927" t="s">
        <v>45</v>
      </c>
      <c r="R1927" s="7" t="str">
        <f>TEXT(Table1[[#This Row],[Date]],"mmm yyyy")</f>
        <v>Dec 2025</v>
      </c>
      <c r="S1927" s="9">
        <f>YEAR(Table1[[#This Row],[Date]])</f>
        <v>2025</v>
      </c>
      <c r="T1927" s="9"/>
      <c r="U1927" s="9"/>
    </row>
    <row r="1928" spans="1:21" hidden="1" x14ac:dyDescent="0.3">
      <c r="A1928" t="s">
        <v>2638</v>
      </c>
      <c r="B1928" s="6">
        <v>46033</v>
      </c>
      <c r="C1928" t="s">
        <v>26</v>
      </c>
      <c r="D1928" t="s">
        <v>114</v>
      </c>
      <c r="E1928" t="s">
        <v>37</v>
      </c>
      <c r="F1928" t="s">
        <v>118</v>
      </c>
      <c r="G1928" t="s">
        <v>30</v>
      </c>
      <c r="J1928" s="9">
        <v>0</v>
      </c>
      <c r="K1928" s="7">
        <v>0</v>
      </c>
      <c r="L1928" s="7">
        <v>0</v>
      </c>
      <c r="M1928" s="9">
        <v>1</v>
      </c>
      <c r="N1928" s="7">
        <v>5</v>
      </c>
      <c r="O1928" s="7">
        <v>1.7</v>
      </c>
      <c r="P1928" s="7">
        <v>3.4</v>
      </c>
      <c r="Q1928" t="s">
        <v>225</v>
      </c>
      <c r="R1928" s="7" t="str">
        <f>TEXT(Table1[[#This Row],[Date]],"mmm yyyy")</f>
        <v>Jan 2026</v>
      </c>
      <c r="S1928" s="9">
        <f>YEAR(Table1[[#This Row],[Date]])</f>
        <v>2026</v>
      </c>
      <c r="T1928" s="9"/>
      <c r="U1928" s="9"/>
    </row>
    <row r="1929" spans="1:21" x14ac:dyDescent="0.3">
      <c r="A1929" t="s">
        <v>2639</v>
      </c>
      <c r="B1929" s="6">
        <v>46078</v>
      </c>
      <c r="C1929" t="s">
        <v>18</v>
      </c>
      <c r="D1929" t="s">
        <v>47</v>
      </c>
      <c r="E1929" t="s">
        <v>20</v>
      </c>
      <c r="F1929" t="s">
        <v>118</v>
      </c>
      <c r="G1929" t="s">
        <v>22</v>
      </c>
      <c r="H1929" t="s">
        <v>66</v>
      </c>
      <c r="I1929" t="s">
        <v>45</v>
      </c>
      <c r="J1929" s="9">
        <v>1</v>
      </c>
      <c r="K1929" s="7">
        <v>23400</v>
      </c>
      <c r="L1929" s="7">
        <v>0</v>
      </c>
      <c r="M1929" s="9"/>
      <c r="N1929" s="7">
        <v>3.2</v>
      </c>
      <c r="O1929" s="7"/>
      <c r="P1929" s="7"/>
      <c r="Q1929" t="s">
        <v>45</v>
      </c>
      <c r="R1929" s="7" t="str">
        <f>TEXT(Table1[[#This Row],[Date]],"mmm yyyy")</f>
        <v>Feb 2026</v>
      </c>
      <c r="S1929" s="9">
        <f>YEAR(Table1[[#This Row],[Date]])</f>
        <v>2026</v>
      </c>
      <c r="T1929" s="9"/>
      <c r="U1929" s="9"/>
    </row>
    <row r="1930" spans="1:21" hidden="1" x14ac:dyDescent="0.3">
      <c r="A1930" t="s">
        <v>2640</v>
      </c>
      <c r="B1930" s="6">
        <v>46193</v>
      </c>
      <c r="C1930" t="s">
        <v>26</v>
      </c>
      <c r="D1930" t="s">
        <v>36</v>
      </c>
      <c r="E1930" t="s">
        <v>20</v>
      </c>
      <c r="F1930" t="s">
        <v>96</v>
      </c>
      <c r="G1930" t="s">
        <v>30</v>
      </c>
      <c r="J1930" s="9">
        <v>0</v>
      </c>
      <c r="K1930" s="7">
        <v>0</v>
      </c>
      <c r="L1930" s="7">
        <v>0</v>
      </c>
      <c r="M1930" s="9">
        <v>1</v>
      </c>
      <c r="N1930" s="7">
        <v>8.6999999999999993</v>
      </c>
      <c r="O1930" s="7">
        <v>2.8</v>
      </c>
      <c r="P1930" s="7">
        <v>4.9000000000000004</v>
      </c>
      <c r="Q1930" t="s">
        <v>225</v>
      </c>
      <c r="R1930" s="7" t="str">
        <f>TEXT(Table1[[#This Row],[Date]],"mmm yyyy")</f>
        <v>Jun 2026</v>
      </c>
      <c r="S1930" s="9">
        <f>YEAR(Table1[[#This Row],[Date]])</f>
        <v>2026</v>
      </c>
      <c r="T1930" s="9"/>
      <c r="U1930" s="9"/>
    </row>
    <row r="1931" spans="1:21" x14ac:dyDescent="0.3">
      <c r="A1931" t="s">
        <v>2641</v>
      </c>
      <c r="B1931" s="6">
        <v>45969</v>
      </c>
      <c r="C1931" t="s">
        <v>18</v>
      </c>
      <c r="D1931" t="s">
        <v>105</v>
      </c>
      <c r="E1931" t="s">
        <v>20</v>
      </c>
      <c r="F1931" t="s">
        <v>1118</v>
      </c>
      <c r="G1931" t="s">
        <v>22</v>
      </c>
      <c r="H1931" t="s">
        <v>66</v>
      </c>
      <c r="I1931" t="s">
        <v>55</v>
      </c>
      <c r="J1931" s="9">
        <v>1</v>
      </c>
      <c r="K1931" s="7">
        <v>29000</v>
      </c>
      <c r="L1931" s="7">
        <v>0</v>
      </c>
      <c r="M1931" s="9"/>
      <c r="N1931" s="7">
        <v>10.4</v>
      </c>
      <c r="O1931" s="7"/>
      <c r="P1931" s="7"/>
      <c r="Q1931" t="s">
        <v>55</v>
      </c>
      <c r="R1931" s="7" t="str">
        <f>TEXT(Table1[[#This Row],[Date]],"mmm yyyy")</f>
        <v>Nov 2025</v>
      </c>
      <c r="S1931" s="9">
        <f>YEAR(Table1[[#This Row],[Date]])</f>
        <v>2025</v>
      </c>
      <c r="T1931" s="9"/>
      <c r="U1931" s="9"/>
    </row>
    <row r="1932" spans="1:21" hidden="1" x14ac:dyDescent="0.3">
      <c r="A1932" t="s">
        <v>2642</v>
      </c>
      <c r="B1932" s="6">
        <v>46241</v>
      </c>
      <c r="C1932" t="s">
        <v>26</v>
      </c>
      <c r="D1932" t="s">
        <v>72</v>
      </c>
      <c r="E1932" t="s">
        <v>37</v>
      </c>
      <c r="F1932" t="s">
        <v>859</v>
      </c>
      <c r="G1932" t="s">
        <v>44</v>
      </c>
      <c r="J1932" s="9">
        <v>0</v>
      </c>
      <c r="K1932" s="7">
        <v>0</v>
      </c>
      <c r="L1932" s="7">
        <v>0</v>
      </c>
      <c r="M1932" s="9">
        <v>1</v>
      </c>
      <c r="N1932" s="7">
        <v>8.1999999999999993</v>
      </c>
      <c r="O1932" s="7">
        <v>9.1</v>
      </c>
      <c r="P1932" s="7">
        <v>4.5999999999999996</v>
      </c>
      <c r="Q1932" t="s">
        <v>62</v>
      </c>
      <c r="R1932" s="7" t="str">
        <f>TEXT(Table1[[#This Row],[Date]],"mmm yyyy")</f>
        <v>Aug 2026</v>
      </c>
      <c r="S1932" s="9">
        <f>YEAR(Table1[[#This Row],[Date]])</f>
        <v>2026</v>
      </c>
      <c r="T1932" s="9"/>
      <c r="U1932" s="9"/>
    </row>
    <row r="1933" spans="1:21" hidden="1" x14ac:dyDescent="0.3">
      <c r="A1933" t="s">
        <v>2643</v>
      </c>
      <c r="B1933" s="6">
        <v>46096</v>
      </c>
      <c r="C1933" t="s">
        <v>26</v>
      </c>
      <c r="D1933" t="s">
        <v>27</v>
      </c>
      <c r="E1933" t="s">
        <v>48</v>
      </c>
      <c r="F1933" t="s">
        <v>308</v>
      </c>
      <c r="G1933" t="s">
        <v>44</v>
      </c>
      <c r="J1933" s="9">
        <v>0</v>
      </c>
      <c r="K1933" s="7">
        <v>0</v>
      </c>
      <c r="L1933" s="7">
        <v>0</v>
      </c>
      <c r="M1933" s="9">
        <v>1</v>
      </c>
      <c r="N1933" s="7">
        <v>6.9</v>
      </c>
      <c r="O1933" s="7">
        <v>17</v>
      </c>
      <c r="P1933" s="7">
        <v>4.0999999999999996</v>
      </c>
      <c r="Q1933" t="s">
        <v>31</v>
      </c>
      <c r="R1933" s="7" t="str">
        <f>TEXT(Table1[[#This Row],[Date]],"mmm yyyy")</f>
        <v>Mar 2026</v>
      </c>
      <c r="S1933" s="9">
        <f>YEAR(Table1[[#This Row],[Date]])</f>
        <v>2026</v>
      </c>
      <c r="T1933" s="9"/>
      <c r="U1933" s="9"/>
    </row>
    <row r="1934" spans="1:21" hidden="1" x14ac:dyDescent="0.3">
      <c r="A1934" t="s">
        <v>2644</v>
      </c>
      <c r="B1934" s="6">
        <v>46074</v>
      </c>
      <c r="C1934" t="s">
        <v>26</v>
      </c>
      <c r="D1934" t="s">
        <v>27</v>
      </c>
      <c r="E1934" t="s">
        <v>20</v>
      </c>
      <c r="F1934" t="s">
        <v>600</v>
      </c>
      <c r="G1934" t="s">
        <v>22</v>
      </c>
      <c r="J1934" s="9">
        <v>0</v>
      </c>
      <c r="K1934" s="7">
        <v>0</v>
      </c>
      <c r="L1934" s="7">
        <v>0</v>
      </c>
      <c r="M1934" s="9">
        <v>1</v>
      </c>
      <c r="N1934" s="7">
        <v>0.6</v>
      </c>
      <c r="O1934" s="7">
        <v>4.8</v>
      </c>
      <c r="P1934" s="7">
        <v>3.9</v>
      </c>
      <c r="Q1934" t="s">
        <v>39</v>
      </c>
      <c r="R1934" s="7" t="str">
        <f>TEXT(Table1[[#This Row],[Date]],"mmm yyyy")</f>
        <v>Feb 2026</v>
      </c>
      <c r="S1934" s="9">
        <f>YEAR(Table1[[#This Row],[Date]])</f>
        <v>2026</v>
      </c>
      <c r="T1934" s="9"/>
      <c r="U1934" s="9"/>
    </row>
    <row r="1935" spans="1:21" hidden="1" x14ac:dyDescent="0.3">
      <c r="A1935" t="s">
        <v>2645</v>
      </c>
      <c r="B1935" s="6">
        <v>46029</v>
      </c>
      <c r="C1935" t="s">
        <v>26</v>
      </c>
      <c r="D1935" t="s">
        <v>27</v>
      </c>
      <c r="E1935" t="s">
        <v>20</v>
      </c>
      <c r="F1935" t="s">
        <v>1414</v>
      </c>
      <c r="G1935" t="s">
        <v>30</v>
      </c>
      <c r="J1935" s="9">
        <v>0</v>
      </c>
      <c r="K1935" s="7">
        <v>0</v>
      </c>
      <c r="L1935" s="7">
        <v>0</v>
      </c>
      <c r="M1935" s="9">
        <v>1</v>
      </c>
      <c r="N1935" s="7">
        <v>1.6</v>
      </c>
      <c r="O1935" s="7">
        <v>3.3</v>
      </c>
      <c r="P1935" s="7">
        <v>3.4</v>
      </c>
      <c r="Q1935" t="s">
        <v>225</v>
      </c>
      <c r="R1935" s="7" t="str">
        <f>TEXT(Table1[[#This Row],[Date]],"mmm yyyy")</f>
        <v>Jan 2026</v>
      </c>
      <c r="S1935" s="9">
        <f>YEAR(Table1[[#This Row],[Date]])</f>
        <v>2026</v>
      </c>
      <c r="T1935" s="9"/>
      <c r="U1935" s="9"/>
    </row>
    <row r="1936" spans="1:21" hidden="1" x14ac:dyDescent="0.3">
      <c r="A1936" t="s">
        <v>2646</v>
      </c>
      <c r="B1936" s="6">
        <v>46139</v>
      </c>
      <c r="C1936" t="s">
        <v>26</v>
      </c>
      <c r="D1936" t="s">
        <v>114</v>
      </c>
      <c r="E1936" t="s">
        <v>48</v>
      </c>
      <c r="F1936" t="s">
        <v>1849</v>
      </c>
      <c r="G1936" t="s">
        <v>30</v>
      </c>
      <c r="J1936" s="9">
        <v>0</v>
      </c>
      <c r="K1936" s="7">
        <v>0</v>
      </c>
      <c r="L1936" s="7">
        <v>0</v>
      </c>
      <c r="M1936" s="9">
        <v>1</v>
      </c>
      <c r="N1936" s="7">
        <v>1.7</v>
      </c>
      <c r="O1936" s="7">
        <v>6.9</v>
      </c>
      <c r="P1936" s="7">
        <v>4</v>
      </c>
      <c r="Q1936" t="s">
        <v>225</v>
      </c>
      <c r="R1936" s="7" t="str">
        <f>TEXT(Table1[[#This Row],[Date]],"mmm yyyy")</f>
        <v>Apr 2026</v>
      </c>
      <c r="S1936" s="9">
        <f>YEAR(Table1[[#This Row],[Date]])</f>
        <v>2026</v>
      </c>
      <c r="T1936" s="9"/>
      <c r="U1936" s="9"/>
    </row>
    <row r="1937" spans="1:21" hidden="1" x14ac:dyDescent="0.3">
      <c r="A1937" t="s">
        <v>2647</v>
      </c>
      <c r="B1937" s="6">
        <v>46007</v>
      </c>
      <c r="C1937" t="s">
        <v>26</v>
      </c>
      <c r="D1937" t="s">
        <v>36</v>
      </c>
      <c r="E1937" t="s">
        <v>20</v>
      </c>
      <c r="F1937" t="s">
        <v>1721</v>
      </c>
      <c r="G1937" t="s">
        <v>30</v>
      </c>
      <c r="J1937" s="9">
        <v>0</v>
      </c>
      <c r="K1937" s="7">
        <v>0</v>
      </c>
      <c r="L1937" s="7">
        <v>0</v>
      </c>
      <c r="M1937" s="9">
        <v>1</v>
      </c>
      <c r="N1937" s="7">
        <v>8.6999999999999993</v>
      </c>
      <c r="O1937" s="7">
        <v>19</v>
      </c>
      <c r="P1937" s="7">
        <v>3.4</v>
      </c>
      <c r="Q1937" t="s">
        <v>39</v>
      </c>
      <c r="R1937" s="7" t="str">
        <f>TEXT(Table1[[#This Row],[Date]],"mmm yyyy")</f>
        <v>Dec 2025</v>
      </c>
      <c r="S1937" s="9">
        <f>YEAR(Table1[[#This Row],[Date]])</f>
        <v>2025</v>
      </c>
      <c r="T1937" s="9"/>
      <c r="U1937" s="9"/>
    </row>
    <row r="1938" spans="1:21" x14ac:dyDescent="0.3">
      <c r="A1938" t="s">
        <v>2648</v>
      </c>
      <c r="B1938" s="6">
        <v>45950</v>
      </c>
      <c r="C1938" t="s">
        <v>18</v>
      </c>
      <c r="D1938" t="s">
        <v>47</v>
      </c>
      <c r="E1938" t="s">
        <v>37</v>
      </c>
      <c r="F1938" t="s">
        <v>587</v>
      </c>
      <c r="G1938" t="s">
        <v>22</v>
      </c>
      <c r="H1938" t="s">
        <v>54</v>
      </c>
      <c r="I1938" t="s">
        <v>24</v>
      </c>
      <c r="J1938" s="9">
        <v>1</v>
      </c>
      <c r="K1938" s="7">
        <v>26700</v>
      </c>
      <c r="L1938" s="7">
        <v>26700</v>
      </c>
      <c r="M1938" s="9"/>
      <c r="N1938" s="7">
        <v>1.7</v>
      </c>
      <c r="O1938" s="7"/>
      <c r="P1938" s="7"/>
      <c r="Q1938" t="s">
        <v>24</v>
      </c>
      <c r="R1938" s="7" t="str">
        <f>TEXT(Table1[[#This Row],[Date]],"mmm yyyy")</f>
        <v>Oct 2025</v>
      </c>
      <c r="S1938" s="9">
        <f>YEAR(Table1[[#This Row],[Date]])</f>
        <v>2025</v>
      </c>
      <c r="T1938" s="9"/>
      <c r="U1938" s="9"/>
    </row>
    <row r="1939" spans="1:21" hidden="1" x14ac:dyDescent="0.3">
      <c r="A1939" t="s">
        <v>2649</v>
      </c>
      <c r="B1939" s="6">
        <v>46241</v>
      </c>
      <c r="C1939" t="s">
        <v>26</v>
      </c>
      <c r="D1939" t="s">
        <v>69</v>
      </c>
      <c r="E1939" t="s">
        <v>37</v>
      </c>
      <c r="F1939" t="s">
        <v>1205</v>
      </c>
      <c r="G1939" t="s">
        <v>44</v>
      </c>
      <c r="J1939" s="9">
        <v>0</v>
      </c>
      <c r="K1939" s="7">
        <v>0</v>
      </c>
      <c r="L1939" s="7">
        <v>0</v>
      </c>
      <c r="M1939" s="9">
        <v>1</v>
      </c>
      <c r="N1939" s="7">
        <v>10</v>
      </c>
      <c r="O1939" s="7">
        <v>8.9</v>
      </c>
      <c r="P1939" s="7">
        <v>3.9</v>
      </c>
      <c r="Q1939" t="s">
        <v>39</v>
      </c>
      <c r="R1939" s="7" t="str">
        <f>TEXT(Table1[[#This Row],[Date]],"mmm yyyy")</f>
        <v>Aug 2026</v>
      </c>
      <c r="S1939" s="9">
        <f>YEAR(Table1[[#This Row],[Date]])</f>
        <v>2026</v>
      </c>
      <c r="T1939" s="9"/>
      <c r="U1939" s="9"/>
    </row>
    <row r="1940" spans="1:21" x14ac:dyDescent="0.3">
      <c r="A1940" t="s">
        <v>2650</v>
      </c>
      <c r="B1940" s="6">
        <v>46206</v>
      </c>
      <c r="C1940" t="s">
        <v>18</v>
      </c>
      <c r="D1940" t="s">
        <v>105</v>
      </c>
      <c r="E1940" t="s">
        <v>20</v>
      </c>
      <c r="F1940" t="s">
        <v>1516</v>
      </c>
      <c r="G1940" t="s">
        <v>22</v>
      </c>
      <c r="H1940" t="s">
        <v>78</v>
      </c>
      <c r="I1940" t="s">
        <v>24</v>
      </c>
      <c r="J1940" s="9">
        <v>1</v>
      </c>
      <c r="K1940" s="7">
        <v>9600</v>
      </c>
      <c r="L1940" s="7">
        <v>9600</v>
      </c>
      <c r="M1940" s="9"/>
      <c r="N1940" s="7">
        <v>2.1</v>
      </c>
      <c r="O1940" s="7"/>
      <c r="P1940" s="7"/>
      <c r="Q1940" t="s">
        <v>24</v>
      </c>
      <c r="R1940" s="7" t="str">
        <f>TEXT(Table1[[#This Row],[Date]],"mmm yyyy")</f>
        <v>Jul 2026</v>
      </c>
      <c r="S1940" s="9">
        <f>YEAR(Table1[[#This Row],[Date]])</f>
        <v>2026</v>
      </c>
      <c r="T1940" s="9"/>
      <c r="U1940" s="9"/>
    </row>
    <row r="1941" spans="1:21" x14ac:dyDescent="0.3">
      <c r="A1941" t="s">
        <v>2651</v>
      </c>
      <c r="B1941" s="6">
        <v>46160</v>
      </c>
      <c r="C1941" t="s">
        <v>18</v>
      </c>
      <c r="D1941" t="s">
        <v>52</v>
      </c>
      <c r="E1941" t="s">
        <v>20</v>
      </c>
      <c r="F1941" t="s">
        <v>1425</v>
      </c>
      <c r="G1941" t="s">
        <v>30</v>
      </c>
      <c r="H1941" t="s">
        <v>78</v>
      </c>
      <c r="I1941" t="s">
        <v>45</v>
      </c>
      <c r="J1941" s="9">
        <v>1</v>
      </c>
      <c r="K1941" s="7">
        <v>42900</v>
      </c>
      <c r="L1941" s="7">
        <v>0</v>
      </c>
      <c r="M1941" s="9"/>
      <c r="N1941" s="7">
        <v>1</v>
      </c>
      <c r="O1941" s="7"/>
      <c r="P1941" s="7"/>
      <c r="Q1941" t="s">
        <v>45</v>
      </c>
      <c r="R1941" s="7" t="str">
        <f>TEXT(Table1[[#This Row],[Date]],"mmm yyyy")</f>
        <v>May 2026</v>
      </c>
      <c r="S1941" s="9">
        <f>YEAR(Table1[[#This Row],[Date]])</f>
        <v>2026</v>
      </c>
      <c r="T1941" s="9"/>
      <c r="U1941" s="9"/>
    </row>
    <row r="1942" spans="1:21" x14ac:dyDescent="0.3">
      <c r="A1942" t="s">
        <v>2652</v>
      </c>
      <c r="B1942" s="6">
        <v>45902</v>
      </c>
      <c r="C1942" t="s">
        <v>18</v>
      </c>
      <c r="D1942" t="s">
        <v>52</v>
      </c>
      <c r="E1942" t="s">
        <v>20</v>
      </c>
      <c r="F1942" t="s">
        <v>2067</v>
      </c>
      <c r="G1942" t="s">
        <v>30</v>
      </c>
      <c r="H1942" t="s">
        <v>23</v>
      </c>
      <c r="I1942" t="s">
        <v>55</v>
      </c>
      <c r="J1942" s="9">
        <v>1</v>
      </c>
      <c r="K1942" s="7">
        <v>14500</v>
      </c>
      <c r="L1942" s="7">
        <v>0</v>
      </c>
      <c r="M1942" s="9"/>
      <c r="N1942" s="7">
        <v>2.1</v>
      </c>
      <c r="O1942" s="7"/>
      <c r="P1942" s="7"/>
      <c r="Q1942" t="s">
        <v>55</v>
      </c>
      <c r="R1942" s="7" t="str">
        <f>TEXT(Table1[[#This Row],[Date]],"mmm yyyy")</f>
        <v>Sep 2025</v>
      </c>
      <c r="S1942" s="9">
        <f>YEAR(Table1[[#This Row],[Date]])</f>
        <v>2025</v>
      </c>
      <c r="T1942" s="9"/>
      <c r="U1942" s="9"/>
    </row>
    <row r="1943" spans="1:21" x14ac:dyDescent="0.3">
      <c r="A1943" t="s">
        <v>2653</v>
      </c>
      <c r="B1943" s="6">
        <v>46237</v>
      </c>
      <c r="C1943" t="s">
        <v>18</v>
      </c>
      <c r="D1943" t="s">
        <v>19</v>
      </c>
      <c r="E1943" t="s">
        <v>28</v>
      </c>
      <c r="F1943" t="s">
        <v>1887</v>
      </c>
      <c r="G1943" t="s">
        <v>22</v>
      </c>
      <c r="H1943" t="s">
        <v>23</v>
      </c>
      <c r="I1943" t="s">
        <v>24</v>
      </c>
      <c r="J1943" s="9">
        <v>1</v>
      </c>
      <c r="K1943" s="7">
        <v>15300</v>
      </c>
      <c r="L1943" s="7">
        <v>15300</v>
      </c>
      <c r="M1943" s="9"/>
      <c r="N1943" s="7">
        <v>7.7</v>
      </c>
      <c r="O1943" s="7"/>
      <c r="P1943" s="7"/>
      <c r="Q1943" t="s">
        <v>24</v>
      </c>
      <c r="R1943" s="7" t="str">
        <f>TEXT(Table1[[#This Row],[Date]],"mmm yyyy")</f>
        <v>Aug 2026</v>
      </c>
      <c r="S1943" s="9">
        <f>YEAR(Table1[[#This Row],[Date]])</f>
        <v>2026</v>
      </c>
      <c r="T1943" s="9"/>
      <c r="U1943" s="9"/>
    </row>
    <row r="1944" spans="1:21" hidden="1" x14ac:dyDescent="0.3">
      <c r="A1944" t="s">
        <v>2654</v>
      </c>
      <c r="B1944" s="6">
        <v>46099</v>
      </c>
      <c r="C1944" t="s">
        <v>26</v>
      </c>
      <c r="D1944" t="s">
        <v>114</v>
      </c>
      <c r="E1944" t="s">
        <v>42</v>
      </c>
      <c r="F1944" t="s">
        <v>1694</v>
      </c>
      <c r="G1944" t="s">
        <v>22</v>
      </c>
      <c r="J1944" s="9">
        <v>0</v>
      </c>
      <c r="K1944" s="7">
        <v>0</v>
      </c>
      <c r="L1944" s="7">
        <v>0</v>
      </c>
      <c r="M1944" s="9">
        <v>1</v>
      </c>
      <c r="N1944" s="7">
        <v>5.7</v>
      </c>
      <c r="O1944" s="7">
        <v>2.7</v>
      </c>
      <c r="P1944" s="7">
        <v>4.4000000000000004</v>
      </c>
      <c r="Q1944" t="s">
        <v>39</v>
      </c>
      <c r="R1944" s="7" t="str">
        <f>TEXT(Table1[[#This Row],[Date]],"mmm yyyy")</f>
        <v>Mar 2026</v>
      </c>
      <c r="S1944" s="9">
        <f>YEAR(Table1[[#This Row],[Date]])</f>
        <v>2026</v>
      </c>
      <c r="T1944" s="9"/>
      <c r="U1944" s="9"/>
    </row>
    <row r="1945" spans="1:21" hidden="1" x14ac:dyDescent="0.3">
      <c r="A1945" t="s">
        <v>2655</v>
      </c>
      <c r="B1945" s="6">
        <v>46190</v>
      </c>
      <c r="C1945" t="s">
        <v>26</v>
      </c>
      <c r="D1945" t="s">
        <v>36</v>
      </c>
      <c r="E1945" t="s">
        <v>20</v>
      </c>
      <c r="F1945" t="s">
        <v>2368</v>
      </c>
      <c r="G1945" t="s">
        <v>22</v>
      </c>
      <c r="J1945" s="9">
        <v>0</v>
      </c>
      <c r="K1945" s="7">
        <v>0</v>
      </c>
      <c r="L1945" s="7">
        <v>0</v>
      </c>
      <c r="M1945" s="9">
        <v>1</v>
      </c>
      <c r="N1945" s="7">
        <v>6.2</v>
      </c>
      <c r="O1945" s="7">
        <v>11.6</v>
      </c>
      <c r="P1945" s="7">
        <v>3.6</v>
      </c>
      <c r="Q1945" t="s">
        <v>39</v>
      </c>
      <c r="R1945" s="7" t="str">
        <f>TEXT(Table1[[#This Row],[Date]],"mmm yyyy")</f>
        <v>Jun 2026</v>
      </c>
      <c r="S1945" s="9">
        <f>YEAR(Table1[[#This Row],[Date]])</f>
        <v>2026</v>
      </c>
      <c r="T1945" s="9"/>
      <c r="U1945" s="9"/>
    </row>
    <row r="1946" spans="1:21" hidden="1" x14ac:dyDescent="0.3">
      <c r="A1946" t="s">
        <v>2656</v>
      </c>
      <c r="B1946" s="6">
        <v>45999</v>
      </c>
      <c r="C1946" t="s">
        <v>26</v>
      </c>
      <c r="D1946" t="s">
        <v>69</v>
      </c>
      <c r="E1946" t="s">
        <v>20</v>
      </c>
      <c r="F1946" t="s">
        <v>2657</v>
      </c>
      <c r="G1946" t="s">
        <v>22</v>
      </c>
      <c r="J1946" s="9">
        <v>0</v>
      </c>
      <c r="K1946" s="7">
        <v>0</v>
      </c>
      <c r="L1946" s="7">
        <v>0</v>
      </c>
      <c r="M1946" s="9">
        <v>1</v>
      </c>
      <c r="N1946" s="7">
        <v>8.6999999999999993</v>
      </c>
      <c r="O1946" s="7">
        <v>4.2</v>
      </c>
      <c r="P1946" s="7">
        <v>4.0999999999999996</v>
      </c>
      <c r="Q1946" t="s">
        <v>31</v>
      </c>
      <c r="R1946" s="7" t="str">
        <f>TEXT(Table1[[#This Row],[Date]],"mmm yyyy")</f>
        <v>Dec 2025</v>
      </c>
      <c r="S1946" s="9">
        <f>YEAR(Table1[[#This Row],[Date]])</f>
        <v>2025</v>
      </c>
      <c r="T1946" s="9"/>
      <c r="U1946" s="9"/>
    </row>
    <row r="1947" spans="1:21" x14ac:dyDescent="0.3">
      <c r="A1947" t="s">
        <v>2658</v>
      </c>
      <c r="B1947" s="6">
        <v>45967</v>
      </c>
      <c r="C1947" t="s">
        <v>18</v>
      </c>
      <c r="D1947" t="s">
        <v>105</v>
      </c>
      <c r="E1947" t="s">
        <v>20</v>
      </c>
      <c r="F1947" t="s">
        <v>1323</v>
      </c>
      <c r="G1947" t="s">
        <v>22</v>
      </c>
      <c r="H1947" t="s">
        <v>54</v>
      </c>
      <c r="I1947" t="s">
        <v>55</v>
      </c>
      <c r="J1947" s="9">
        <v>1</v>
      </c>
      <c r="K1947" s="7">
        <v>9800</v>
      </c>
      <c r="L1947" s="7">
        <v>0</v>
      </c>
      <c r="M1947" s="9"/>
      <c r="N1947" s="7">
        <v>8.6</v>
      </c>
      <c r="O1947" s="7"/>
      <c r="P1947" s="7"/>
      <c r="Q1947" t="s">
        <v>55</v>
      </c>
      <c r="R1947" s="7" t="str">
        <f>TEXT(Table1[[#This Row],[Date]],"mmm yyyy")</f>
        <v>Nov 2025</v>
      </c>
      <c r="S1947" s="9">
        <f>YEAR(Table1[[#This Row],[Date]])</f>
        <v>2025</v>
      </c>
      <c r="T1947" s="9"/>
      <c r="U1947" s="9"/>
    </row>
    <row r="1948" spans="1:21" x14ac:dyDescent="0.3">
      <c r="A1948" t="s">
        <v>2659</v>
      </c>
      <c r="B1948" s="6">
        <v>46186</v>
      </c>
      <c r="C1948" t="s">
        <v>18</v>
      </c>
      <c r="D1948" t="s">
        <v>95</v>
      </c>
      <c r="E1948" t="s">
        <v>20</v>
      </c>
      <c r="F1948" t="s">
        <v>2131</v>
      </c>
      <c r="G1948" t="s">
        <v>30</v>
      </c>
      <c r="H1948" t="s">
        <v>23</v>
      </c>
      <c r="I1948" t="s">
        <v>67</v>
      </c>
      <c r="J1948" s="9">
        <v>1</v>
      </c>
      <c r="K1948" s="7">
        <v>24800</v>
      </c>
      <c r="L1948" s="7">
        <v>0</v>
      </c>
      <c r="M1948" s="9"/>
      <c r="N1948" s="7">
        <v>19.600000000000001</v>
      </c>
      <c r="O1948" s="7"/>
      <c r="P1948" s="7"/>
      <c r="Q1948" t="s">
        <v>67</v>
      </c>
      <c r="R1948" s="7" t="str">
        <f>TEXT(Table1[[#This Row],[Date]],"mmm yyyy")</f>
        <v>Jun 2026</v>
      </c>
      <c r="S1948" s="9">
        <f>YEAR(Table1[[#This Row],[Date]])</f>
        <v>2026</v>
      </c>
      <c r="T1948" s="9"/>
      <c r="U1948" s="9"/>
    </row>
    <row r="1949" spans="1:21" x14ac:dyDescent="0.3">
      <c r="A1949" t="s">
        <v>2660</v>
      </c>
      <c r="B1949" s="6">
        <v>45952</v>
      </c>
      <c r="C1949" t="s">
        <v>18</v>
      </c>
      <c r="D1949" t="s">
        <v>52</v>
      </c>
      <c r="E1949" t="s">
        <v>20</v>
      </c>
      <c r="F1949" t="s">
        <v>1539</v>
      </c>
      <c r="G1949" t="s">
        <v>44</v>
      </c>
      <c r="H1949" t="s">
        <v>78</v>
      </c>
      <c r="I1949" t="s">
        <v>67</v>
      </c>
      <c r="J1949" s="9">
        <v>1</v>
      </c>
      <c r="K1949" s="7">
        <v>19500</v>
      </c>
      <c r="L1949" s="7">
        <v>0</v>
      </c>
      <c r="M1949" s="9"/>
      <c r="N1949" s="7">
        <v>7.3</v>
      </c>
      <c r="O1949" s="7"/>
      <c r="P1949" s="7"/>
      <c r="Q1949" t="s">
        <v>67</v>
      </c>
      <c r="R1949" s="7" t="str">
        <f>TEXT(Table1[[#This Row],[Date]],"mmm yyyy")</f>
        <v>Oct 2025</v>
      </c>
      <c r="S1949" s="9">
        <f>YEAR(Table1[[#This Row],[Date]])</f>
        <v>2025</v>
      </c>
      <c r="T1949" s="9"/>
      <c r="U1949" s="9"/>
    </row>
    <row r="1950" spans="1:21" x14ac:dyDescent="0.3">
      <c r="A1950" t="s">
        <v>2661</v>
      </c>
      <c r="B1950" s="6">
        <v>46227</v>
      </c>
      <c r="C1950" t="s">
        <v>18</v>
      </c>
      <c r="D1950" t="s">
        <v>117</v>
      </c>
      <c r="E1950" t="s">
        <v>20</v>
      </c>
      <c r="F1950" t="s">
        <v>793</v>
      </c>
      <c r="G1950" t="s">
        <v>30</v>
      </c>
      <c r="H1950" t="s">
        <v>23</v>
      </c>
      <c r="I1950" t="s">
        <v>24</v>
      </c>
      <c r="J1950" s="9">
        <v>1</v>
      </c>
      <c r="K1950" s="7">
        <v>82700</v>
      </c>
      <c r="L1950" s="7">
        <v>82700</v>
      </c>
      <c r="M1950" s="9"/>
      <c r="N1950" s="7">
        <v>9.8000000000000007</v>
      </c>
      <c r="O1950" s="7"/>
      <c r="P1950" s="7"/>
      <c r="Q1950" t="s">
        <v>24</v>
      </c>
      <c r="R1950" s="7" t="str">
        <f>TEXT(Table1[[#This Row],[Date]],"mmm yyyy")</f>
        <v>Jul 2026</v>
      </c>
      <c r="S1950" s="9">
        <f>YEAR(Table1[[#This Row],[Date]])</f>
        <v>2026</v>
      </c>
      <c r="T1950" s="9"/>
      <c r="U1950" s="9"/>
    </row>
    <row r="1951" spans="1:21" x14ac:dyDescent="0.3">
      <c r="A1951" t="s">
        <v>2662</v>
      </c>
      <c r="B1951" s="6">
        <v>46218</v>
      </c>
      <c r="C1951" t="s">
        <v>18</v>
      </c>
      <c r="D1951" t="s">
        <v>19</v>
      </c>
      <c r="E1951" t="s">
        <v>42</v>
      </c>
      <c r="F1951" t="s">
        <v>1162</v>
      </c>
      <c r="G1951" t="s">
        <v>22</v>
      </c>
      <c r="H1951" t="s">
        <v>78</v>
      </c>
      <c r="I1951" t="s">
        <v>89</v>
      </c>
      <c r="J1951" s="9">
        <v>1</v>
      </c>
      <c r="K1951" s="7">
        <v>35600</v>
      </c>
      <c r="L1951" s="7">
        <v>0</v>
      </c>
      <c r="M1951" s="9"/>
      <c r="N1951" s="7">
        <v>21.4</v>
      </c>
      <c r="O1951" s="7"/>
      <c r="P1951" s="7"/>
      <c r="Q1951" t="s">
        <v>89</v>
      </c>
      <c r="R1951" s="7" t="str">
        <f>TEXT(Table1[[#This Row],[Date]],"mmm yyyy")</f>
        <v>Jul 2026</v>
      </c>
      <c r="S1951" s="9">
        <f>YEAR(Table1[[#This Row],[Date]])</f>
        <v>2026</v>
      </c>
      <c r="T1951" s="9"/>
      <c r="U1951" s="9"/>
    </row>
    <row r="1952" spans="1:21" x14ac:dyDescent="0.3">
      <c r="A1952" t="s">
        <v>2663</v>
      </c>
      <c r="B1952" s="6">
        <v>46252</v>
      </c>
      <c r="C1952" t="s">
        <v>18</v>
      </c>
      <c r="D1952" t="s">
        <v>95</v>
      </c>
      <c r="E1952" t="s">
        <v>20</v>
      </c>
      <c r="F1952" t="s">
        <v>966</v>
      </c>
      <c r="G1952" t="s">
        <v>44</v>
      </c>
      <c r="H1952" t="s">
        <v>54</v>
      </c>
      <c r="I1952" t="s">
        <v>67</v>
      </c>
      <c r="J1952" s="9">
        <v>1</v>
      </c>
      <c r="K1952" s="7">
        <v>12000</v>
      </c>
      <c r="L1952" s="7">
        <v>0</v>
      </c>
      <c r="M1952" s="9"/>
      <c r="N1952" s="7">
        <v>9.1</v>
      </c>
      <c r="O1952" s="7"/>
      <c r="P1952" s="7"/>
      <c r="Q1952" t="s">
        <v>67</v>
      </c>
      <c r="R1952" s="7" t="str">
        <f>TEXT(Table1[[#This Row],[Date]],"mmm yyyy")</f>
        <v>Aug 2026</v>
      </c>
      <c r="S1952" s="9">
        <f>YEAR(Table1[[#This Row],[Date]])</f>
        <v>2026</v>
      </c>
      <c r="T1952" s="9"/>
      <c r="U1952" s="9"/>
    </row>
    <row r="1953" spans="1:21" x14ac:dyDescent="0.3">
      <c r="A1953" t="s">
        <v>2664</v>
      </c>
      <c r="B1953" s="6">
        <v>46045</v>
      </c>
      <c r="C1953" t="s">
        <v>18</v>
      </c>
      <c r="D1953" t="s">
        <v>64</v>
      </c>
      <c r="E1953" t="s">
        <v>20</v>
      </c>
      <c r="F1953" t="s">
        <v>278</v>
      </c>
      <c r="G1953" t="s">
        <v>22</v>
      </c>
      <c r="H1953" t="s">
        <v>86</v>
      </c>
      <c r="I1953" t="s">
        <v>45</v>
      </c>
      <c r="J1953" s="9">
        <v>1</v>
      </c>
      <c r="K1953" s="7">
        <v>116300</v>
      </c>
      <c r="L1953" s="7">
        <v>0</v>
      </c>
      <c r="M1953" s="9"/>
      <c r="N1953" s="7">
        <v>11.5</v>
      </c>
      <c r="O1953" s="7"/>
      <c r="P1953" s="7"/>
      <c r="Q1953" t="s">
        <v>45</v>
      </c>
      <c r="R1953" s="7" t="str">
        <f>TEXT(Table1[[#This Row],[Date]],"mmm yyyy")</f>
        <v>Jan 2026</v>
      </c>
      <c r="S1953" s="9">
        <f>YEAR(Table1[[#This Row],[Date]])</f>
        <v>2026</v>
      </c>
      <c r="T1953" s="9"/>
      <c r="U1953" s="9"/>
    </row>
    <row r="1954" spans="1:21" hidden="1" x14ac:dyDescent="0.3">
      <c r="A1954" t="s">
        <v>2665</v>
      </c>
      <c r="B1954" s="6">
        <v>46077</v>
      </c>
      <c r="C1954" t="s">
        <v>26</v>
      </c>
      <c r="D1954" t="s">
        <v>114</v>
      </c>
      <c r="E1954" t="s">
        <v>28</v>
      </c>
      <c r="F1954" t="s">
        <v>1575</v>
      </c>
      <c r="G1954" t="s">
        <v>22</v>
      </c>
      <c r="J1954" s="9">
        <v>0</v>
      </c>
      <c r="K1954" s="7">
        <v>0</v>
      </c>
      <c r="L1954" s="7">
        <v>0</v>
      </c>
      <c r="M1954" s="9">
        <v>1</v>
      </c>
      <c r="N1954" s="7">
        <v>3.7</v>
      </c>
      <c r="O1954" s="7">
        <v>11</v>
      </c>
      <c r="P1954" s="7">
        <v>4.7</v>
      </c>
      <c r="Q1954" t="s">
        <v>39</v>
      </c>
      <c r="R1954" s="7" t="str">
        <f>TEXT(Table1[[#This Row],[Date]],"mmm yyyy")</f>
        <v>Feb 2026</v>
      </c>
      <c r="S1954" s="9">
        <f>YEAR(Table1[[#This Row],[Date]])</f>
        <v>2026</v>
      </c>
      <c r="T1954" s="9"/>
      <c r="U1954" s="9"/>
    </row>
    <row r="1955" spans="1:21" hidden="1" x14ac:dyDescent="0.3">
      <c r="A1955" t="s">
        <v>2666</v>
      </c>
      <c r="B1955" s="6">
        <v>45940</v>
      </c>
      <c r="C1955" t="s">
        <v>26</v>
      </c>
      <c r="D1955" t="s">
        <v>72</v>
      </c>
      <c r="E1955" t="s">
        <v>28</v>
      </c>
      <c r="F1955" t="s">
        <v>212</v>
      </c>
      <c r="G1955" t="s">
        <v>50</v>
      </c>
      <c r="J1955" s="9">
        <v>0</v>
      </c>
      <c r="K1955" s="7">
        <v>0</v>
      </c>
      <c r="L1955" s="7">
        <v>0</v>
      </c>
      <c r="M1955" s="9">
        <v>1</v>
      </c>
      <c r="N1955" s="7">
        <v>0.9</v>
      </c>
      <c r="O1955" s="7">
        <v>3.9</v>
      </c>
      <c r="P1955" s="7">
        <v>4.9000000000000004</v>
      </c>
      <c r="Q1955" t="s">
        <v>62</v>
      </c>
      <c r="R1955" s="7" t="str">
        <f>TEXT(Table1[[#This Row],[Date]],"mmm yyyy")</f>
        <v>Oct 2025</v>
      </c>
      <c r="S1955" s="9">
        <f>YEAR(Table1[[#This Row],[Date]])</f>
        <v>2025</v>
      </c>
      <c r="T1955" s="9"/>
      <c r="U1955" s="9"/>
    </row>
    <row r="1956" spans="1:21" hidden="1" x14ac:dyDescent="0.3">
      <c r="A1956" t="s">
        <v>2667</v>
      </c>
      <c r="B1956" s="6">
        <v>46149</v>
      </c>
      <c r="C1956" t="s">
        <v>26</v>
      </c>
      <c r="D1956" t="s">
        <v>36</v>
      </c>
      <c r="E1956" t="s">
        <v>20</v>
      </c>
      <c r="F1956" t="s">
        <v>360</v>
      </c>
      <c r="G1956" t="s">
        <v>30</v>
      </c>
      <c r="J1956" s="9">
        <v>0</v>
      </c>
      <c r="K1956" s="7">
        <v>0</v>
      </c>
      <c r="L1956" s="7">
        <v>0</v>
      </c>
      <c r="M1956" s="9">
        <v>1</v>
      </c>
      <c r="N1956" s="7">
        <v>11</v>
      </c>
      <c r="O1956" s="7">
        <v>5.5</v>
      </c>
      <c r="P1956" s="7">
        <v>4.4000000000000004</v>
      </c>
      <c r="Q1956" t="s">
        <v>39</v>
      </c>
      <c r="R1956" s="7" t="str">
        <f>TEXT(Table1[[#This Row],[Date]],"mmm yyyy")</f>
        <v>May 2026</v>
      </c>
      <c r="S1956" s="9">
        <f>YEAR(Table1[[#This Row],[Date]])</f>
        <v>2026</v>
      </c>
      <c r="T1956" s="9"/>
      <c r="U1956" s="9"/>
    </row>
    <row r="1957" spans="1:21" hidden="1" x14ac:dyDescent="0.3">
      <c r="A1957" t="s">
        <v>2668</v>
      </c>
      <c r="B1957" s="6">
        <v>46181</v>
      </c>
      <c r="C1957" t="s">
        <v>26</v>
      </c>
      <c r="D1957" t="s">
        <v>114</v>
      </c>
      <c r="E1957" t="s">
        <v>37</v>
      </c>
      <c r="F1957" t="s">
        <v>1349</v>
      </c>
      <c r="G1957" t="s">
        <v>22</v>
      </c>
      <c r="J1957" s="9">
        <v>0</v>
      </c>
      <c r="K1957" s="7">
        <v>0</v>
      </c>
      <c r="L1957" s="7">
        <v>0</v>
      </c>
      <c r="M1957" s="9">
        <v>1</v>
      </c>
      <c r="N1957" s="7">
        <v>7</v>
      </c>
      <c r="O1957" s="7">
        <v>4</v>
      </c>
      <c r="P1957" s="7">
        <v>4.2</v>
      </c>
      <c r="Q1957" t="s">
        <v>39</v>
      </c>
      <c r="R1957" s="7" t="str">
        <f>TEXT(Table1[[#This Row],[Date]],"mmm yyyy")</f>
        <v>Jun 2026</v>
      </c>
      <c r="S1957" s="9">
        <f>YEAR(Table1[[#This Row],[Date]])</f>
        <v>2026</v>
      </c>
      <c r="T1957" s="9"/>
      <c r="U1957" s="9"/>
    </row>
    <row r="1958" spans="1:21" hidden="1" x14ac:dyDescent="0.3">
      <c r="A1958" t="s">
        <v>2669</v>
      </c>
      <c r="B1958" s="6">
        <v>46139</v>
      </c>
      <c r="C1958" t="s">
        <v>26</v>
      </c>
      <c r="D1958" t="s">
        <v>232</v>
      </c>
      <c r="E1958" t="s">
        <v>42</v>
      </c>
      <c r="F1958" t="s">
        <v>923</v>
      </c>
      <c r="G1958" t="s">
        <v>44</v>
      </c>
      <c r="J1958" s="9">
        <v>0</v>
      </c>
      <c r="K1958" s="7">
        <v>0</v>
      </c>
      <c r="L1958" s="7">
        <v>0</v>
      </c>
      <c r="M1958" s="9">
        <v>1</v>
      </c>
      <c r="N1958" s="7">
        <v>6.3</v>
      </c>
      <c r="O1958" s="7">
        <v>7.4</v>
      </c>
      <c r="P1958" s="7">
        <v>4.4000000000000004</v>
      </c>
      <c r="Q1958" t="s">
        <v>39</v>
      </c>
      <c r="R1958" s="7" t="str">
        <f>TEXT(Table1[[#This Row],[Date]],"mmm yyyy")</f>
        <v>Apr 2026</v>
      </c>
      <c r="S1958" s="9">
        <f>YEAR(Table1[[#This Row],[Date]])</f>
        <v>2026</v>
      </c>
      <c r="T1958" s="9"/>
      <c r="U1958" s="9"/>
    </row>
    <row r="1959" spans="1:21" x14ac:dyDescent="0.3">
      <c r="A1959" t="s">
        <v>2670</v>
      </c>
      <c r="B1959" s="6">
        <v>46095</v>
      </c>
      <c r="C1959" t="s">
        <v>18</v>
      </c>
      <c r="D1959" t="s">
        <v>52</v>
      </c>
      <c r="E1959" t="s">
        <v>48</v>
      </c>
      <c r="F1959" t="s">
        <v>193</v>
      </c>
      <c r="G1959" t="s">
        <v>30</v>
      </c>
      <c r="H1959" t="s">
        <v>86</v>
      </c>
      <c r="I1959" t="s">
        <v>55</v>
      </c>
      <c r="J1959" s="9">
        <v>1</v>
      </c>
      <c r="K1959" s="7">
        <v>17600</v>
      </c>
      <c r="L1959" s="7">
        <v>0</v>
      </c>
      <c r="M1959" s="9"/>
      <c r="N1959" s="7">
        <v>17.8</v>
      </c>
      <c r="O1959" s="7"/>
      <c r="P1959" s="7"/>
      <c r="Q1959" t="s">
        <v>55</v>
      </c>
      <c r="R1959" s="7" t="str">
        <f>TEXT(Table1[[#This Row],[Date]],"mmm yyyy")</f>
        <v>Mar 2026</v>
      </c>
      <c r="S1959" s="9">
        <f>YEAR(Table1[[#This Row],[Date]])</f>
        <v>2026</v>
      </c>
      <c r="T1959" s="9"/>
      <c r="U1959" s="9"/>
    </row>
    <row r="1960" spans="1:21" hidden="1" x14ac:dyDescent="0.3">
      <c r="A1960" t="s">
        <v>2671</v>
      </c>
      <c r="B1960" s="6">
        <v>45959</v>
      </c>
      <c r="C1960" t="s">
        <v>26</v>
      </c>
      <c r="D1960" t="s">
        <v>36</v>
      </c>
      <c r="E1960" t="s">
        <v>20</v>
      </c>
      <c r="F1960" t="s">
        <v>2672</v>
      </c>
      <c r="G1960" t="s">
        <v>22</v>
      </c>
      <c r="J1960" s="9">
        <v>0</v>
      </c>
      <c r="K1960" s="7">
        <v>0</v>
      </c>
      <c r="L1960" s="7">
        <v>0</v>
      </c>
      <c r="M1960" s="9">
        <v>1</v>
      </c>
      <c r="N1960" s="7">
        <v>5.5</v>
      </c>
      <c r="O1960" s="7">
        <v>4.0999999999999996</v>
      </c>
      <c r="P1960" s="7">
        <v>4.3</v>
      </c>
      <c r="Q1960" t="s">
        <v>39</v>
      </c>
      <c r="R1960" s="7" t="str">
        <f>TEXT(Table1[[#This Row],[Date]],"mmm yyyy")</f>
        <v>Oct 2025</v>
      </c>
      <c r="S1960" s="9">
        <f>YEAR(Table1[[#This Row],[Date]])</f>
        <v>2025</v>
      </c>
      <c r="T1960" s="9"/>
      <c r="U1960" s="9"/>
    </row>
    <row r="1961" spans="1:21" hidden="1" x14ac:dyDescent="0.3">
      <c r="A1961" t="s">
        <v>2673</v>
      </c>
      <c r="B1961" s="6">
        <v>46144</v>
      </c>
      <c r="C1961" t="s">
        <v>26</v>
      </c>
      <c r="D1961" t="s">
        <v>27</v>
      </c>
      <c r="E1961" t="s">
        <v>28</v>
      </c>
      <c r="F1961" t="s">
        <v>1673</v>
      </c>
      <c r="G1961" t="s">
        <v>30</v>
      </c>
      <c r="J1961" s="9">
        <v>0</v>
      </c>
      <c r="K1961" s="7">
        <v>0</v>
      </c>
      <c r="L1961" s="7">
        <v>0</v>
      </c>
      <c r="M1961" s="9">
        <v>1</v>
      </c>
      <c r="N1961" s="7">
        <v>11.8</v>
      </c>
      <c r="O1961" s="7">
        <v>8</v>
      </c>
      <c r="P1961" s="7">
        <v>3.6</v>
      </c>
      <c r="Q1961" t="s">
        <v>39</v>
      </c>
      <c r="R1961" s="7" t="str">
        <f>TEXT(Table1[[#This Row],[Date]],"mmm yyyy")</f>
        <v>May 2026</v>
      </c>
      <c r="S1961" s="9">
        <f>YEAR(Table1[[#This Row],[Date]])</f>
        <v>2026</v>
      </c>
      <c r="T1961" s="9"/>
      <c r="U1961" s="9"/>
    </row>
    <row r="1962" spans="1:21" x14ac:dyDescent="0.3">
      <c r="A1962" t="s">
        <v>2674</v>
      </c>
      <c r="B1962" s="6">
        <v>45999</v>
      </c>
      <c r="C1962" t="s">
        <v>18</v>
      </c>
      <c r="D1962" t="s">
        <v>95</v>
      </c>
      <c r="E1962" t="s">
        <v>20</v>
      </c>
      <c r="F1962" t="s">
        <v>652</v>
      </c>
      <c r="G1962" t="s">
        <v>50</v>
      </c>
      <c r="H1962" t="s">
        <v>23</v>
      </c>
      <c r="I1962" t="s">
        <v>67</v>
      </c>
      <c r="J1962" s="9">
        <v>1</v>
      </c>
      <c r="K1962" s="7">
        <v>69500</v>
      </c>
      <c r="L1962" s="7">
        <v>0</v>
      </c>
      <c r="M1962" s="9"/>
      <c r="N1962" s="7">
        <v>0.8</v>
      </c>
      <c r="O1962" s="7"/>
      <c r="P1962" s="7"/>
      <c r="Q1962" t="s">
        <v>67</v>
      </c>
      <c r="R1962" s="7" t="str">
        <f>TEXT(Table1[[#This Row],[Date]],"mmm yyyy")</f>
        <v>Dec 2025</v>
      </c>
      <c r="S1962" s="9">
        <f>YEAR(Table1[[#This Row],[Date]])</f>
        <v>2025</v>
      </c>
      <c r="T1962" s="9"/>
      <c r="U1962" s="9"/>
    </row>
    <row r="1963" spans="1:21" x14ac:dyDescent="0.3">
      <c r="A1963" t="s">
        <v>2675</v>
      </c>
      <c r="B1963" s="6">
        <v>45905</v>
      </c>
      <c r="C1963" t="s">
        <v>18</v>
      </c>
      <c r="D1963" t="s">
        <v>47</v>
      </c>
      <c r="E1963" t="s">
        <v>28</v>
      </c>
      <c r="F1963" t="s">
        <v>1743</v>
      </c>
      <c r="G1963" t="s">
        <v>30</v>
      </c>
      <c r="H1963" t="s">
        <v>66</v>
      </c>
      <c r="I1963" t="s">
        <v>55</v>
      </c>
      <c r="J1963" s="9">
        <v>1</v>
      </c>
      <c r="K1963" s="7">
        <v>17300</v>
      </c>
      <c r="L1963" s="7">
        <v>0</v>
      </c>
      <c r="M1963" s="9"/>
      <c r="N1963" s="7">
        <v>14.5</v>
      </c>
      <c r="O1963" s="7"/>
      <c r="P1963" s="7"/>
      <c r="Q1963" t="s">
        <v>55</v>
      </c>
      <c r="R1963" s="7" t="str">
        <f>TEXT(Table1[[#This Row],[Date]],"mmm yyyy")</f>
        <v>Sep 2025</v>
      </c>
      <c r="S1963" s="9">
        <f>YEAR(Table1[[#This Row],[Date]])</f>
        <v>2025</v>
      </c>
      <c r="T1963" s="9"/>
      <c r="U1963" s="9"/>
    </row>
    <row r="1964" spans="1:21" hidden="1" x14ac:dyDescent="0.3">
      <c r="A1964" t="s">
        <v>2676</v>
      </c>
      <c r="B1964" s="6">
        <v>46052</v>
      </c>
      <c r="C1964" t="s">
        <v>26</v>
      </c>
      <c r="D1964" t="s">
        <v>72</v>
      </c>
      <c r="E1964" t="s">
        <v>20</v>
      </c>
      <c r="F1964" t="s">
        <v>280</v>
      </c>
      <c r="G1964" t="s">
        <v>50</v>
      </c>
      <c r="J1964" s="9">
        <v>0</v>
      </c>
      <c r="K1964" s="7">
        <v>0</v>
      </c>
      <c r="L1964" s="7">
        <v>0</v>
      </c>
      <c r="M1964" s="9">
        <v>1</v>
      </c>
      <c r="N1964" s="7">
        <v>5.3</v>
      </c>
      <c r="O1964" s="7">
        <v>5.4</v>
      </c>
      <c r="P1964" s="7">
        <v>4.3</v>
      </c>
      <c r="Q1964" t="s">
        <v>39</v>
      </c>
      <c r="R1964" s="7" t="str">
        <f>TEXT(Table1[[#This Row],[Date]],"mmm yyyy")</f>
        <v>Jan 2026</v>
      </c>
      <c r="S1964" s="9">
        <f>YEAR(Table1[[#This Row],[Date]])</f>
        <v>2026</v>
      </c>
      <c r="T1964" s="9"/>
      <c r="U1964" s="9"/>
    </row>
    <row r="1965" spans="1:21" x14ac:dyDescent="0.3">
      <c r="A1965" t="s">
        <v>2677</v>
      </c>
      <c r="B1965" s="6">
        <v>45960</v>
      </c>
      <c r="C1965" t="s">
        <v>18</v>
      </c>
      <c r="D1965" t="s">
        <v>95</v>
      </c>
      <c r="E1965" t="s">
        <v>28</v>
      </c>
      <c r="F1965" t="s">
        <v>1874</v>
      </c>
      <c r="G1965" t="s">
        <v>44</v>
      </c>
      <c r="H1965" t="s">
        <v>86</v>
      </c>
      <c r="I1965" t="s">
        <v>55</v>
      </c>
      <c r="J1965" s="9">
        <v>1</v>
      </c>
      <c r="K1965" s="7">
        <v>59300</v>
      </c>
      <c r="L1965" s="7">
        <v>0</v>
      </c>
      <c r="M1965" s="9"/>
      <c r="N1965" s="7">
        <v>11.1</v>
      </c>
      <c r="O1965" s="7"/>
      <c r="P1965" s="7"/>
      <c r="Q1965" t="s">
        <v>55</v>
      </c>
      <c r="R1965" s="7" t="str">
        <f>TEXT(Table1[[#This Row],[Date]],"mmm yyyy")</f>
        <v>Oct 2025</v>
      </c>
      <c r="S1965" s="9">
        <f>YEAR(Table1[[#This Row],[Date]])</f>
        <v>2025</v>
      </c>
      <c r="T1965" s="9"/>
      <c r="U1965" s="9"/>
    </row>
    <row r="1966" spans="1:21" hidden="1" x14ac:dyDescent="0.3">
      <c r="A1966" t="s">
        <v>2678</v>
      </c>
      <c r="B1966" s="6">
        <v>46215</v>
      </c>
      <c r="C1966" t="s">
        <v>26</v>
      </c>
      <c r="D1966" t="s">
        <v>114</v>
      </c>
      <c r="E1966" t="s">
        <v>20</v>
      </c>
      <c r="F1966" t="s">
        <v>396</v>
      </c>
      <c r="G1966" t="s">
        <v>50</v>
      </c>
      <c r="J1966" s="9">
        <v>0</v>
      </c>
      <c r="K1966" s="7">
        <v>0</v>
      </c>
      <c r="L1966" s="7">
        <v>0</v>
      </c>
      <c r="M1966" s="9">
        <v>1</v>
      </c>
      <c r="N1966" s="7">
        <v>3</v>
      </c>
      <c r="O1966" s="7">
        <v>4.5999999999999996</v>
      </c>
      <c r="P1966" s="7">
        <v>2.9</v>
      </c>
      <c r="Q1966" t="s">
        <v>39</v>
      </c>
      <c r="R1966" s="7" t="str">
        <f>TEXT(Table1[[#This Row],[Date]],"mmm yyyy")</f>
        <v>Jul 2026</v>
      </c>
      <c r="S1966" s="9">
        <f>YEAR(Table1[[#This Row],[Date]])</f>
        <v>2026</v>
      </c>
      <c r="T1966" s="9"/>
      <c r="U1966" s="9"/>
    </row>
    <row r="1967" spans="1:21" hidden="1" x14ac:dyDescent="0.3">
      <c r="A1967" t="s">
        <v>2679</v>
      </c>
      <c r="B1967" s="6">
        <v>46081</v>
      </c>
      <c r="C1967" t="s">
        <v>26</v>
      </c>
      <c r="D1967" t="s">
        <v>36</v>
      </c>
      <c r="E1967" t="s">
        <v>20</v>
      </c>
      <c r="F1967" t="s">
        <v>789</v>
      </c>
      <c r="G1967" t="s">
        <v>22</v>
      </c>
      <c r="J1967" s="9">
        <v>0</v>
      </c>
      <c r="K1967" s="7">
        <v>0</v>
      </c>
      <c r="L1967" s="7">
        <v>0</v>
      </c>
      <c r="M1967" s="9">
        <v>1</v>
      </c>
      <c r="N1967" s="7">
        <v>0.4</v>
      </c>
      <c r="O1967" s="7">
        <v>17.2</v>
      </c>
      <c r="P1967" s="7">
        <v>4.4000000000000004</v>
      </c>
      <c r="Q1967" t="s">
        <v>31</v>
      </c>
      <c r="R1967" s="7" t="str">
        <f>TEXT(Table1[[#This Row],[Date]],"mmm yyyy")</f>
        <v>Feb 2026</v>
      </c>
      <c r="S1967" s="9">
        <f>YEAR(Table1[[#This Row],[Date]])</f>
        <v>2026</v>
      </c>
      <c r="T1967" s="9"/>
      <c r="U1967" s="9"/>
    </row>
    <row r="1968" spans="1:21" x14ac:dyDescent="0.3">
      <c r="A1968" t="s">
        <v>2680</v>
      </c>
      <c r="B1968" s="6">
        <v>46177</v>
      </c>
      <c r="C1968" t="s">
        <v>18</v>
      </c>
      <c r="D1968" t="s">
        <v>47</v>
      </c>
      <c r="E1968" t="s">
        <v>20</v>
      </c>
      <c r="F1968" t="s">
        <v>1560</v>
      </c>
      <c r="G1968" t="s">
        <v>30</v>
      </c>
      <c r="H1968" t="s">
        <v>54</v>
      </c>
      <c r="I1968" t="s">
        <v>67</v>
      </c>
      <c r="J1968" s="9">
        <v>1</v>
      </c>
      <c r="K1968" s="7">
        <v>30600</v>
      </c>
      <c r="L1968" s="7">
        <v>0</v>
      </c>
      <c r="M1968" s="9"/>
      <c r="N1968" s="7">
        <v>3.5</v>
      </c>
      <c r="O1968" s="7"/>
      <c r="P1968" s="7"/>
      <c r="Q1968" t="s">
        <v>67</v>
      </c>
      <c r="R1968" s="7" t="str">
        <f>TEXT(Table1[[#This Row],[Date]],"mmm yyyy")</f>
        <v>Jun 2026</v>
      </c>
      <c r="S1968" s="9">
        <f>YEAR(Table1[[#This Row],[Date]])</f>
        <v>2026</v>
      </c>
      <c r="T1968" s="9"/>
      <c r="U1968" s="9"/>
    </row>
    <row r="1969" spans="1:21" x14ac:dyDescent="0.3">
      <c r="A1969" t="s">
        <v>2681</v>
      </c>
      <c r="B1969" s="6">
        <v>46016</v>
      </c>
      <c r="C1969" t="s">
        <v>18</v>
      </c>
      <c r="D1969" t="s">
        <v>64</v>
      </c>
      <c r="E1969" t="s">
        <v>48</v>
      </c>
      <c r="F1969" t="s">
        <v>1182</v>
      </c>
      <c r="G1969" t="s">
        <v>44</v>
      </c>
      <c r="H1969" t="s">
        <v>78</v>
      </c>
      <c r="I1969" t="s">
        <v>67</v>
      </c>
      <c r="J1969" s="9">
        <v>1</v>
      </c>
      <c r="K1969" s="7">
        <v>17900</v>
      </c>
      <c r="L1969" s="7">
        <v>0</v>
      </c>
      <c r="M1969" s="9"/>
      <c r="N1969" s="7">
        <v>6.2</v>
      </c>
      <c r="O1969" s="7"/>
      <c r="P1969" s="7"/>
      <c r="Q1969" t="s">
        <v>67</v>
      </c>
      <c r="R1969" s="7" t="str">
        <f>TEXT(Table1[[#This Row],[Date]],"mmm yyyy")</f>
        <v>Dec 2025</v>
      </c>
      <c r="S1969" s="9">
        <f>YEAR(Table1[[#This Row],[Date]])</f>
        <v>2025</v>
      </c>
      <c r="T1969" s="9"/>
      <c r="U1969" s="9"/>
    </row>
    <row r="1970" spans="1:21" x14ac:dyDescent="0.3">
      <c r="A1970" t="s">
        <v>2682</v>
      </c>
      <c r="B1970" s="6">
        <v>46238</v>
      </c>
      <c r="C1970" t="s">
        <v>18</v>
      </c>
      <c r="D1970" t="s">
        <v>19</v>
      </c>
      <c r="E1970" t="s">
        <v>42</v>
      </c>
      <c r="F1970" t="s">
        <v>1061</v>
      </c>
      <c r="G1970" t="s">
        <v>44</v>
      </c>
      <c r="H1970" t="s">
        <v>54</v>
      </c>
      <c r="I1970" t="s">
        <v>89</v>
      </c>
      <c r="J1970" s="9">
        <v>1</v>
      </c>
      <c r="K1970" s="7">
        <v>11700</v>
      </c>
      <c r="L1970" s="7">
        <v>0</v>
      </c>
      <c r="M1970" s="9"/>
      <c r="N1970" s="7">
        <v>23.4</v>
      </c>
      <c r="O1970" s="7"/>
      <c r="P1970" s="7"/>
      <c r="Q1970" t="s">
        <v>89</v>
      </c>
      <c r="R1970" s="7" t="str">
        <f>TEXT(Table1[[#This Row],[Date]],"mmm yyyy")</f>
        <v>Aug 2026</v>
      </c>
      <c r="S1970" s="9">
        <f>YEAR(Table1[[#This Row],[Date]])</f>
        <v>2026</v>
      </c>
      <c r="T1970" s="9"/>
      <c r="U1970" s="9"/>
    </row>
    <row r="1971" spans="1:21" x14ac:dyDescent="0.3">
      <c r="A1971" t="s">
        <v>2683</v>
      </c>
      <c r="B1971" s="6">
        <v>46103</v>
      </c>
      <c r="C1971" t="s">
        <v>18</v>
      </c>
      <c r="D1971" t="s">
        <v>41</v>
      </c>
      <c r="E1971" t="s">
        <v>20</v>
      </c>
      <c r="F1971" t="s">
        <v>1304</v>
      </c>
      <c r="G1971" t="s">
        <v>44</v>
      </c>
      <c r="H1971" t="s">
        <v>78</v>
      </c>
      <c r="I1971" t="s">
        <v>79</v>
      </c>
      <c r="J1971" s="9">
        <v>1</v>
      </c>
      <c r="K1971" s="7">
        <v>50900</v>
      </c>
      <c r="L1971" s="7">
        <v>0</v>
      </c>
      <c r="M1971" s="9"/>
      <c r="N1971" s="7">
        <v>1.1000000000000001</v>
      </c>
      <c r="O1971" s="7"/>
      <c r="P1971" s="7"/>
      <c r="Q1971" t="s">
        <v>79</v>
      </c>
      <c r="R1971" s="7" t="str">
        <f>TEXT(Table1[[#This Row],[Date]],"mmm yyyy")</f>
        <v>Mar 2026</v>
      </c>
      <c r="S1971" s="9">
        <f>YEAR(Table1[[#This Row],[Date]])</f>
        <v>2026</v>
      </c>
      <c r="T1971" s="9"/>
      <c r="U1971" s="9"/>
    </row>
    <row r="1972" spans="1:21" x14ac:dyDescent="0.3">
      <c r="A1972" t="s">
        <v>2684</v>
      </c>
      <c r="B1972" s="6">
        <v>46185</v>
      </c>
      <c r="C1972" t="s">
        <v>18</v>
      </c>
      <c r="D1972" t="s">
        <v>47</v>
      </c>
      <c r="E1972" t="s">
        <v>20</v>
      </c>
      <c r="F1972" t="s">
        <v>2685</v>
      </c>
      <c r="G1972" t="s">
        <v>44</v>
      </c>
      <c r="H1972" t="s">
        <v>23</v>
      </c>
      <c r="I1972" t="s">
        <v>79</v>
      </c>
      <c r="J1972" s="9">
        <v>1</v>
      </c>
      <c r="K1972" s="7">
        <v>34600</v>
      </c>
      <c r="L1972" s="7">
        <v>0</v>
      </c>
      <c r="M1972" s="9"/>
      <c r="N1972" s="7">
        <v>16.2</v>
      </c>
      <c r="O1972" s="7"/>
      <c r="P1972" s="7"/>
      <c r="Q1972" t="s">
        <v>79</v>
      </c>
      <c r="R1972" s="7" t="str">
        <f>TEXT(Table1[[#This Row],[Date]],"mmm yyyy")</f>
        <v>Jun 2026</v>
      </c>
      <c r="S1972" s="9">
        <f>YEAR(Table1[[#This Row],[Date]])</f>
        <v>2026</v>
      </c>
      <c r="T1972" s="9"/>
      <c r="U1972" s="9"/>
    </row>
    <row r="1973" spans="1:21" hidden="1" x14ac:dyDescent="0.3">
      <c r="A1973" t="s">
        <v>2686</v>
      </c>
      <c r="B1973" s="6">
        <v>46179</v>
      </c>
      <c r="C1973" t="s">
        <v>26</v>
      </c>
      <c r="D1973" t="s">
        <v>232</v>
      </c>
      <c r="E1973" t="s">
        <v>20</v>
      </c>
      <c r="F1973" t="s">
        <v>1402</v>
      </c>
      <c r="G1973" t="s">
        <v>30</v>
      </c>
      <c r="J1973" s="9">
        <v>0</v>
      </c>
      <c r="K1973" s="7">
        <v>0</v>
      </c>
      <c r="L1973" s="7">
        <v>0</v>
      </c>
      <c r="M1973" s="9">
        <v>1</v>
      </c>
      <c r="N1973" s="7">
        <v>8</v>
      </c>
      <c r="O1973" s="7">
        <v>10</v>
      </c>
      <c r="P1973" s="7">
        <v>4</v>
      </c>
      <c r="Q1973" t="s">
        <v>39</v>
      </c>
      <c r="R1973" s="7" t="str">
        <f>TEXT(Table1[[#This Row],[Date]],"mmm yyyy")</f>
        <v>Jun 2026</v>
      </c>
      <c r="S1973" s="9">
        <f>YEAR(Table1[[#This Row],[Date]])</f>
        <v>2026</v>
      </c>
      <c r="T1973" s="9"/>
      <c r="U1973" s="9"/>
    </row>
    <row r="1974" spans="1:21" x14ac:dyDescent="0.3">
      <c r="A1974" t="s">
        <v>2687</v>
      </c>
      <c r="B1974" s="6">
        <v>46000</v>
      </c>
      <c r="C1974" t="s">
        <v>18</v>
      </c>
      <c r="D1974" t="s">
        <v>41</v>
      </c>
      <c r="E1974" t="s">
        <v>37</v>
      </c>
      <c r="F1974" t="s">
        <v>522</v>
      </c>
      <c r="G1974" t="s">
        <v>30</v>
      </c>
      <c r="H1974" t="s">
        <v>23</v>
      </c>
      <c r="I1974" t="s">
        <v>79</v>
      </c>
      <c r="J1974" s="9">
        <v>1</v>
      </c>
      <c r="K1974" s="7">
        <v>31200</v>
      </c>
      <c r="L1974" s="7">
        <v>0</v>
      </c>
      <c r="M1974" s="9"/>
      <c r="N1974" s="7">
        <v>6.1</v>
      </c>
      <c r="O1974" s="7"/>
      <c r="P1974" s="7"/>
      <c r="Q1974" t="s">
        <v>79</v>
      </c>
      <c r="R1974" s="7" t="str">
        <f>TEXT(Table1[[#This Row],[Date]],"mmm yyyy")</f>
        <v>Dec 2025</v>
      </c>
      <c r="S1974" s="9">
        <f>YEAR(Table1[[#This Row],[Date]])</f>
        <v>2025</v>
      </c>
      <c r="T1974" s="9"/>
      <c r="U1974" s="9"/>
    </row>
    <row r="1975" spans="1:21" x14ac:dyDescent="0.3">
      <c r="A1975" t="s">
        <v>2688</v>
      </c>
      <c r="B1975" s="6">
        <v>45917</v>
      </c>
      <c r="C1975" t="s">
        <v>18</v>
      </c>
      <c r="D1975" t="s">
        <v>64</v>
      </c>
      <c r="E1975" t="s">
        <v>28</v>
      </c>
      <c r="F1975" t="s">
        <v>85</v>
      </c>
      <c r="G1975" t="s">
        <v>30</v>
      </c>
      <c r="H1975" t="s">
        <v>86</v>
      </c>
      <c r="I1975" t="s">
        <v>79</v>
      </c>
      <c r="J1975" s="9">
        <v>1</v>
      </c>
      <c r="K1975" s="7">
        <v>11000</v>
      </c>
      <c r="L1975" s="7">
        <v>0</v>
      </c>
      <c r="M1975" s="9"/>
      <c r="N1975" s="7">
        <v>10.7</v>
      </c>
      <c r="O1975" s="7"/>
      <c r="P1975" s="7"/>
      <c r="Q1975" t="s">
        <v>79</v>
      </c>
      <c r="R1975" s="7" t="str">
        <f>TEXT(Table1[[#This Row],[Date]],"mmm yyyy")</f>
        <v>Sep 2025</v>
      </c>
      <c r="S1975" s="9">
        <f>YEAR(Table1[[#This Row],[Date]])</f>
        <v>2025</v>
      </c>
      <c r="T1975" s="9"/>
      <c r="U1975" s="9"/>
    </row>
    <row r="1976" spans="1:21" x14ac:dyDescent="0.3">
      <c r="A1976" t="s">
        <v>2689</v>
      </c>
      <c r="B1976" s="6">
        <v>46184</v>
      </c>
      <c r="C1976" t="s">
        <v>18</v>
      </c>
      <c r="D1976" t="s">
        <v>41</v>
      </c>
      <c r="E1976" t="s">
        <v>20</v>
      </c>
      <c r="F1976" t="s">
        <v>2228</v>
      </c>
      <c r="G1976" t="s">
        <v>30</v>
      </c>
      <c r="H1976" t="s">
        <v>86</v>
      </c>
      <c r="I1976" t="s">
        <v>67</v>
      </c>
      <c r="J1976" s="9">
        <v>1</v>
      </c>
      <c r="K1976" s="7">
        <v>28800</v>
      </c>
      <c r="L1976" s="7">
        <v>0</v>
      </c>
      <c r="M1976" s="9"/>
      <c r="N1976" s="7">
        <v>16</v>
      </c>
      <c r="O1976" s="7"/>
      <c r="P1976" s="7"/>
      <c r="Q1976" t="s">
        <v>67</v>
      </c>
      <c r="R1976" s="7" t="str">
        <f>TEXT(Table1[[#This Row],[Date]],"mmm yyyy")</f>
        <v>Jun 2026</v>
      </c>
      <c r="S1976" s="9">
        <f>YEAR(Table1[[#This Row],[Date]])</f>
        <v>2026</v>
      </c>
      <c r="T1976" s="9"/>
      <c r="U1976" s="9"/>
    </row>
    <row r="1977" spans="1:21" hidden="1" x14ac:dyDescent="0.3">
      <c r="A1977" t="s">
        <v>2690</v>
      </c>
      <c r="B1977" s="6">
        <v>46006</v>
      </c>
      <c r="C1977" t="s">
        <v>26</v>
      </c>
      <c r="D1977" t="s">
        <v>72</v>
      </c>
      <c r="E1977" t="s">
        <v>48</v>
      </c>
      <c r="F1977" t="s">
        <v>524</v>
      </c>
      <c r="G1977" t="s">
        <v>22</v>
      </c>
      <c r="J1977" s="9">
        <v>0</v>
      </c>
      <c r="K1977" s="7">
        <v>0</v>
      </c>
      <c r="L1977" s="7">
        <v>0</v>
      </c>
      <c r="M1977" s="9">
        <v>1</v>
      </c>
      <c r="N1977" s="7">
        <v>2.7</v>
      </c>
      <c r="O1977" s="7">
        <v>2</v>
      </c>
      <c r="P1977" s="7">
        <v>4.4000000000000004</v>
      </c>
      <c r="Q1977" t="s">
        <v>225</v>
      </c>
      <c r="R1977" s="7" t="str">
        <f>TEXT(Table1[[#This Row],[Date]],"mmm yyyy")</f>
        <v>Dec 2025</v>
      </c>
      <c r="S1977" s="9">
        <f>YEAR(Table1[[#This Row],[Date]])</f>
        <v>2025</v>
      </c>
      <c r="T1977" s="9"/>
      <c r="U1977" s="9"/>
    </row>
    <row r="1978" spans="1:21" x14ac:dyDescent="0.3">
      <c r="A1978" t="s">
        <v>2691</v>
      </c>
      <c r="B1978" s="6">
        <v>46232</v>
      </c>
      <c r="C1978" t="s">
        <v>18</v>
      </c>
      <c r="D1978" t="s">
        <v>47</v>
      </c>
      <c r="E1978" t="s">
        <v>28</v>
      </c>
      <c r="F1978" t="s">
        <v>570</v>
      </c>
      <c r="G1978" t="s">
        <v>22</v>
      </c>
      <c r="H1978" t="s">
        <v>23</v>
      </c>
      <c r="I1978" t="s">
        <v>79</v>
      </c>
      <c r="J1978" s="9">
        <v>1</v>
      </c>
      <c r="K1978" s="7">
        <v>14900</v>
      </c>
      <c r="L1978" s="7">
        <v>0</v>
      </c>
      <c r="M1978" s="9"/>
      <c r="N1978" s="7">
        <v>6</v>
      </c>
      <c r="O1978" s="7"/>
      <c r="P1978" s="7"/>
      <c r="Q1978" t="s">
        <v>79</v>
      </c>
      <c r="R1978" s="7" t="str">
        <f>TEXT(Table1[[#This Row],[Date]],"mmm yyyy")</f>
        <v>Jul 2026</v>
      </c>
      <c r="S1978" s="9">
        <f>YEAR(Table1[[#This Row],[Date]])</f>
        <v>2026</v>
      </c>
      <c r="T1978" s="9"/>
      <c r="U1978" s="9"/>
    </row>
    <row r="1979" spans="1:21" x14ac:dyDescent="0.3">
      <c r="A1979" t="s">
        <v>2692</v>
      </c>
      <c r="B1979" s="6">
        <v>46084</v>
      </c>
      <c r="C1979" t="s">
        <v>18</v>
      </c>
      <c r="D1979" t="s">
        <v>41</v>
      </c>
      <c r="E1979" t="s">
        <v>48</v>
      </c>
      <c r="F1979" t="s">
        <v>188</v>
      </c>
      <c r="G1979" t="s">
        <v>44</v>
      </c>
      <c r="H1979" t="s">
        <v>66</v>
      </c>
      <c r="I1979" t="s">
        <v>55</v>
      </c>
      <c r="J1979" s="9">
        <v>1</v>
      </c>
      <c r="K1979" s="7">
        <v>17900</v>
      </c>
      <c r="L1979" s="7">
        <v>0</v>
      </c>
      <c r="M1979" s="9"/>
      <c r="N1979" s="7">
        <v>6.3</v>
      </c>
      <c r="O1979" s="7"/>
      <c r="P1979" s="7"/>
      <c r="Q1979" t="s">
        <v>55</v>
      </c>
      <c r="R1979" s="7" t="str">
        <f>TEXT(Table1[[#This Row],[Date]],"mmm yyyy")</f>
        <v>Mar 2026</v>
      </c>
      <c r="S1979" s="9">
        <f>YEAR(Table1[[#This Row],[Date]])</f>
        <v>2026</v>
      </c>
      <c r="T1979" s="9"/>
      <c r="U1979" s="9"/>
    </row>
    <row r="1980" spans="1:21" hidden="1" x14ac:dyDescent="0.3">
      <c r="A1980" t="s">
        <v>2693</v>
      </c>
      <c r="B1980" s="6">
        <v>45910</v>
      </c>
      <c r="C1980" t="s">
        <v>26</v>
      </c>
      <c r="D1980" t="s">
        <v>69</v>
      </c>
      <c r="E1980" t="s">
        <v>48</v>
      </c>
      <c r="F1980" t="s">
        <v>334</v>
      </c>
      <c r="G1980" t="s">
        <v>50</v>
      </c>
      <c r="J1980" s="9">
        <v>0</v>
      </c>
      <c r="K1980" s="7">
        <v>0</v>
      </c>
      <c r="L1980" s="7">
        <v>0</v>
      </c>
      <c r="M1980" s="9">
        <v>1</v>
      </c>
      <c r="N1980" s="7">
        <v>6.7</v>
      </c>
      <c r="O1980" s="7">
        <v>9.3000000000000007</v>
      </c>
      <c r="P1980" s="7">
        <v>3.9</v>
      </c>
      <c r="Q1980" t="s">
        <v>225</v>
      </c>
      <c r="R1980" s="7" t="str">
        <f>TEXT(Table1[[#This Row],[Date]],"mmm yyyy")</f>
        <v>Sep 2025</v>
      </c>
      <c r="S1980" s="9">
        <f>YEAR(Table1[[#This Row],[Date]])</f>
        <v>2025</v>
      </c>
      <c r="T1980" s="9"/>
      <c r="U1980" s="9"/>
    </row>
    <row r="1981" spans="1:21" hidden="1" x14ac:dyDescent="0.3">
      <c r="A1981" t="s">
        <v>2694</v>
      </c>
      <c r="B1981" s="6">
        <v>45952</v>
      </c>
      <c r="C1981" t="s">
        <v>26</v>
      </c>
      <c r="D1981" t="s">
        <v>33</v>
      </c>
      <c r="E1981" t="s">
        <v>20</v>
      </c>
      <c r="F1981" t="s">
        <v>91</v>
      </c>
      <c r="G1981" t="s">
        <v>50</v>
      </c>
      <c r="J1981" s="9">
        <v>0</v>
      </c>
      <c r="K1981" s="7">
        <v>0</v>
      </c>
      <c r="L1981" s="7">
        <v>0</v>
      </c>
      <c r="M1981" s="9">
        <v>1</v>
      </c>
      <c r="N1981" s="7">
        <v>9</v>
      </c>
      <c r="O1981" s="7">
        <v>11.9</v>
      </c>
      <c r="P1981" s="7">
        <v>3.9</v>
      </c>
      <c r="Q1981" t="s">
        <v>62</v>
      </c>
      <c r="R1981" s="7" t="str">
        <f>TEXT(Table1[[#This Row],[Date]],"mmm yyyy")</f>
        <v>Oct 2025</v>
      </c>
      <c r="S1981" s="9">
        <f>YEAR(Table1[[#This Row],[Date]])</f>
        <v>2025</v>
      </c>
      <c r="T1981" s="9"/>
      <c r="U1981" s="9"/>
    </row>
    <row r="1982" spans="1:21" x14ac:dyDescent="0.3">
      <c r="A1982" t="s">
        <v>2695</v>
      </c>
      <c r="B1982" s="6">
        <v>46109</v>
      </c>
      <c r="C1982" t="s">
        <v>18</v>
      </c>
      <c r="D1982" t="s">
        <v>95</v>
      </c>
      <c r="E1982" t="s">
        <v>28</v>
      </c>
      <c r="F1982" t="s">
        <v>316</v>
      </c>
      <c r="G1982" t="s">
        <v>22</v>
      </c>
      <c r="H1982" t="s">
        <v>54</v>
      </c>
      <c r="I1982" t="s">
        <v>89</v>
      </c>
      <c r="J1982" s="9">
        <v>1</v>
      </c>
      <c r="K1982" s="7">
        <v>55600</v>
      </c>
      <c r="L1982" s="7">
        <v>0</v>
      </c>
      <c r="M1982" s="9"/>
      <c r="N1982" s="7">
        <v>12.3</v>
      </c>
      <c r="O1982" s="7"/>
      <c r="P1982" s="7"/>
      <c r="Q1982" t="s">
        <v>89</v>
      </c>
      <c r="R1982" s="7" t="str">
        <f>TEXT(Table1[[#This Row],[Date]],"mmm yyyy")</f>
        <v>Mar 2026</v>
      </c>
      <c r="S1982" s="9">
        <f>YEAR(Table1[[#This Row],[Date]])</f>
        <v>2026</v>
      </c>
      <c r="T1982" s="9"/>
      <c r="U1982" s="9"/>
    </row>
    <row r="1983" spans="1:21" hidden="1" x14ac:dyDescent="0.3">
      <c r="A1983" t="s">
        <v>2696</v>
      </c>
      <c r="B1983" s="6">
        <v>46159</v>
      </c>
      <c r="C1983" t="s">
        <v>26</v>
      </c>
      <c r="D1983" t="s">
        <v>36</v>
      </c>
      <c r="E1983" t="s">
        <v>20</v>
      </c>
      <c r="F1983" t="s">
        <v>1169</v>
      </c>
      <c r="G1983" t="s">
        <v>22</v>
      </c>
      <c r="J1983" s="9">
        <v>0</v>
      </c>
      <c r="K1983" s="7">
        <v>0</v>
      </c>
      <c r="L1983" s="7">
        <v>0</v>
      </c>
      <c r="M1983" s="9">
        <v>1</v>
      </c>
      <c r="N1983" s="7">
        <v>3.9</v>
      </c>
      <c r="O1983" s="7">
        <v>9.1999999999999993</v>
      </c>
      <c r="P1983" s="7">
        <v>3.6</v>
      </c>
      <c r="Q1983" t="s">
        <v>31</v>
      </c>
      <c r="R1983" s="7" t="str">
        <f>TEXT(Table1[[#This Row],[Date]],"mmm yyyy")</f>
        <v>May 2026</v>
      </c>
      <c r="S1983" s="9">
        <f>YEAR(Table1[[#This Row],[Date]])</f>
        <v>2026</v>
      </c>
      <c r="T1983" s="9"/>
      <c r="U1983" s="9"/>
    </row>
    <row r="1984" spans="1:21" x14ac:dyDescent="0.3">
      <c r="A1984" t="s">
        <v>2697</v>
      </c>
      <c r="B1984" s="6">
        <v>46087</v>
      </c>
      <c r="C1984" t="s">
        <v>18</v>
      </c>
      <c r="D1984" t="s">
        <v>47</v>
      </c>
      <c r="E1984" t="s">
        <v>20</v>
      </c>
      <c r="F1984" t="s">
        <v>1304</v>
      </c>
      <c r="G1984" t="s">
        <v>44</v>
      </c>
      <c r="H1984" t="s">
        <v>54</v>
      </c>
      <c r="I1984" t="s">
        <v>89</v>
      </c>
      <c r="J1984" s="9">
        <v>1</v>
      </c>
      <c r="K1984" s="7">
        <v>15500</v>
      </c>
      <c r="L1984" s="7">
        <v>0</v>
      </c>
      <c r="M1984" s="9"/>
      <c r="N1984" s="7">
        <v>9.1</v>
      </c>
      <c r="O1984" s="7"/>
      <c r="P1984" s="7"/>
      <c r="Q1984" t="s">
        <v>89</v>
      </c>
      <c r="R1984" s="7" t="str">
        <f>TEXT(Table1[[#This Row],[Date]],"mmm yyyy")</f>
        <v>Mar 2026</v>
      </c>
      <c r="S1984" s="9">
        <f>YEAR(Table1[[#This Row],[Date]])</f>
        <v>2026</v>
      </c>
      <c r="T1984" s="9"/>
      <c r="U1984" s="9"/>
    </row>
    <row r="1985" spans="1:21" x14ac:dyDescent="0.3">
      <c r="A1985" t="s">
        <v>2698</v>
      </c>
      <c r="B1985" s="6">
        <v>46099</v>
      </c>
      <c r="C1985" t="s">
        <v>18</v>
      </c>
      <c r="D1985" t="s">
        <v>47</v>
      </c>
      <c r="E1985" t="s">
        <v>48</v>
      </c>
      <c r="F1985" t="s">
        <v>1330</v>
      </c>
      <c r="G1985" t="s">
        <v>22</v>
      </c>
      <c r="H1985" t="s">
        <v>23</v>
      </c>
      <c r="I1985" t="s">
        <v>24</v>
      </c>
      <c r="J1985" s="9">
        <v>1</v>
      </c>
      <c r="K1985" s="7">
        <v>14000</v>
      </c>
      <c r="L1985" s="7">
        <v>14000</v>
      </c>
      <c r="M1985" s="9"/>
      <c r="N1985" s="7">
        <v>7.1</v>
      </c>
      <c r="O1985" s="7"/>
      <c r="P1985" s="7"/>
      <c r="Q1985" t="s">
        <v>24</v>
      </c>
      <c r="R1985" s="7" t="str">
        <f>TEXT(Table1[[#This Row],[Date]],"mmm yyyy")</f>
        <v>Mar 2026</v>
      </c>
      <c r="S1985" s="9">
        <f>YEAR(Table1[[#This Row],[Date]])</f>
        <v>2026</v>
      </c>
      <c r="T1985" s="9"/>
      <c r="U1985" s="9"/>
    </row>
    <row r="1986" spans="1:21" x14ac:dyDescent="0.3">
      <c r="A1986" t="s">
        <v>2699</v>
      </c>
      <c r="B1986" s="6">
        <v>46094</v>
      </c>
      <c r="C1986" t="s">
        <v>18</v>
      </c>
      <c r="D1986" t="s">
        <v>47</v>
      </c>
      <c r="E1986" t="s">
        <v>20</v>
      </c>
      <c r="F1986" t="s">
        <v>491</v>
      </c>
      <c r="G1986" t="s">
        <v>44</v>
      </c>
      <c r="H1986" t="s">
        <v>54</v>
      </c>
      <c r="I1986" t="s">
        <v>89</v>
      </c>
      <c r="J1986" s="9">
        <v>1</v>
      </c>
      <c r="K1986" s="7">
        <v>22900</v>
      </c>
      <c r="L1986" s="7">
        <v>0</v>
      </c>
      <c r="M1986" s="9"/>
      <c r="N1986" s="7">
        <v>22.2</v>
      </c>
      <c r="O1986" s="7"/>
      <c r="P1986" s="7"/>
      <c r="Q1986" t="s">
        <v>89</v>
      </c>
      <c r="R1986" s="7" t="str">
        <f>TEXT(Table1[[#This Row],[Date]],"mmm yyyy")</f>
        <v>Mar 2026</v>
      </c>
      <c r="S1986" s="9">
        <f>YEAR(Table1[[#This Row],[Date]])</f>
        <v>2026</v>
      </c>
      <c r="T1986" s="9"/>
      <c r="U1986" s="9"/>
    </row>
    <row r="1987" spans="1:21" x14ac:dyDescent="0.3">
      <c r="A1987" t="s">
        <v>2700</v>
      </c>
      <c r="B1987" s="6">
        <v>45998</v>
      </c>
      <c r="C1987" t="s">
        <v>18</v>
      </c>
      <c r="D1987" t="s">
        <v>117</v>
      </c>
      <c r="E1987" t="s">
        <v>37</v>
      </c>
      <c r="F1987" t="s">
        <v>1636</v>
      </c>
      <c r="G1987" t="s">
        <v>30</v>
      </c>
      <c r="H1987" t="s">
        <v>86</v>
      </c>
      <c r="I1987" t="s">
        <v>67</v>
      </c>
      <c r="J1987" s="9">
        <v>1</v>
      </c>
      <c r="K1987" s="7">
        <v>39000</v>
      </c>
      <c r="L1987" s="7">
        <v>0</v>
      </c>
      <c r="M1987" s="9"/>
      <c r="N1987" s="7">
        <v>22</v>
      </c>
      <c r="O1987" s="7"/>
      <c r="P1987" s="7"/>
      <c r="Q1987" t="s">
        <v>67</v>
      </c>
      <c r="R1987" s="7" t="str">
        <f>TEXT(Table1[[#This Row],[Date]],"mmm yyyy")</f>
        <v>Dec 2025</v>
      </c>
      <c r="S1987" s="9">
        <f>YEAR(Table1[[#This Row],[Date]])</f>
        <v>2025</v>
      </c>
      <c r="T1987" s="9"/>
      <c r="U1987" s="9"/>
    </row>
    <row r="1988" spans="1:21" hidden="1" x14ac:dyDescent="0.3">
      <c r="A1988" t="s">
        <v>2701</v>
      </c>
      <c r="B1988" s="6">
        <v>46006</v>
      </c>
      <c r="C1988" t="s">
        <v>26</v>
      </c>
      <c r="D1988" t="s">
        <v>27</v>
      </c>
      <c r="E1988" t="s">
        <v>48</v>
      </c>
      <c r="F1988" t="s">
        <v>491</v>
      </c>
      <c r="G1988" t="s">
        <v>30</v>
      </c>
      <c r="J1988" s="9">
        <v>0</v>
      </c>
      <c r="K1988" s="7">
        <v>0</v>
      </c>
      <c r="L1988" s="7">
        <v>0</v>
      </c>
      <c r="M1988" s="9">
        <v>1</v>
      </c>
      <c r="N1988" s="7">
        <v>5.3</v>
      </c>
      <c r="O1988" s="7">
        <v>7.3</v>
      </c>
      <c r="P1988" s="7">
        <v>4.5</v>
      </c>
      <c r="Q1988" t="s">
        <v>225</v>
      </c>
      <c r="R1988" s="7" t="str">
        <f>TEXT(Table1[[#This Row],[Date]],"mmm yyyy")</f>
        <v>Dec 2025</v>
      </c>
      <c r="S1988" s="9">
        <f>YEAR(Table1[[#This Row],[Date]])</f>
        <v>2025</v>
      </c>
      <c r="T1988" s="9"/>
      <c r="U1988" s="9"/>
    </row>
    <row r="1989" spans="1:21" x14ac:dyDescent="0.3">
      <c r="A1989" t="s">
        <v>2702</v>
      </c>
      <c r="B1989" s="6">
        <v>46261</v>
      </c>
      <c r="C1989" t="s">
        <v>18</v>
      </c>
      <c r="D1989" t="s">
        <v>19</v>
      </c>
      <c r="E1989" t="s">
        <v>28</v>
      </c>
      <c r="F1989" t="s">
        <v>158</v>
      </c>
      <c r="G1989" t="s">
        <v>22</v>
      </c>
      <c r="H1989" t="s">
        <v>78</v>
      </c>
      <c r="I1989" t="s">
        <v>24</v>
      </c>
      <c r="J1989" s="9">
        <v>1</v>
      </c>
      <c r="K1989" s="7">
        <v>13600</v>
      </c>
      <c r="L1989" s="7">
        <v>13600</v>
      </c>
      <c r="M1989" s="9"/>
      <c r="N1989" s="7">
        <v>8.1</v>
      </c>
      <c r="O1989" s="7"/>
      <c r="P1989" s="7"/>
      <c r="Q1989" t="s">
        <v>24</v>
      </c>
      <c r="R1989" s="7" t="str">
        <f>TEXT(Table1[[#This Row],[Date]],"mmm yyyy")</f>
        <v>Aug 2026</v>
      </c>
      <c r="S1989" s="9">
        <f>YEAR(Table1[[#This Row],[Date]])</f>
        <v>2026</v>
      </c>
      <c r="T1989" s="9"/>
      <c r="U1989" s="9"/>
    </row>
    <row r="1990" spans="1:21" x14ac:dyDescent="0.3">
      <c r="A1990" t="s">
        <v>2703</v>
      </c>
      <c r="B1990" s="6">
        <v>46009</v>
      </c>
      <c r="C1990" t="s">
        <v>18</v>
      </c>
      <c r="D1990" t="s">
        <v>52</v>
      </c>
      <c r="E1990" t="s">
        <v>37</v>
      </c>
      <c r="F1990" t="s">
        <v>2033</v>
      </c>
      <c r="G1990" t="s">
        <v>44</v>
      </c>
      <c r="H1990" t="s">
        <v>78</v>
      </c>
      <c r="I1990" t="s">
        <v>67</v>
      </c>
      <c r="J1990" s="9">
        <v>1</v>
      </c>
      <c r="K1990" s="7">
        <v>5400</v>
      </c>
      <c r="L1990" s="7">
        <v>0</v>
      </c>
      <c r="M1990" s="9"/>
      <c r="N1990" s="7">
        <v>1.2</v>
      </c>
      <c r="O1990" s="7"/>
      <c r="P1990" s="7"/>
      <c r="Q1990" t="s">
        <v>67</v>
      </c>
      <c r="R1990" s="7" t="str">
        <f>TEXT(Table1[[#This Row],[Date]],"mmm yyyy")</f>
        <v>Dec 2025</v>
      </c>
      <c r="S1990" s="9">
        <f>YEAR(Table1[[#This Row],[Date]])</f>
        <v>2025</v>
      </c>
      <c r="T1990" s="9"/>
      <c r="U1990" s="9"/>
    </row>
    <row r="1991" spans="1:21" hidden="1" x14ac:dyDescent="0.3">
      <c r="A1991" t="s">
        <v>2704</v>
      </c>
      <c r="B1991" s="6">
        <v>45946</v>
      </c>
      <c r="C1991" t="s">
        <v>26</v>
      </c>
      <c r="D1991" t="s">
        <v>232</v>
      </c>
      <c r="E1991" t="s">
        <v>48</v>
      </c>
      <c r="F1991" t="s">
        <v>1278</v>
      </c>
      <c r="G1991" t="s">
        <v>44</v>
      </c>
      <c r="J1991" s="9">
        <v>0</v>
      </c>
      <c r="K1991" s="7">
        <v>0</v>
      </c>
      <c r="L1991" s="7">
        <v>0</v>
      </c>
      <c r="M1991" s="9">
        <v>1</v>
      </c>
      <c r="N1991" s="7">
        <v>5.9</v>
      </c>
      <c r="O1991" s="7">
        <v>2.5</v>
      </c>
      <c r="P1991" s="7">
        <v>4.0999999999999996</v>
      </c>
      <c r="Q1991" t="s">
        <v>39</v>
      </c>
      <c r="R1991" s="7" t="str">
        <f>TEXT(Table1[[#This Row],[Date]],"mmm yyyy")</f>
        <v>Oct 2025</v>
      </c>
      <c r="S1991" s="9">
        <f>YEAR(Table1[[#This Row],[Date]])</f>
        <v>2025</v>
      </c>
      <c r="T1991" s="9"/>
      <c r="U1991" s="9"/>
    </row>
    <row r="1992" spans="1:21" hidden="1" x14ac:dyDescent="0.3">
      <c r="A1992" t="s">
        <v>2705</v>
      </c>
      <c r="B1992" s="6">
        <v>46221</v>
      </c>
      <c r="C1992" t="s">
        <v>26</v>
      </c>
      <c r="D1992" t="s">
        <v>126</v>
      </c>
      <c r="E1992" t="s">
        <v>28</v>
      </c>
      <c r="F1992" t="s">
        <v>1555</v>
      </c>
      <c r="G1992" t="s">
        <v>44</v>
      </c>
      <c r="J1992" s="9">
        <v>0</v>
      </c>
      <c r="K1992" s="7">
        <v>0</v>
      </c>
      <c r="L1992" s="7">
        <v>0</v>
      </c>
      <c r="M1992" s="9">
        <v>1</v>
      </c>
      <c r="N1992" s="7">
        <v>8.8000000000000007</v>
      </c>
      <c r="O1992" s="7">
        <v>3.2</v>
      </c>
      <c r="P1992" s="7">
        <v>3.9</v>
      </c>
      <c r="Q1992" t="s">
        <v>62</v>
      </c>
      <c r="R1992" s="7" t="str">
        <f>TEXT(Table1[[#This Row],[Date]],"mmm yyyy")</f>
        <v>Jul 2026</v>
      </c>
      <c r="S1992" s="9">
        <f>YEAR(Table1[[#This Row],[Date]])</f>
        <v>2026</v>
      </c>
      <c r="T1992" s="9"/>
      <c r="U1992" s="9"/>
    </row>
    <row r="1993" spans="1:21" x14ac:dyDescent="0.3">
      <c r="A1993" t="s">
        <v>2706</v>
      </c>
      <c r="B1993" s="6">
        <v>46160</v>
      </c>
      <c r="C1993" t="s">
        <v>18</v>
      </c>
      <c r="D1993" t="s">
        <v>47</v>
      </c>
      <c r="E1993" t="s">
        <v>28</v>
      </c>
      <c r="F1993" t="s">
        <v>2707</v>
      </c>
      <c r="G1993" t="s">
        <v>30</v>
      </c>
      <c r="H1993" t="s">
        <v>86</v>
      </c>
      <c r="I1993" t="s">
        <v>55</v>
      </c>
      <c r="J1993" s="9">
        <v>1</v>
      </c>
      <c r="K1993" s="7">
        <v>23500</v>
      </c>
      <c r="L1993" s="7">
        <v>0</v>
      </c>
      <c r="M1993" s="9"/>
      <c r="N1993" s="7">
        <v>8.1999999999999993</v>
      </c>
      <c r="O1993" s="7"/>
      <c r="P1993" s="7"/>
      <c r="Q1993" t="s">
        <v>55</v>
      </c>
      <c r="R1993" s="7" t="str">
        <f>TEXT(Table1[[#This Row],[Date]],"mmm yyyy")</f>
        <v>May 2026</v>
      </c>
      <c r="S1993" s="9">
        <f>YEAR(Table1[[#This Row],[Date]])</f>
        <v>2026</v>
      </c>
      <c r="T1993" s="9"/>
      <c r="U1993" s="9"/>
    </row>
    <row r="1994" spans="1:21" hidden="1" x14ac:dyDescent="0.3">
      <c r="A1994" t="s">
        <v>2708</v>
      </c>
      <c r="B1994" s="6">
        <v>45981</v>
      </c>
      <c r="C1994" t="s">
        <v>26</v>
      </c>
      <c r="D1994" t="s">
        <v>126</v>
      </c>
      <c r="E1994" t="s">
        <v>20</v>
      </c>
      <c r="F1994" t="s">
        <v>689</v>
      </c>
      <c r="G1994" t="s">
        <v>22</v>
      </c>
      <c r="J1994" s="9">
        <v>0</v>
      </c>
      <c r="K1994" s="7">
        <v>0</v>
      </c>
      <c r="L1994" s="7">
        <v>0</v>
      </c>
      <c r="M1994" s="9">
        <v>1</v>
      </c>
      <c r="N1994" s="7">
        <v>11.9</v>
      </c>
      <c r="O1994" s="7">
        <v>15.7</v>
      </c>
      <c r="P1994" s="7">
        <v>3.8</v>
      </c>
      <c r="Q1994" t="s">
        <v>39</v>
      </c>
      <c r="R1994" s="7" t="str">
        <f>TEXT(Table1[[#This Row],[Date]],"mmm yyyy")</f>
        <v>Nov 2025</v>
      </c>
      <c r="S1994" s="9">
        <f>YEAR(Table1[[#This Row],[Date]])</f>
        <v>2025</v>
      </c>
      <c r="T1994" s="9"/>
      <c r="U1994" s="9"/>
    </row>
    <row r="1995" spans="1:21" x14ac:dyDescent="0.3">
      <c r="A1995" t="s">
        <v>2709</v>
      </c>
      <c r="B1995" s="6">
        <v>46034</v>
      </c>
      <c r="C1995" t="s">
        <v>18</v>
      </c>
      <c r="D1995" t="s">
        <v>19</v>
      </c>
      <c r="E1995" t="s">
        <v>20</v>
      </c>
      <c r="F1995" t="s">
        <v>170</v>
      </c>
      <c r="G1995" t="s">
        <v>50</v>
      </c>
      <c r="H1995" t="s">
        <v>78</v>
      </c>
      <c r="I1995" t="s">
        <v>24</v>
      </c>
      <c r="J1995" s="9">
        <v>1</v>
      </c>
      <c r="K1995" s="7">
        <v>19700</v>
      </c>
      <c r="L1995" s="7">
        <v>19700</v>
      </c>
      <c r="M1995" s="9"/>
      <c r="N1995" s="7">
        <v>9.3000000000000007</v>
      </c>
      <c r="O1995" s="7"/>
      <c r="P1995" s="7"/>
      <c r="Q1995" t="s">
        <v>24</v>
      </c>
      <c r="R1995" s="7" t="str">
        <f>TEXT(Table1[[#This Row],[Date]],"mmm yyyy")</f>
        <v>Jan 2026</v>
      </c>
      <c r="S1995" s="9">
        <f>YEAR(Table1[[#This Row],[Date]])</f>
        <v>2026</v>
      </c>
      <c r="T1995" s="9"/>
      <c r="U1995" s="9"/>
    </row>
    <row r="1996" spans="1:21" hidden="1" x14ac:dyDescent="0.3">
      <c r="A1996" t="s">
        <v>2710</v>
      </c>
      <c r="B1996" s="6">
        <v>45919</v>
      </c>
      <c r="C1996" t="s">
        <v>26</v>
      </c>
      <c r="D1996" t="s">
        <v>36</v>
      </c>
      <c r="E1996" t="s">
        <v>48</v>
      </c>
      <c r="F1996" t="s">
        <v>1730</v>
      </c>
      <c r="G1996" t="s">
        <v>44</v>
      </c>
      <c r="J1996" s="9">
        <v>0</v>
      </c>
      <c r="K1996" s="7">
        <v>0</v>
      </c>
      <c r="L1996" s="7">
        <v>0</v>
      </c>
      <c r="M1996" s="9">
        <v>1</v>
      </c>
      <c r="N1996" s="7">
        <v>11.9</v>
      </c>
      <c r="O1996" s="7">
        <v>8.1999999999999993</v>
      </c>
      <c r="P1996" s="7">
        <v>4.3</v>
      </c>
      <c r="Q1996" t="s">
        <v>39</v>
      </c>
      <c r="R1996" s="7" t="str">
        <f>TEXT(Table1[[#This Row],[Date]],"mmm yyyy")</f>
        <v>Sep 2025</v>
      </c>
      <c r="S1996" s="9">
        <f>YEAR(Table1[[#This Row],[Date]])</f>
        <v>2025</v>
      </c>
      <c r="T1996" s="9"/>
      <c r="U1996" s="9"/>
    </row>
    <row r="1997" spans="1:21" hidden="1" x14ac:dyDescent="0.3">
      <c r="A1997" t="s">
        <v>2711</v>
      </c>
      <c r="B1997" s="6">
        <v>46137</v>
      </c>
      <c r="C1997" t="s">
        <v>26</v>
      </c>
      <c r="D1997" t="s">
        <v>114</v>
      </c>
      <c r="E1997" t="s">
        <v>28</v>
      </c>
      <c r="F1997" t="s">
        <v>469</v>
      </c>
      <c r="G1997" t="s">
        <v>22</v>
      </c>
      <c r="J1997" s="9">
        <v>0</v>
      </c>
      <c r="K1997" s="7">
        <v>0</v>
      </c>
      <c r="L1997" s="7">
        <v>0</v>
      </c>
      <c r="M1997" s="9">
        <v>1</v>
      </c>
      <c r="N1997" s="7">
        <v>0.1</v>
      </c>
      <c r="O1997" s="7">
        <v>9.1</v>
      </c>
      <c r="P1997" s="7">
        <v>2.9</v>
      </c>
      <c r="Q1997" t="s">
        <v>225</v>
      </c>
      <c r="R1997" s="7" t="str">
        <f>TEXT(Table1[[#This Row],[Date]],"mmm yyyy")</f>
        <v>Apr 2026</v>
      </c>
      <c r="S1997" s="9">
        <f>YEAR(Table1[[#This Row],[Date]])</f>
        <v>2026</v>
      </c>
      <c r="T1997" s="9"/>
      <c r="U1997" s="9"/>
    </row>
    <row r="1998" spans="1:21" hidden="1" x14ac:dyDescent="0.3">
      <c r="A1998" t="s">
        <v>2712</v>
      </c>
      <c r="B1998" s="6">
        <v>46086</v>
      </c>
      <c r="C1998" t="s">
        <v>26</v>
      </c>
      <c r="D1998" t="s">
        <v>36</v>
      </c>
      <c r="E1998" t="s">
        <v>28</v>
      </c>
      <c r="F1998" t="s">
        <v>777</v>
      </c>
      <c r="G1998" t="s">
        <v>30</v>
      </c>
      <c r="J1998" s="9">
        <v>0</v>
      </c>
      <c r="K1998" s="7">
        <v>0</v>
      </c>
      <c r="L1998" s="7">
        <v>0</v>
      </c>
      <c r="M1998" s="9">
        <v>1</v>
      </c>
      <c r="N1998" s="7">
        <v>4.0999999999999996</v>
      </c>
      <c r="O1998" s="7">
        <v>13</v>
      </c>
      <c r="P1998" s="7">
        <v>3.5</v>
      </c>
      <c r="Q1998" t="s">
        <v>31</v>
      </c>
      <c r="R1998" s="7" t="str">
        <f>TEXT(Table1[[#This Row],[Date]],"mmm yyyy")</f>
        <v>Mar 2026</v>
      </c>
      <c r="S1998" s="9">
        <f>YEAR(Table1[[#This Row],[Date]])</f>
        <v>2026</v>
      </c>
      <c r="T1998" s="9"/>
      <c r="U1998" s="9"/>
    </row>
    <row r="1999" spans="1:21" x14ac:dyDescent="0.3">
      <c r="A1999" t="s">
        <v>2713</v>
      </c>
      <c r="B1999" s="6">
        <v>46187</v>
      </c>
      <c r="C1999" t="s">
        <v>18</v>
      </c>
      <c r="D1999" t="s">
        <v>64</v>
      </c>
      <c r="E1999" t="s">
        <v>20</v>
      </c>
      <c r="F1999" t="s">
        <v>663</v>
      </c>
      <c r="G1999" t="s">
        <v>50</v>
      </c>
      <c r="H1999" t="s">
        <v>54</v>
      </c>
      <c r="I1999" t="s">
        <v>24</v>
      </c>
      <c r="J1999" s="9">
        <v>1</v>
      </c>
      <c r="K1999" s="7">
        <v>25800</v>
      </c>
      <c r="L1999" s="7">
        <v>25800</v>
      </c>
      <c r="M1999" s="9"/>
      <c r="N1999" s="7">
        <v>13.1</v>
      </c>
      <c r="O1999" s="7"/>
      <c r="P1999" s="7"/>
      <c r="Q1999" t="s">
        <v>24</v>
      </c>
      <c r="R1999" s="7" t="str">
        <f>TEXT(Table1[[#This Row],[Date]],"mmm yyyy")</f>
        <v>Jun 2026</v>
      </c>
      <c r="S1999" s="9">
        <f>YEAR(Table1[[#This Row],[Date]])</f>
        <v>2026</v>
      </c>
      <c r="T1999" s="9"/>
      <c r="U1999" s="9"/>
    </row>
    <row r="2000" spans="1:21" x14ac:dyDescent="0.3">
      <c r="A2000" t="s">
        <v>2714</v>
      </c>
      <c r="B2000" s="6">
        <v>46241</v>
      </c>
      <c r="C2000" t="s">
        <v>18</v>
      </c>
      <c r="D2000" t="s">
        <v>105</v>
      </c>
      <c r="E2000" t="s">
        <v>20</v>
      </c>
      <c r="F2000" t="s">
        <v>882</v>
      </c>
      <c r="G2000" t="s">
        <v>30</v>
      </c>
      <c r="H2000" t="s">
        <v>86</v>
      </c>
      <c r="I2000" t="s">
        <v>24</v>
      </c>
      <c r="J2000" s="9">
        <v>1</v>
      </c>
      <c r="K2000" s="7">
        <v>16100</v>
      </c>
      <c r="L2000" s="7">
        <v>16100</v>
      </c>
      <c r="M2000" s="9"/>
      <c r="N2000" s="7">
        <v>18.100000000000001</v>
      </c>
      <c r="O2000" s="7"/>
      <c r="P2000" s="7"/>
      <c r="Q2000" t="s">
        <v>24</v>
      </c>
      <c r="R2000" s="7" t="str">
        <f>TEXT(Table1[[#This Row],[Date]],"mmm yyyy")</f>
        <v>Aug 2026</v>
      </c>
      <c r="S2000" s="9">
        <f>YEAR(Table1[[#This Row],[Date]])</f>
        <v>2026</v>
      </c>
      <c r="T2000" s="9"/>
      <c r="U2000" s="9"/>
    </row>
    <row r="2001" spans="1:21" x14ac:dyDescent="0.3">
      <c r="A2001" t="s">
        <v>2715</v>
      </c>
      <c r="B2001" s="6">
        <v>46175</v>
      </c>
      <c r="C2001" t="s">
        <v>18</v>
      </c>
      <c r="D2001" t="s">
        <v>117</v>
      </c>
      <c r="E2001" t="s">
        <v>20</v>
      </c>
      <c r="F2001" t="s">
        <v>1127</v>
      </c>
      <c r="G2001" t="s">
        <v>44</v>
      </c>
      <c r="H2001" t="s">
        <v>23</v>
      </c>
      <c r="I2001" t="s">
        <v>89</v>
      </c>
      <c r="J2001" s="9">
        <v>1</v>
      </c>
      <c r="K2001" s="7">
        <v>10900</v>
      </c>
      <c r="L2001" s="7">
        <v>0</v>
      </c>
      <c r="M2001" s="9"/>
      <c r="N2001" s="7">
        <v>17.600000000000001</v>
      </c>
      <c r="O2001" s="7"/>
      <c r="P2001" s="7"/>
      <c r="Q2001" t="s">
        <v>89</v>
      </c>
      <c r="R2001" s="7" t="str">
        <f>TEXT(Table1[[#This Row],[Date]],"mmm yyyy")</f>
        <v>Jun 2026</v>
      </c>
      <c r="S2001" s="9">
        <f>YEAR(Table1[[#This Row],[Date]])</f>
        <v>2026</v>
      </c>
      <c r="T2001" s="9"/>
      <c r="U2001" s="9"/>
    </row>
  </sheetData>
  <mergeCells count="1">
    <mergeCell ref="V4:AA4"/>
  </mergeCells>
  <conditionalFormatting sqref="A1:A2001">
    <cfRule type="duplicateValues" dxfId="1" priority="2"/>
  </conditionalFormatting>
  <conditionalFormatting sqref="F1:F2001">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A13E-0D5B-4B3C-961A-63E938CFCB1B}">
  <dimension ref="A1:M59"/>
  <sheetViews>
    <sheetView zoomScale="96" zoomScaleNormal="87" workbookViewId="0">
      <selection activeCell="J13" sqref="J13"/>
    </sheetView>
  </sheetViews>
  <sheetFormatPr defaultRowHeight="14.4" x14ac:dyDescent="0.3"/>
  <cols>
    <col min="1" max="1" width="17.5546875" customWidth="1"/>
    <col min="2" max="2" width="18.21875" customWidth="1"/>
    <col min="5" max="5" width="15" customWidth="1"/>
    <col min="6" max="6" width="20.77734375" customWidth="1"/>
    <col min="8" max="8" width="26.77734375" customWidth="1"/>
    <col min="9" max="9" width="14.88671875" customWidth="1"/>
    <col min="11" max="11" width="15.33203125" customWidth="1"/>
    <col min="12" max="12" width="17.5546875" customWidth="1"/>
    <col min="13" max="13" width="15.5546875" customWidth="1"/>
  </cols>
  <sheetData>
    <row r="1" spans="1:13" ht="14.4" customHeight="1" x14ac:dyDescent="0.3">
      <c r="A1" s="51" t="s">
        <v>2747</v>
      </c>
      <c r="B1" s="51"/>
      <c r="E1" s="51" t="s">
        <v>2719</v>
      </c>
      <c r="F1" s="51"/>
      <c r="H1" s="51" t="s">
        <v>2724</v>
      </c>
      <c r="I1" s="51"/>
    </row>
    <row r="2" spans="1:13" ht="14.4" customHeight="1" x14ac:dyDescent="0.3">
      <c r="A2" s="51"/>
      <c r="B2" s="51"/>
      <c r="E2" s="51"/>
      <c r="F2" s="51"/>
      <c r="H2" s="51"/>
      <c r="I2" s="51"/>
    </row>
    <row r="3" spans="1:13" x14ac:dyDescent="0.3">
      <c r="A3" t="s">
        <v>2745</v>
      </c>
      <c r="B3" t="s">
        <v>2746</v>
      </c>
      <c r="E3" s="11" t="s">
        <v>2718</v>
      </c>
      <c r="F3" s="12">
        <f>SUMIF(Table1[Team],"Sales",Table1[Deals])</f>
        <v>1089</v>
      </c>
      <c r="H3" s="11" t="s">
        <v>2725</v>
      </c>
      <c r="I3" s="12">
        <f>SUMIFS(Table1[Tickets],Table1[Team],"Support")</f>
        <v>911</v>
      </c>
    </row>
    <row r="4" spans="1:13" x14ac:dyDescent="0.3">
      <c r="A4" t="s">
        <v>0</v>
      </c>
      <c r="B4">
        <f>COUNTBLANK(Raw_Data!A2:A2001)</f>
        <v>0</v>
      </c>
      <c r="E4" s="11" t="s">
        <v>2720</v>
      </c>
      <c r="F4" s="12">
        <f>COUNTIFS(Table1[Team],"Sales",Table1[Sales_Stage],"Won")</f>
        <v>237</v>
      </c>
      <c r="H4" s="11" t="s">
        <v>2726</v>
      </c>
      <c r="I4" s="14">
        <f>AVERAGEIFS(Table1[First_Response_Hours],Table1[Team],"Support")</f>
        <v>6.000439077936341</v>
      </c>
    </row>
    <row r="5" spans="1:13" x14ac:dyDescent="0.3">
      <c r="A5" t="s">
        <v>1</v>
      </c>
      <c r="B5">
        <f>COUNTBLANK(Raw_Data!B2:B2001)</f>
        <v>0</v>
      </c>
      <c r="E5" s="11" t="s">
        <v>2721</v>
      </c>
      <c r="F5" s="15">
        <f>SUMIFS(Table1[Deal_Value_INR],Table1[Team],"Sales")</f>
        <v>31609200</v>
      </c>
      <c r="H5" s="11" t="s">
        <v>2727</v>
      </c>
      <c r="I5" s="14">
        <f>AVERAGEIFS(Table1[Resolution_Hours],Table1[Team],"Support")</f>
        <v>8.7686059275521426</v>
      </c>
    </row>
    <row r="6" spans="1:13" x14ac:dyDescent="0.3">
      <c r="A6" t="s">
        <v>2</v>
      </c>
      <c r="B6">
        <f>COUNTBLANK(Raw_Data!C2:C2001)</f>
        <v>0</v>
      </c>
      <c r="E6" s="11" t="s">
        <v>2722</v>
      </c>
      <c r="F6" s="15">
        <f>SUMIFS(Table1[Revenue_INR],Table1[Team],"Sales")</f>
        <v>6835500</v>
      </c>
      <c r="H6" s="11" t="s">
        <v>2728</v>
      </c>
      <c r="I6" s="14">
        <f>AVERAGEIFS(Table1[CSAT],Table1[Team],"Support")</f>
        <v>4.0412733260153715</v>
      </c>
    </row>
    <row r="7" spans="1:13" x14ac:dyDescent="0.3">
      <c r="A7" t="s">
        <v>3</v>
      </c>
      <c r="B7">
        <f>COUNTBLANK(Raw_Data!D2:D2001)</f>
        <v>0</v>
      </c>
      <c r="E7" s="11" t="s">
        <v>2723</v>
      </c>
      <c r="F7" s="13">
        <f>F4/F3</f>
        <v>0.21763085399449036</v>
      </c>
      <c r="H7" s="11" t="s">
        <v>2729</v>
      </c>
      <c r="I7" s="12">
        <f>COUNTIFS(Table1[Team],"Support",Table1[Status],"Closed")</f>
        <v>218</v>
      </c>
    </row>
    <row r="8" spans="1:13" x14ac:dyDescent="0.3">
      <c r="A8" t="s">
        <v>4</v>
      </c>
      <c r="B8">
        <f>COUNTBLANK(Raw_Data!E2:E2001)</f>
        <v>0</v>
      </c>
      <c r="E8" s="11" t="s">
        <v>2776</v>
      </c>
      <c r="F8" s="12">
        <f>COUNTIFS(Table1[Status],"Lost",Table1[Team],"Sales")</f>
        <v>146</v>
      </c>
      <c r="H8" s="11" t="s">
        <v>2730</v>
      </c>
      <c r="I8" s="12">
        <f>COUNTIFS(Table1[Team],"Support",Table1[Status],"Resolved")</f>
        <v>445</v>
      </c>
      <c r="K8" t="s">
        <v>2734</v>
      </c>
      <c r="L8" t="s">
        <v>2733</v>
      </c>
    </row>
    <row r="9" spans="1:13" x14ac:dyDescent="0.3">
      <c r="A9" t="s">
        <v>5</v>
      </c>
      <c r="B9">
        <f>COUNTBLANK(Raw_Data!F2:F2001)</f>
        <v>0</v>
      </c>
      <c r="K9" t="s">
        <v>31</v>
      </c>
      <c r="L9">
        <f>COUNTIFS(Table1[Team],"Support",Table1[Status],Table14[[#This Row],[Support Status]])</f>
        <v>218</v>
      </c>
    </row>
    <row r="10" spans="1:13" x14ac:dyDescent="0.3">
      <c r="A10" t="s">
        <v>6</v>
      </c>
      <c r="B10">
        <f>COUNTBLANK(Raw_Data!G2:G2001)</f>
        <v>0</v>
      </c>
      <c r="K10" t="s">
        <v>39</v>
      </c>
      <c r="L10">
        <f>COUNTIFS(Table1[Team],"Support",Table1[Status],Table14[[#This Row],[Support Status]])</f>
        <v>445</v>
      </c>
    </row>
    <row r="11" spans="1:13" x14ac:dyDescent="0.3">
      <c r="A11" t="s">
        <v>7</v>
      </c>
      <c r="B11">
        <f>COUNTBLANK(Raw_Data!H2:H2001)</f>
        <v>911</v>
      </c>
      <c r="K11" t="s">
        <v>62</v>
      </c>
      <c r="L11">
        <f>COUNTIFS(Table1[Team],"Support",Table1[Status],Table14[[#This Row],[Support Status]])</f>
        <v>156</v>
      </c>
    </row>
    <row r="12" spans="1:13" x14ac:dyDescent="0.3">
      <c r="A12" t="s">
        <v>8</v>
      </c>
      <c r="B12">
        <f>COUNTBLANK(Raw_Data!I2:I2001)</f>
        <v>911</v>
      </c>
      <c r="K12" t="s">
        <v>225</v>
      </c>
      <c r="L12">
        <f>COUNTIFS(Table1[Team],"Support",Table1[Status],Table14[[#This Row],[Support Status]])</f>
        <v>92</v>
      </c>
    </row>
    <row r="13" spans="1:13" x14ac:dyDescent="0.3">
      <c r="A13" t="s">
        <v>9</v>
      </c>
      <c r="B13">
        <f>COUNTBLANK(Raw_Data!J2:J2001)</f>
        <v>0</v>
      </c>
    </row>
    <row r="14" spans="1:13" x14ac:dyDescent="0.3">
      <c r="A14" t="s">
        <v>10</v>
      </c>
      <c r="B14">
        <f>COUNTBLANK(Raw_Data!K2:K2001)</f>
        <v>0</v>
      </c>
    </row>
    <row r="15" spans="1:13" x14ac:dyDescent="0.3">
      <c r="A15" t="s">
        <v>11</v>
      </c>
      <c r="B15">
        <f>COUNTBLANK(Raw_Data!L2:L2001)</f>
        <v>0</v>
      </c>
      <c r="E15" t="s">
        <v>2716</v>
      </c>
      <c r="F15" t="s">
        <v>2731</v>
      </c>
    </row>
    <row r="16" spans="1:13" x14ac:dyDescent="0.3">
      <c r="A16" t="s">
        <v>12</v>
      </c>
      <c r="B16">
        <f>COUNTBLANK(Raw_Data!M2:M2001)</f>
        <v>1089</v>
      </c>
      <c r="E16" s="16">
        <v>45901</v>
      </c>
      <c r="F16">
        <f>SUMIFS(Table1[Revenue_INR],Table1[Team],"Sales",Table1[Month],E16)</f>
        <v>196300</v>
      </c>
      <c r="L16" t="s">
        <v>2732</v>
      </c>
      <c r="M16" t="s">
        <v>2733</v>
      </c>
    </row>
    <row r="17" spans="1:13" ht="14.4" customHeight="1" x14ac:dyDescent="0.3">
      <c r="A17" t="s">
        <v>13</v>
      </c>
      <c r="B17">
        <f>COUNTBLANK(Raw_Data!N2:N2001)</f>
        <v>1</v>
      </c>
      <c r="E17" s="16">
        <v>45931</v>
      </c>
      <c r="F17">
        <f>SUMIFS(Table1[Revenue_INR],Table1[Team],"Sales",Table1[Month],E17)</f>
        <v>544000</v>
      </c>
      <c r="H17" s="50" t="s">
        <v>2777</v>
      </c>
      <c r="I17" s="50"/>
      <c r="L17" t="s">
        <v>24</v>
      </c>
      <c r="M17">
        <f>COUNTIFS(Table1[Team],"Sales",Table1[Sales_Stage],summary!L17)</f>
        <v>237</v>
      </c>
    </row>
    <row r="18" spans="1:13" ht="14.4" customHeight="1" x14ac:dyDescent="0.3">
      <c r="A18" t="s">
        <v>14</v>
      </c>
      <c r="B18">
        <f>COUNTBLANK(Raw_Data!O2:O2001)</f>
        <v>1089</v>
      </c>
      <c r="E18" s="16">
        <v>45962</v>
      </c>
      <c r="F18">
        <f>SUMIFS(Table1[Revenue_INR],Table1[Team],"Sales",Table1[Month],E18)</f>
        <v>709100</v>
      </c>
      <c r="H18" s="50"/>
      <c r="I18" s="50"/>
      <c r="L18" t="s">
        <v>45</v>
      </c>
      <c r="M18">
        <f>COUNTIFS(Table1[Team],"Sales",Table1[Sales_Stage],summary!L18)</f>
        <v>245</v>
      </c>
    </row>
    <row r="19" spans="1:13" ht="14.4" customHeight="1" x14ac:dyDescent="0.3">
      <c r="A19" t="s">
        <v>15</v>
      </c>
      <c r="B19">
        <f>COUNTBLANK(Raw_Data!P2:P2001)</f>
        <v>1089</v>
      </c>
      <c r="E19" s="16">
        <v>45992</v>
      </c>
      <c r="F19">
        <f>SUMIFS(Table1[Revenue_INR],Table1[Team],"Sales",Table1[Month],E19)</f>
        <v>565700</v>
      </c>
      <c r="H19" s="11" t="s">
        <v>23</v>
      </c>
      <c r="I19" s="12">
        <f>COUNTIFS(Table1[Status],"Lost",Table1[Lead_Source],summary!H19)</f>
        <v>42</v>
      </c>
      <c r="L19" t="s">
        <v>55</v>
      </c>
      <c r="M19">
        <f>COUNTIFS(Table1[Team],"Sales",Table1[Sales_Stage],summary!L19)</f>
        <v>160</v>
      </c>
    </row>
    <row r="20" spans="1:13" x14ac:dyDescent="0.3">
      <c r="A20" t="s">
        <v>16</v>
      </c>
      <c r="B20">
        <f>COUNTBLANK(Raw_Data!Q2:Q2001)</f>
        <v>0</v>
      </c>
      <c r="E20" s="16">
        <v>46023</v>
      </c>
      <c r="F20">
        <f>SUMIFS(Table1[Revenue_INR],Table1[Team],"Sales",Table1[Month],E20)</f>
        <v>382000</v>
      </c>
      <c r="H20" s="11" t="s">
        <v>54</v>
      </c>
      <c r="I20" s="12">
        <f>COUNTIFS(Table1[Status],"Lost",Table1[Lead_Source],summary!H20)</f>
        <v>23</v>
      </c>
      <c r="L20" t="s">
        <v>67</v>
      </c>
      <c r="M20">
        <f>COUNTIFS(Table1[Team],"Sales",Table1[Sales_Stage],summary!L20)</f>
        <v>152</v>
      </c>
    </row>
    <row r="21" spans="1:13" x14ac:dyDescent="0.3">
      <c r="E21" s="16">
        <v>46054</v>
      </c>
      <c r="F21">
        <f>SUMIFS(Table1[Revenue_INR],Table1[Team],"Sales",Table1[Month],E21)</f>
        <v>448100</v>
      </c>
      <c r="H21" s="11" t="s">
        <v>66</v>
      </c>
      <c r="I21" s="12">
        <f>COUNTIFS(Table1[Status],"Lost",Table1[Lead_Source],summary!H21)</f>
        <v>13</v>
      </c>
      <c r="L21" t="s">
        <v>79</v>
      </c>
      <c r="M21">
        <f>COUNTIFS(Table1[Team],"Sales",Table1[Sales_Stage],summary!L21)</f>
        <v>146</v>
      </c>
    </row>
    <row r="22" spans="1:13" x14ac:dyDescent="0.3">
      <c r="E22" s="16">
        <v>46082</v>
      </c>
      <c r="F22">
        <f>SUMIFS(Table1[Revenue_INR],Table1[Team],"Sales",Table1[Month],E22)</f>
        <v>713700</v>
      </c>
      <c r="H22" s="11" t="s">
        <v>78</v>
      </c>
      <c r="I22" s="12">
        <f>COUNTIFS(Table1[Status],"Lost",Table1[Lead_Source],summary!H22)</f>
        <v>41</v>
      </c>
      <c r="L22" t="s">
        <v>89</v>
      </c>
      <c r="M22">
        <f>COUNTIFS(Table1[Team],"Sales",Table1[Sales_Stage],summary!L22)</f>
        <v>149</v>
      </c>
    </row>
    <row r="23" spans="1:13" x14ac:dyDescent="0.3">
      <c r="E23" s="16">
        <v>46113</v>
      </c>
      <c r="F23">
        <f>SUMIFS(Table1[Revenue_INR],Table1[Team],"Sales",Table1[Month],E23)</f>
        <v>857200</v>
      </c>
      <c r="H23" s="11" t="s">
        <v>86</v>
      </c>
      <c r="I23" s="12">
        <f>COUNTIFS(Table1[Status],"Lost",Table1[Lead_Source],summary!H23)</f>
        <v>27</v>
      </c>
    </row>
    <row r="24" spans="1:13" x14ac:dyDescent="0.3">
      <c r="E24" s="16">
        <v>46143</v>
      </c>
      <c r="F24">
        <f>SUMIFS(Table1[Revenue_INR],Table1[Team],"Sales",Table1[Month],E24)</f>
        <v>379300</v>
      </c>
    </row>
    <row r="25" spans="1:13" x14ac:dyDescent="0.3">
      <c r="E25" s="16">
        <v>46174</v>
      </c>
      <c r="F25">
        <f>SUMIFS(Table1[Revenue_INR],Table1[Team],"Sales",Table1[Month],E25)</f>
        <v>383100</v>
      </c>
    </row>
    <row r="26" spans="1:13" x14ac:dyDescent="0.3">
      <c r="E26" s="16">
        <v>46204</v>
      </c>
      <c r="F26">
        <f>SUMIFS(Table1[Revenue_INR],Table1[Team],"Sales",Table1[Month],E26)</f>
        <v>1100700</v>
      </c>
    </row>
    <row r="27" spans="1:13" x14ac:dyDescent="0.3">
      <c r="E27" s="16">
        <v>46235</v>
      </c>
      <c r="F27">
        <f>SUMIFS(Table1[Revenue_INR],Table1[Team],"Sales",Table1[Month],E27)</f>
        <v>556300</v>
      </c>
    </row>
    <row r="30" spans="1:13" x14ac:dyDescent="0.3">
      <c r="H30" t="s">
        <v>2735</v>
      </c>
      <c r="I30" t="s">
        <v>2725</v>
      </c>
      <c r="J30" t="s">
        <v>2736</v>
      </c>
      <c r="K30" t="s">
        <v>2737</v>
      </c>
      <c r="L30" t="s">
        <v>2738</v>
      </c>
    </row>
    <row r="31" spans="1:13" x14ac:dyDescent="0.3">
      <c r="H31" t="s">
        <v>27</v>
      </c>
      <c r="I31">
        <f>SUMIFS(Table1[Tickets],Table1[Team],"Support",Table1[Owner],H31)</f>
        <v>98</v>
      </c>
      <c r="J31" s="7">
        <f>AVERAGEIFS(Table1[First_Response_Hours],Table1[Team],"Support",Table1[Owner],H31)</f>
        <v>6.1183673469387765</v>
      </c>
      <c r="K31" s="7">
        <f>AVERAGEIFS(Table1[Resolution_Hours],Table1[Team],"Support",Table1[Owner],H31)</f>
        <v>8.7897959183673464</v>
      </c>
      <c r="L31" s="7">
        <f>AVERAGEIFS(Table1[CSAT],Table1[Team],"Support",Table1[Owner],H31)</f>
        <v>4.0867346938775508</v>
      </c>
    </row>
    <row r="32" spans="1:13" x14ac:dyDescent="0.3">
      <c r="A32" t="s">
        <v>3</v>
      </c>
      <c r="B32" s="11" t="s">
        <v>2731</v>
      </c>
      <c r="H32" t="s">
        <v>33</v>
      </c>
      <c r="I32">
        <f>SUMIFS(Table1[Tickets],Table1[Team],"Support",Table1[Owner],H32)</f>
        <v>111</v>
      </c>
      <c r="J32" s="7">
        <f>AVERAGEIFS(Table1[First_Response_Hours],Table1[Team],"Support",Table1[Owner],H32)</f>
        <v>6.0864864864864829</v>
      </c>
      <c r="K32" s="7">
        <f>AVERAGEIFS(Table1[Resolution_Hours],Table1[Team],"Support",Table1[Owner],H32)</f>
        <v>7.8036036036036007</v>
      </c>
      <c r="L32" s="7">
        <f>AVERAGEIFS(Table1[CSAT],Table1[Team],"Support",Table1[Owner],H32)</f>
        <v>4.0558558558558566</v>
      </c>
    </row>
    <row r="33" spans="1:12" x14ac:dyDescent="0.3">
      <c r="A33" t="str">
        <f>[1]summary!J10</f>
        <v>Ishita</v>
      </c>
      <c r="B33">
        <f>SUMIFS(Table1[Revenue_INR],Table1[Team],"Sales",Table1[Owner],Table5[[#This Row],[Owner]])</f>
        <v>1049400</v>
      </c>
      <c r="H33" t="s">
        <v>36</v>
      </c>
      <c r="I33">
        <f>SUMIFS(Table1[Tickets],Table1[Team],"Support",Table1[Owner],H33)</f>
        <v>106</v>
      </c>
      <c r="J33" s="7">
        <f>AVERAGEIFS(Table1[First_Response_Hours],Table1[Team],"Support",Table1[Owner],H33)</f>
        <v>6.0452830188679263</v>
      </c>
      <c r="K33" s="7">
        <f>AVERAGEIFS(Table1[Resolution_Hours],Table1[Team],"Support",Table1[Owner],H33)</f>
        <v>8.950943396226414</v>
      </c>
      <c r="L33" s="7">
        <f>AVERAGEIFS(Table1[CSAT],Table1[Team],"Support",Table1[Owner],H33)</f>
        <v>4.0283018867924554</v>
      </c>
    </row>
    <row r="34" spans="1:12" x14ac:dyDescent="0.3">
      <c r="A34" t="str">
        <f>[1]summary!J11</f>
        <v>Aarav</v>
      </c>
      <c r="B34">
        <f>SUMIFS(Table1[Revenue_INR],Table1[Team],"Sales",Table1[Owner],Table5[[#This Row],[Owner]])</f>
        <v>746200</v>
      </c>
      <c r="H34" t="s">
        <v>69</v>
      </c>
      <c r="I34">
        <f>SUMIFS(Table1[Tickets],Table1[Team],"Support",Table1[Owner],H34)</f>
        <v>115</v>
      </c>
      <c r="J34" s="7">
        <f>AVERAGEIFS(Table1[First_Response_Hours],Table1[Team],"Support",Table1[Owner],H34)</f>
        <v>5.7382608695652175</v>
      </c>
      <c r="K34" s="7">
        <f>AVERAGEIFS(Table1[Resolution_Hours],Table1[Team],"Support",Table1[Owner],H34)</f>
        <v>8.8373913043478272</v>
      </c>
      <c r="L34" s="7">
        <f>AVERAGEIFS(Table1[CSAT],Table1[Team],"Support",Table1[Owner],H34)</f>
        <v>4.1573913043478266</v>
      </c>
    </row>
    <row r="35" spans="1:12" x14ac:dyDescent="0.3">
      <c r="A35" t="str">
        <f>[1]summary!J12</f>
        <v>Nisha</v>
      </c>
      <c r="B35">
        <f>SUMIFS(Table1[Revenue_INR],Table1[Team],"Sales",Table1[Owner],Table5[[#This Row],[Owner]])</f>
        <v>894100</v>
      </c>
      <c r="H35" t="s">
        <v>72</v>
      </c>
      <c r="I35">
        <f>SUMIFS(Table1[Tickets],Table1[Team],"Support",Table1[Owner],H35)</f>
        <v>109</v>
      </c>
      <c r="J35" s="7">
        <f>AVERAGEIFS(Table1[First_Response_Hours],Table1[Team],"Support",Table1[Owner],H35)</f>
        <v>5.8522935779816505</v>
      </c>
      <c r="K35" s="7">
        <f>AVERAGEIFS(Table1[Resolution_Hours],Table1[Team],"Support",Table1[Owner],H35)</f>
        <v>9.1247706422018364</v>
      </c>
      <c r="L35" s="7">
        <f>AVERAGEIFS(Table1[CSAT],Table1[Team],"Support",Table1[Owner],H35)</f>
        <v>4.1110091743119259</v>
      </c>
    </row>
    <row r="36" spans="1:12" x14ac:dyDescent="0.3">
      <c r="A36" t="str">
        <f>[1]summary!J13</f>
        <v>Diya</v>
      </c>
      <c r="B36">
        <f>SUMIFS(Table1[Revenue_INR],Table1[Team],"Sales",Table1[Owner],Table5[[#This Row],[Owner]])</f>
        <v>1069600</v>
      </c>
      <c r="H36" t="s">
        <v>114</v>
      </c>
      <c r="I36">
        <f>SUMIFS(Table1[Tickets],Table1[Team],"Support",Table1[Owner],H36)</f>
        <v>125</v>
      </c>
      <c r="J36" s="7">
        <f>AVERAGEIFS(Table1[First_Response_Hours],Table1[Team],"Support",Table1[Owner],H36)</f>
        <v>6.0760000000000023</v>
      </c>
      <c r="K36" s="7">
        <f>AVERAGEIFS(Table1[Resolution_Hours],Table1[Team],"Support",Table1[Owner],H36)</f>
        <v>8.2144000000000066</v>
      </c>
      <c r="L36" s="7">
        <f>AVERAGEIFS(Table1[CSAT],Table1[Team],"Support",Table1[Owner],H36)</f>
        <v>3.970400000000001</v>
      </c>
    </row>
    <row r="37" spans="1:12" x14ac:dyDescent="0.3">
      <c r="A37" t="str">
        <f>[1]summary!J14</f>
        <v>Kabir</v>
      </c>
      <c r="B37">
        <f>SUMIFS(Table1[Revenue_INR],Table1[Team],"Sales",Table1[Owner],Table5[[#This Row],[Owner]])</f>
        <v>1308200</v>
      </c>
      <c r="H37" t="s">
        <v>126</v>
      </c>
      <c r="I37">
        <f>SUMIFS(Table1[Tickets],Table1[Team],"Support",Table1[Owner],H37)</f>
        <v>114</v>
      </c>
      <c r="J37" s="7">
        <f>AVERAGEIFS(Table1[First_Response_Hours],Table1[Team],"Support",Table1[Owner],H37)</f>
        <v>6.2087719298245618</v>
      </c>
      <c r="K37" s="7">
        <f>AVERAGEIFS(Table1[Resolution_Hours],Table1[Team],"Support",Table1[Owner],H37)</f>
        <v>9.0228070175438617</v>
      </c>
      <c r="L37" s="7">
        <f>AVERAGEIFS(Table1[CSAT],Table1[Team],"Support",Table1[Owner],H37)</f>
        <v>4.0543859649122798</v>
      </c>
    </row>
    <row r="38" spans="1:12" x14ac:dyDescent="0.3">
      <c r="A38" t="str">
        <f>[1]summary!J15</f>
        <v>Meera</v>
      </c>
      <c r="B38">
        <f>SUMIFS(Table1[Revenue_INR],Table1[Team],"Sales",Table1[Owner],Table5[[#This Row],[Owner]])</f>
        <v>617000</v>
      </c>
      <c r="H38" t="s">
        <v>232</v>
      </c>
      <c r="I38">
        <f>SUMIFS(Table1[Tickets],Table1[Team],"Support",Table1[Owner],H38)</f>
        <v>133</v>
      </c>
      <c r="J38" s="7">
        <f>AVERAGEIFS(Table1[First_Response_Hours],Table1[Team],"Support",Table1[Owner],H38)</f>
        <v>5.9045112781954883</v>
      </c>
      <c r="K38" s="7">
        <f>AVERAGEIFS(Table1[Resolution_Hours],Table1[Team],"Support",Table1[Owner],H38)</f>
        <v>9.3646616541353342</v>
      </c>
      <c r="L38" s="7">
        <f>AVERAGEIFS(Table1[CSAT],Table1[Team],"Support",Table1[Owner],H38)</f>
        <v>3.9037593984962382</v>
      </c>
    </row>
    <row r="39" spans="1:12" x14ac:dyDescent="0.3">
      <c r="A39" t="str">
        <f>[1]summary!J16</f>
        <v>Arjun</v>
      </c>
      <c r="B39">
        <f>SUMIFS(Table1[Revenue_INR],Table1[Team],"Sales",Table1[Owner],Table5[[#This Row],[Owner]])</f>
        <v>587800</v>
      </c>
    </row>
    <row r="40" spans="1:12" x14ac:dyDescent="0.3">
      <c r="A40" t="str">
        <f>[1]summary!J17</f>
        <v>Rohan</v>
      </c>
      <c r="B40">
        <f>SUMIFS(Table1[Revenue_INR],Table1[Team],"Sales",Table1[Owner],Table5[[#This Row],[Owner]])</f>
        <v>563200</v>
      </c>
    </row>
    <row r="52" spans="1:1" x14ac:dyDescent="0.3">
      <c r="A52" t="str" cm="1">
        <f t="array" ref="A52:A59">_xlfn.UNIQUE(_xlfn._xlws.FILTER(Table1[Owner],Table1[Team]="Sales"))</f>
        <v>Ishita</v>
      </c>
    </row>
    <row r="53" spans="1:1" x14ac:dyDescent="0.3">
      <c r="A53" t="str">
        <v>Aarav</v>
      </c>
    </row>
    <row r="54" spans="1:1" x14ac:dyDescent="0.3">
      <c r="A54" t="str">
        <v>Nisha</v>
      </c>
    </row>
    <row r="55" spans="1:1" x14ac:dyDescent="0.3">
      <c r="A55" t="str">
        <v>Diya</v>
      </c>
    </row>
    <row r="56" spans="1:1" x14ac:dyDescent="0.3">
      <c r="A56" t="str">
        <v>Kabir</v>
      </c>
    </row>
    <row r="57" spans="1:1" x14ac:dyDescent="0.3">
      <c r="A57" t="str">
        <v>Meera</v>
      </c>
    </row>
    <row r="58" spans="1:1" x14ac:dyDescent="0.3">
      <c r="A58" t="str">
        <v>Arjun</v>
      </c>
    </row>
    <row r="59" spans="1:1" x14ac:dyDescent="0.3">
      <c r="A59" t="str">
        <v>Rohan</v>
      </c>
    </row>
  </sheetData>
  <mergeCells count="4">
    <mergeCell ref="H17:I18"/>
    <mergeCell ref="A1:B2"/>
    <mergeCell ref="E1:F2"/>
    <mergeCell ref="H1:I2"/>
  </mergeCells>
  <pageMargins left="0.7" right="0.7" top="0.75" bottom="0.75" header="0.3" footer="0.3"/>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9E52E-92C7-4663-BED0-9046809ED77F}">
  <dimension ref="A1:Q38"/>
  <sheetViews>
    <sheetView showGridLines="0" zoomScale="81" zoomScaleNormal="75" workbookViewId="0">
      <selection activeCell="G4" sqref="G4:G5"/>
    </sheetView>
  </sheetViews>
  <sheetFormatPr defaultRowHeight="14.4" x14ac:dyDescent="0.3"/>
  <cols>
    <col min="1" max="1" width="22.5546875" customWidth="1"/>
    <col min="2" max="2" width="2.21875" customWidth="1"/>
    <col min="3" max="3" width="21.33203125" customWidth="1"/>
    <col min="4" max="4" width="2.109375" customWidth="1"/>
    <col min="5" max="5" width="21.33203125" customWidth="1"/>
    <col min="6" max="6" width="1.77734375" customWidth="1"/>
    <col min="7" max="7" width="21.33203125" customWidth="1"/>
    <col min="8" max="8" width="2.6640625" customWidth="1"/>
    <col min="9" max="9" width="21.5546875" customWidth="1"/>
  </cols>
  <sheetData>
    <row r="1" spans="1:17" ht="23.4" customHeight="1" x14ac:dyDescent="0.3">
      <c r="A1" s="52" t="s">
        <v>2739</v>
      </c>
      <c r="B1" s="53"/>
      <c r="C1" s="53"/>
      <c r="D1" s="53"/>
      <c r="E1" s="53"/>
      <c r="F1" s="53"/>
      <c r="G1" s="53"/>
      <c r="H1" s="53"/>
      <c r="I1" s="53"/>
      <c r="J1" s="53"/>
      <c r="K1" s="53"/>
      <c r="L1" s="53"/>
      <c r="M1" s="53"/>
      <c r="N1" s="53"/>
      <c r="O1" s="53"/>
      <c r="P1" s="53"/>
      <c r="Q1" s="54"/>
    </row>
    <row r="2" spans="1:17" ht="14.4" customHeight="1" thickBot="1" x14ac:dyDescent="0.35">
      <c r="A2" s="55"/>
      <c r="B2" s="56"/>
      <c r="C2" s="56"/>
      <c r="D2" s="56"/>
      <c r="E2" s="56"/>
      <c r="F2" s="56"/>
      <c r="G2" s="56"/>
      <c r="H2" s="56"/>
      <c r="I2" s="56"/>
      <c r="J2" s="56"/>
      <c r="K2" s="56"/>
      <c r="L2" s="56"/>
      <c r="M2" s="56"/>
      <c r="N2" s="56"/>
      <c r="O2" s="56"/>
      <c r="P2" s="56"/>
      <c r="Q2" s="57"/>
    </row>
    <row r="3" spans="1:17" ht="16.2" thickBot="1" x14ac:dyDescent="0.35">
      <c r="A3" s="27" t="s">
        <v>2740</v>
      </c>
      <c r="C3" s="27" t="s">
        <v>2741</v>
      </c>
      <c r="E3" s="27" t="s">
        <v>2742</v>
      </c>
      <c r="G3" s="27" t="s">
        <v>2743</v>
      </c>
      <c r="I3" s="27" t="s">
        <v>2748</v>
      </c>
    </row>
    <row r="4" spans="1:17" ht="21" customHeight="1" x14ac:dyDescent="0.3">
      <c r="A4" s="25">
        <f>summary!F6</f>
        <v>6835500</v>
      </c>
      <c r="C4" s="58">
        <f>summary!F7</f>
        <v>0.21763085399449036</v>
      </c>
      <c r="E4" s="60">
        <f>summary!F4</f>
        <v>237</v>
      </c>
      <c r="G4" s="62">
        <f>summary!I4</f>
        <v>6.000439077936341</v>
      </c>
      <c r="I4" s="64">
        <f>summary!I6</f>
        <v>4.0412733260153715</v>
      </c>
    </row>
    <row r="5" spans="1:17" ht="14.4" customHeight="1" thickBot="1" x14ac:dyDescent="0.35">
      <c r="A5" s="26"/>
      <c r="C5" s="59"/>
      <c r="E5" s="61"/>
      <c r="G5" s="63"/>
      <c r="I5" s="65"/>
    </row>
    <row r="33" spans="1:17" ht="15.6" x14ac:dyDescent="0.3">
      <c r="A33" s="67" t="s">
        <v>2744</v>
      </c>
      <c r="B33" s="68"/>
      <c r="C33" s="68"/>
      <c r="D33" s="68"/>
      <c r="E33" s="68"/>
      <c r="F33" s="68"/>
      <c r="G33" s="68"/>
      <c r="H33" s="68"/>
      <c r="I33" s="68"/>
      <c r="J33" s="68"/>
      <c r="K33" s="68"/>
      <c r="L33" s="68"/>
      <c r="M33" s="68"/>
      <c r="N33" s="68"/>
      <c r="O33" s="68"/>
      <c r="P33" s="68"/>
      <c r="Q33" s="68"/>
    </row>
    <row r="34" spans="1:17" ht="14.4" customHeight="1" x14ac:dyDescent="0.3">
      <c r="A34" s="66" t="s">
        <v>2749</v>
      </c>
      <c r="B34" s="66"/>
      <c r="C34" s="66"/>
      <c r="D34" s="66"/>
      <c r="E34" s="66"/>
      <c r="F34" s="66"/>
      <c r="G34" s="66"/>
      <c r="H34" s="66"/>
      <c r="I34" s="66"/>
      <c r="J34" s="66"/>
      <c r="K34" s="66"/>
      <c r="L34" s="66"/>
      <c r="M34" s="66"/>
      <c r="N34" s="66"/>
      <c r="O34" s="66"/>
      <c r="P34" s="66"/>
      <c r="Q34" s="66"/>
    </row>
    <row r="35" spans="1:17" ht="14.4" customHeight="1" x14ac:dyDescent="0.3">
      <c r="A35" s="66" t="s">
        <v>2750</v>
      </c>
      <c r="B35" s="66"/>
      <c r="C35" s="66"/>
      <c r="D35" s="66"/>
      <c r="E35" s="66"/>
      <c r="F35" s="66"/>
      <c r="G35" s="66"/>
      <c r="H35" s="66"/>
      <c r="I35" s="66"/>
      <c r="J35" s="66"/>
      <c r="K35" s="66"/>
      <c r="L35" s="66"/>
      <c r="M35" s="66"/>
      <c r="N35" s="66"/>
      <c r="O35" s="66"/>
      <c r="P35" s="66"/>
      <c r="Q35" s="66"/>
    </row>
    <row r="36" spans="1:17" ht="14.4" customHeight="1" x14ac:dyDescent="0.3">
      <c r="A36" s="66" t="s">
        <v>2751</v>
      </c>
      <c r="B36" s="66"/>
      <c r="C36" s="66"/>
      <c r="D36" s="66"/>
      <c r="E36" s="66"/>
      <c r="F36" s="66"/>
      <c r="G36" s="66"/>
      <c r="H36" s="66"/>
      <c r="I36" s="66"/>
      <c r="J36" s="66"/>
      <c r="K36" s="66"/>
      <c r="L36" s="66"/>
      <c r="M36" s="66"/>
      <c r="N36" s="66"/>
      <c r="O36" s="66"/>
      <c r="P36" s="66"/>
      <c r="Q36" s="66"/>
    </row>
    <row r="37" spans="1:17" ht="14.4" customHeight="1" x14ac:dyDescent="0.3">
      <c r="A37" s="66" t="s">
        <v>2752</v>
      </c>
      <c r="B37" s="66"/>
      <c r="C37" s="66"/>
      <c r="D37" s="66"/>
      <c r="E37" s="66"/>
      <c r="F37" s="66"/>
      <c r="G37" s="66"/>
      <c r="H37" s="66"/>
      <c r="I37" s="66"/>
      <c r="J37" s="66"/>
      <c r="K37" s="66"/>
      <c r="L37" s="66"/>
      <c r="M37" s="66"/>
      <c r="N37" s="66"/>
      <c r="O37" s="66"/>
      <c r="P37" s="66"/>
      <c r="Q37" s="66"/>
    </row>
    <row r="38" spans="1:17" ht="14.4" customHeight="1" x14ac:dyDescent="0.3">
      <c r="A38" s="66" t="s">
        <v>2753</v>
      </c>
      <c r="B38" s="66"/>
      <c r="C38" s="66"/>
      <c r="D38" s="66"/>
      <c r="E38" s="66"/>
      <c r="F38" s="66"/>
      <c r="G38" s="66"/>
      <c r="H38" s="66"/>
      <c r="I38" s="66"/>
      <c r="J38" s="66"/>
      <c r="K38" s="66"/>
      <c r="L38" s="66"/>
      <c r="M38" s="66"/>
      <c r="N38" s="66"/>
      <c r="O38" s="66"/>
      <c r="P38" s="66"/>
      <c r="Q38" s="66"/>
    </row>
  </sheetData>
  <mergeCells count="11">
    <mergeCell ref="A38:Q38"/>
    <mergeCell ref="A33:Q33"/>
    <mergeCell ref="A34:Q34"/>
    <mergeCell ref="A35:Q35"/>
    <mergeCell ref="A36:Q36"/>
    <mergeCell ref="A37:Q37"/>
    <mergeCell ref="A1:Q2"/>
    <mergeCell ref="C4:C5"/>
    <mergeCell ref="E4:E5"/>
    <mergeCell ref="G4:G5"/>
    <mergeCell ref="I4:I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59DE-A79F-49F1-9D3F-85662C91DCB6}">
  <dimension ref="A5:L54"/>
  <sheetViews>
    <sheetView topLeftCell="A24" zoomScale="90" workbookViewId="0">
      <selection activeCell="H24" sqref="H24"/>
    </sheetView>
  </sheetViews>
  <sheetFormatPr defaultRowHeight="14.4" x14ac:dyDescent="0.3"/>
  <cols>
    <col min="1" max="1" width="13.44140625" bestFit="1" customWidth="1"/>
    <col min="2" max="2" width="19.88671875" bestFit="1" customWidth="1"/>
    <col min="3" max="3" width="12.44140625" bestFit="1" customWidth="1"/>
    <col min="4" max="4" width="15.44140625" bestFit="1" customWidth="1"/>
    <col min="6" max="6" width="13.44140625" bestFit="1" customWidth="1"/>
    <col min="7" max="7" width="19.88671875" bestFit="1" customWidth="1"/>
    <col min="10" max="10" width="15.5546875" bestFit="1" customWidth="1"/>
    <col min="11" max="11" width="12.44140625" bestFit="1" customWidth="1"/>
    <col min="12" max="12" width="22" bestFit="1" customWidth="1"/>
  </cols>
  <sheetData>
    <row r="5" spans="1:12" x14ac:dyDescent="0.3">
      <c r="A5" s="28" t="s">
        <v>2754</v>
      </c>
      <c r="B5" t="s">
        <v>2756</v>
      </c>
      <c r="C5" t="s">
        <v>2757</v>
      </c>
      <c r="F5" s="28" t="s">
        <v>2754</v>
      </c>
      <c r="G5" t="s">
        <v>2756</v>
      </c>
      <c r="J5" s="28" t="s">
        <v>2754</v>
      </c>
      <c r="K5" t="s">
        <v>2757</v>
      </c>
      <c r="L5" t="s">
        <v>2771</v>
      </c>
    </row>
    <row r="6" spans="1:12" x14ac:dyDescent="0.3">
      <c r="A6" s="29" t="s">
        <v>41</v>
      </c>
      <c r="B6" s="7">
        <v>746200</v>
      </c>
      <c r="C6" s="9">
        <v>139</v>
      </c>
      <c r="F6" s="29" t="s">
        <v>2758</v>
      </c>
      <c r="G6" s="7">
        <v>857200</v>
      </c>
      <c r="J6" s="29" t="s">
        <v>89</v>
      </c>
      <c r="K6" s="9">
        <v>149</v>
      </c>
      <c r="L6" s="7">
        <v>3788700</v>
      </c>
    </row>
    <row r="7" spans="1:12" x14ac:dyDescent="0.3">
      <c r="A7" s="29" t="s">
        <v>114</v>
      </c>
      <c r="B7" s="7">
        <v>0</v>
      </c>
      <c r="C7" s="9">
        <v>0</v>
      </c>
      <c r="F7" s="29" t="s">
        <v>2759</v>
      </c>
      <c r="G7" s="7">
        <v>556300</v>
      </c>
      <c r="J7" s="29" t="s">
        <v>79</v>
      </c>
      <c r="K7" s="9">
        <v>146</v>
      </c>
      <c r="L7" s="7">
        <v>4716000</v>
      </c>
    </row>
    <row r="8" spans="1:12" x14ac:dyDescent="0.3">
      <c r="A8" s="29" t="s">
        <v>126</v>
      </c>
      <c r="B8" s="7">
        <v>0</v>
      </c>
      <c r="C8" s="9">
        <v>0</v>
      </c>
      <c r="F8" s="29" t="s">
        <v>2760</v>
      </c>
      <c r="G8" s="7">
        <v>565700</v>
      </c>
      <c r="J8" s="29" t="s">
        <v>67</v>
      </c>
      <c r="K8" s="9">
        <v>152</v>
      </c>
      <c r="L8" s="7">
        <v>4375800</v>
      </c>
    </row>
    <row r="9" spans="1:12" x14ac:dyDescent="0.3">
      <c r="A9" s="29" t="s">
        <v>105</v>
      </c>
      <c r="B9" s="7">
        <v>587800</v>
      </c>
      <c r="C9" s="9">
        <v>122</v>
      </c>
      <c r="F9" s="29" t="s">
        <v>2761</v>
      </c>
      <c r="G9" s="7">
        <v>448100</v>
      </c>
      <c r="J9" s="29" t="s">
        <v>45</v>
      </c>
      <c r="K9" s="9">
        <v>245</v>
      </c>
      <c r="L9" s="7">
        <v>7294400</v>
      </c>
    </row>
    <row r="10" spans="1:12" x14ac:dyDescent="0.3">
      <c r="A10" s="29" t="s">
        <v>52</v>
      </c>
      <c r="B10" s="7">
        <v>1069600</v>
      </c>
      <c r="C10" s="9">
        <v>145</v>
      </c>
      <c r="F10" s="29" t="s">
        <v>2762</v>
      </c>
      <c r="G10" s="7">
        <v>382000</v>
      </c>
      <c r="J10" s="29" t="s">
        <v>55</v>
      </c>
      <c r="K10" s="9">
        <v>160</v>
      </c>
      <c r="L10" s="7">
        <v>4598800</v>
      </c>
    </row>
    <row r="11" spans="1:12" x14ac:dyDescent="0.3">
      <c r="A11" s="29" t="s">
        <v>19</v>
      </c>
      <c r="B11" s="7">
        <v>1049400</v>
      </c>
      <c r="C11" s="9">
        <v>166</v>
      </c>
      <c r="F11" s="29" t="s">
        <v>2763</v>
      </c>
      <c r="G11" s="7">
        <v>1100700</v>
      </c>
      <c r="J11" s="29" t="s">
        <v>24</v>
      </c>
      <c r="K11" s="9">
        <v>237</v>
      </c>
      <c r="L11" s="7">
        <v>6835500</v>
      </c>
    </row>
    <row r="12" spans="1:12" x14ac:dyDescent="0.3">
      <c r="A12" s="29" t="s">
        <v>64</v>
      </c>
      <c r="B12" s="7">
        <v>1308200</v>
      </c>
      <c r="C12" s="9">
        <v>123</v>
      </c>
      <c r="F12" s="29" t="s">
        <v>2764</v>
      </c>
      <c r="G12" s="7">
        <v>383100</v>
      </c>
      <c r="J12" s="29" t="s">
        <v>2770</v>
      </c>
      <c r="K12" s="9">
        <v>0</v>
      </c>
      <c r="L12" s="7">
        <v>0</v>
      </c>
    </row>
    <row r="13" spans="1:12" x14ac:dyDescent="0.3">
      <c r="A13" s="29" t="s">
        <v>36</v>
      </c>
      <c r="B13" s="7">
        <v>0</v>
      </c>
      <c r="C13" s="9">
        <v>0</v>
      </c>
      <c r="F13" s="29" t="s">
        <v>2765</v>
      </c>
      <c r="G13" s="7">
        <v>713700</v>
      </c>
      <c r="J13" s="29" t="s">
        <v>2755</v>
      </c>
      <c r="K13" s="9">
        <v>1089</v>
      </c>
      <c r="L13" s="7">
        <v>31609200</v>
      </c>
    </row>
    <row r="14" spans="1:12" x14ac:dyDescent="0.3">
      <c r="A14" s="29" t="s">
        <v>95</v>
      </c>
      <c r="B14" s="7">
        <v>617000</v>
      </c>
      <c r="C14" s="9">
        <v>131</v>
      </c>
      <c r="F14" s="29" t="s">
        <v>2766</v>
      </c>
      <c r="G14" s="7">
        <v>379300</v>
      </c>
    </row>
    <row r="15" spans="1:12" x14ac:dyDescent="0.3">
      <c r="A15" s="29" t="s">
        <v>47</v>
      </c>
      <c r="B15" s="7">
        <v>894100</v>
      </c>
      <c r="C15" s="9">
        <v>141</v>
      </c>
      <c r="F15" s="29" t="s">
        <v>2767</v>
      </c>
      <c r="G15" s="7">
        <v>709100</v>
      </c>
    </row>
    <row r="16" spans="1:12" x14ac:dyDescent="0.3">
      <c r="A16" s="29" t="s">
        <v>33</v>
      </c>
      <c r="B16" s="7">
        <v>0</v>
      </c>
      <c r="C16" s="9">
        <v>0</v>
      </c>
      <c r="F16" s="29" t="s">
        <v>2768</v>
      </c>
      <c r="G16" s="7">
        <v>544000</v>
      </c>
    </row>
    <row r="17" spans="1:7" x14ac:dyDescent="0.3">
      <c r="A17" s="29" t="s">
        <v>232</v>
      </c>
      <c r="B17" s="7">
        <v>0</v>
      </c>
      <c r="C17" s="9">
        <v>0</v>
      </c>
      <c r="F17" s="29" t="s">
        <v>2769</v>
      </c>
      <c r="G17" s="7">
        <v>196300</v>
      </c>
    </row>
    <row r="18" spans="1:7" x14ac:dyDescent="0.3">
      <c r="A18" s="29" t="s">
        <v>69</v>
      </c>
      <c r="B18" s="7">
        <v>0</v>
      </c>
      <c r="C18" s="9">
        <v>0</v>
      </c>
      <c r="F18" s="29" t="s">
        <v>2755</v>
      </c>
      <c r="G18" s="7">
        <v>6835500</v>
      </c>
    </row>
    <row r="19" spans="1:7" x14ac:dyDescent="0.3">
      <c r="A19" s="29" t="s">
        <v>117</v>
      </c>
      <c r="B19" s="7">
        <v>563200</v>
      </c>
      <c r="C19" s="9">
        <v>122</v>
      </c>
    </row>
    <row r="20" spans="1:7" x14ac:dyDescent="0.3">
      <c r="A20" s="29" t="s">
        <v>27</v>
      </c>
      <c r="B20" s="7">
        <v>0</v>
      </c>
      <c r="C20" s="9">
        <v>0</v>
      </c>
    </row>
    <row r="21" spans="1:7" x14ac:dyDescent="0.3">
      <c r="A21" s="29" t="s">
        <v>72</v>
      </c>
      <c r="B21" s="7">
        <v>0</v>
      </c>
      <c r="C21" s="9">
        <v>0</v>
      </c>
    </row>
    <row r="22" spans="1:7" x14ac:dyDescent="0.3">
      <c r="A22" s="29" t="s">
        <v>2755</v>
      </c>
      <c r="B22" s="7">
        <v>6835500</v>
      </c>
      <c r="C22" s="9">
        <v>1089</v>
      </c>
    </row>
    <row r="30" spans="1:7" x14ac:dyDescent="0.3">
      <c r="A30" s="28" t="s">
        <v>2754</v>
      </c>
      <c r="B30" t="s">
        <v>2772</v>
      </c>
      <c r="C30" t="s">
        <v>2774</v>
      </c>
      <c r="D30" t="s">
        <v>2773</v>
      </c>
    </row>
    <row r="31" spans="1:7" x14ac:dyDescent="0.3">
      <c r="A31" s="29" t="s">
        <v>31</v>
      </c>
      <c r="B31">
        <v>218</v>
      </c>
      <c r="C31" s="7">
        <v>5.8146788990825691</v>
      </c>
      <c r="D31">
        <v>4.0444954128440367</v>
      </c>
    </row>
    <row r="32" spans="1:7" x14ac:dyDescent="0.3">
      <c r="A32" s="29" t="s">
        <v>89</v>
      </c>
      <c r="C32" s="7">
        <v>11.850335570469799</v>
      </c>
    </row>
    <row r="33" spans="1:4" x14ac:dyDescent="0.3">
      <c r="A33" s="29" t="s">
        <v>225</v>
      </c>
      <c r="B33">
        <v>92</v>
      </c>
      <c r="C33" s="7">
        <v>5.2945652173913036</v>
      </c>
      <c r="D33">
        <v>4.011956521739128</v>
      </c>
    </row>
    <row r="34" spans="1:4" x14ac:dyDescent="0.3">
      <c r="A34" s="29" t="s">
        <v>79</v>
      </c>
      <c r="C34" s="7">
        <v>12.088356164383558</v>
      </c>
    </row>
    <row r="35" spans="1:4" x14ac:dyDescent="0.3">
      <c r="A35" s="29" t="s">
        <v>67</v>
      </c>
      <c r="C35" s="7">
        <v>12.692763157894738</v>
      </c>
    </row>
    <row r="36" spans="1:4" x14ac:dyDescent="0.3">
      <c r="A36" s="29" t="s">
        <v>62</v>
      </c>
      <c r="B36">
        <v>156</v>
      </c>
      <c r="C36" s="7">
        <v>5.9692307692307676</v>
      </c>
      <c r="D36">
        <v>4.0371794871794879</v>
      </c>
    </row>
    <row r="37" spans="1:4" x14ac:dyDescent="0.3">
      <c r="A37" s="29" t="s">
        <v>45</v>
      </c>
      <c r="C37" s="7">
        <v>12.313061224489786</v>
      </c>
    </row>
    <row r="38" spans="1:4" x14ac:dyDescent="0.3">
      <c r="A38" s="29" t="s">
        <v>55</v>
      </c>
      <c r="C38" s="7">
        <v>12.164374999999991</v>
      </c>
    </row>
    <row r="39" spans="1:4" x14ac:dyDescent="0.3">
      <c r="A39" s="29" t="s">
        <v>39</v>
      </c>
      <c r="B39">
        <v>445</v>
      </c>
      <c r="C39" s="7">
        <v>6.248314606741574</v>
      </c>
      <c r="D39">
        <v>4.047191011235955</v>
      </c>
    </row>
    <row r="40" spans="1:4" x14ac:dyDescent="0.3">
      <c r="A40" s="29" t="s">
        <v>24</v>
      </c>
      <c r="C40" s="7">
        <v>11.827848101265824</v>
      </c>
    </row>
    <row r="41" spans="1:4" x14ac:dyDescent="0.3">
      <c r="A41" s="29" t="s">
        <v>2755</v>
      </c>
      <c r="B41">
        <v>911</v>
      </c>
      <c r="C41" s="7">
        <v>9.3462500000000031</v>
      </c>
      <c r="D41">
        <v>4.0412733260153715</v>
      </c>
    </row>
    <row r="48" spans="1:4" x14ac:dyDescent="0.3">
      <c r="A48" s="28" t="s">
        <v>2754</v>
      </c>
      <c r="B48" t="s">
        <v>2756</v>
      </c>
    </row>
    <row r="49" spans="1:2" x14ac:dyDescent="0.3">
      <c r="A49" s="29" t="s">
        <v>20</v>
      </c>
      <c r="B49" s="7">
        <v>3220200</v>
      </c>
    </row>
    <row r="50" spans="1:2" x14ac:dyDescent="0.3">
      <c r="A50" s="29" t="s">
        <v>42</v>
      </c>
      <c r="B50" s="7">
        <v>703600</v>
      </c>
    </row>
    <row r="51" spans="1:2" x14ac:dyDescent="0.3">
      <c r="A51" s="29" t="s">
        <v>48</v>
      </c>
      <c r="B51" s="7">
        <v>1721100</v>
      </c>
    </row>
    <row r="52" spans="1:2" x14ac:dyDescent="0.3">
      <c r="A52" s="29" t="s">
        <v>37</v>
      </c>
      <c r="B52" s="7">
        <v>358800</v>
      </c>
    </row>
    <row r="53" spans="1:2" x14ac:dyDescent="0.3">
      <c r="A53" s="29" t="s">
        <v>28</v>
      </c>
      <c r="B53" s="7">
        <v>831800</v>
      </c>
    </row>
    <row r="54" spans="1:2" x14ac:dyDescent="0.3">
      <c r="A54" s="29" t="s">
        <v>2755</v>
      </c>
      <c r="B54" s="7">
        <v>6835500</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2009-DE6F-442C-B776-1F0709E81FF2}">
  <dimension ref="A1:Q9"/>
  <sheetViews>
    <sheetView showGridLines="0" zoomScale="91" workbookViewId="0">
      <selection activeCell="T9" sqref="T9"/>
    </sheetView>
  </sheetViews>
  <sheetFormatPr defaultRowHeight="14.4" x14ac:dyDescent="0.3"/>
  <cols>
    <col min="1" max="1" width="12.109375" bestFit="1" customWidth="1"/>
    <col min="4" max="4" width="11" customWidth="1"/>
    <col min="6" max="6" width="10.44140625" customWidth="1"/>
    <col min="9" max="9" width="4.6640625" customWidth="1"/>
  </cols>
  <sheetData>
    <row r="1" spans="1:17" x14ac:dyDescent="0.3">
      <c r="A1" s="52" t="s">
        <v>2739</v>
      </c>
      <c r="B1" s="53"/>
      <c r="C1" s="53"/>
      <c r="D1" s="53"/>
      <c r="E1" s="53"/>
      <c r="F1" s="53"/>
      <c r="G1" s="53"/>
      <c r="H1" s="53"/>
      <c r="I1" s="53"/>
      <c r="J1" s="53"/>
      <c r="K1" s="53"/>
      <c r="L1" s="53"/>
      <c r="M1" s="53"/>
      <c r="N1" s="53"/>
      <c r="O1" s="53"/>
      <c r="P1" s="53"/>
      <c r="Q1" s="54"/>
    </row>
    <row r="2" spans="1:17" ht="15" thickBot="1" x14ac:dyDescent="0.35">
      <c r="A2" s="55"/>
      <c r="B2" s="56"/>
      <c r="C2" s="56"/>
      <c r="D2" s="56"/>
      <c r="E2" s="56"/>
      <c r="F2" s="56"/>
      <c r="G2" s="56"/>
      <c r="H2" s="56"/>
      <c r="I2" s="56"/>
      <c r="J2" s="56"/>
      <c r="K2" s="56"/>
      <c r="L2" s="56"/>
      <c r="M2" s="56"/>
      <c r="N2" s="56"/>
      <c r="O2" s="56"/>
      <c r="P2" s="56"/>
      <c r="Q2" s="57"/>
    </row>
    <row r="7" spans="1:17" ht="15" thickBot="1" x14ac:dyDescent="0.35"/>
    <row r="8" spans="1:17" ht="18.600000000000001" thickBot="1" x14ac:dyDescent="0.4">
      <c r="A8" s="77" t="s">
        <v>2722</v>
      </c>
      <c r="B8" s="78"/>
      <c r="C8" s="77" t="s">
        <v>2775</v>
      </c>
      <c r="D8" s="78"/>
      <c r="E8" s="79" t="s">
        <v>2723</v>
      </c>
      <c r="F8" s="80"/>
      <c r="G8" s="79" t="s">
        <v>2728</v>
      </c>
      <c r="H8" s="80"/>
    </row>
    <row r="9" spans="1:17" ht="19.8" customHeight="1" thickBot="1" x14ac:dyDescent="0.45">
      <c r="A9" s="73">
        <f>GETPIVOTDATA("Sum of Revenue_INR",'pivot table'!$A$5)</f>
        <v>6835500</v>
      </c>
      <c r="B9" s="74"/>
      <c r="C9" s="69">
        <f>GETPIVOTDATA("Sum of Deals",'pivot table'!$J$5,"Sales_Stage","Won")</f>
        <v>237</v>
      </c>
      <c r="D9" s="70"/>
      <c r="E9" s="71">
        <f>C9/GETPIVOTDATA("Sum of Deals",'pivot table'!$J$5)</f>
        <v>0.21763085399449036</v>
      </c>
      <c r="F9" s="72"/>
      <c r="G9" s="75">
        <f>GETPIVOTDATA("Average of CSAT",'pivot table'!$A$30)</f>
        <v>4.0412733260153715</v>
      </c>
      <c r="H9" s="76"/>
    </row>
  </sheetData>
  <mergeCells count="9">
    <mergeCell ref="C9:D9"/>
    <mergeCell ref="E9:F9"/>
    <mergeCell ref="A9:B9"/>
    <mergeCell ref="G9:H9"/>
    <mergeCell ref="A1:Q2"/>
    <mergeCell ref="A8:B8"/>
    <mergeCell ref="C8:D8"/>
    <mergeCell ref="E8:F8"/>
    <mergeCell ref="G8:H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0D83-6ACF-4F22-B043-0D8686F7637F}">
  <dimension ref="A1:D25"/>
  <sheetViews>
    <sheetView showGridLines="0" topLeftCell="A2" zoomScale="94" zoomScaleNormal="100" workbookViewId="0">
      <selection activeCell="G5" sqref="G5"/>
    </sheetView>
  </sheetViews>
  <sheetFormatPr defaultRowHeight="14.4" x14ac:dyDescent="0.3"/>
  <cols>
    <col min="1" max="1" width="29.88671875" customWidth="1"/>
    <col min="2" max="2" width="30.77734375" customWidth="1"/>
  </cols>
  <sheetData>
    <row r="1" spans="1:4" ht="34.200000000000003" customHeight="1" x14ac:dyDescent="0.3">
      <c r="A1" s="81" t="s">
        <v>2778</v>
      </c>
      <c r="B1" s="82"/>
    </row>
    <row r="2" spans="1:4" ht="38.4" customHeight="1" x14ac:dyDescent="0.3">
      <c r="A2" s="83" t="s">
        <v>2779</v>
      </c>
      <c r="B2" s="84"/>
    </row>
    <row r="3" spans="1:4" ht="22.2" customHeight="1" x14ac:dyDescent="0.3">
      <c r="A3" s="85" t="s">
        <v>2780</v>
      </c>
      <c r="B3" s="86"/>
    </row>
    <row r="4" spans="1:4" ht="15" thickBot="1" x14ac:dyDescent="0.35">
      <c r="A4" s="31"/>
      <c r="B4" s="30"/>
      <c r="D4" s="31"/>
    </row>
    <row r="5" spans="1:4" ht="21.6" customHeight="1" thickBot="1" x14ac:dyDescent="0.35">
      <c r="A5" s="43" t="s">
        <v>2788</v>
      </c>
      <c r="B5" s="44" t="s">
        <v>17</v>
      </c>
    </row>
    <row r="6" spans="1:4" x14ac:dyDescent="0.3">
      <c r="A6" s="31"/>
      <c r="B6" s="30"/>
    </row>
    <row r="7" spans="1:4" ht="17.399999999999999" customHeight="1" x14ac:dyDescent="0.3">
      <c r="A7" s="87" t="s">
        <v>2781</v>
      </c>
      <c r="B7" s="84"/>
    </row>
    <row r="8" spans="1:4" x14ac:dyDescent="0.3">
      <c r="A8" s="32" t="s">
        <v>3</v>
      </c>
      <c r="B8" s="36" t="str">
        <f>IF($B$5="","Enter Record_ID",IFERROR(VLOOKUP($B$5,cleaned!$A$2:$Q$2001,4,FALSE),"Record ID not found"))</f>
        <v>Ishita</v>
      </c>
    </row>
    <row r="9" spans="1:4" x14ac:dyDescent="0.3">
      <c r="A9" s="33" t="s">
        <v>2</v>
      </c>
      <c r="B9" s="37" t="str">
        <f>IF($B$5="","Enter Record_ID",IFERROR(VLOOKUP($B$5,cleaned!$A$2:$Q$2001,3,FALSE),"Record ID not found"))</f>
        <v>Sales</v>
      </c>
    </row>
    <row r="10" spans="1:4" x14ac:dyDescent="0.3">
      <c r="A10" s="33" t="s">
        <v>4</v>
      </c>
      <c r="B10" s="37" t="str">
        <f>IF($B$5="","Enter Record_ID",IFERROR(VLOOKUP($B$5,cleaned!$A$2:$Q$2001,5,FALSE),"Record ID not found"))</f>
        <v>India</v>
      </c>
    </row>
    <row r="11" spans="1:4" x14ac:dyDescent="0.3">
      <c r="A11" s="33" t="s">
        <v>5</v>
      </c>
      <c r="B11" s="37" t="str">
        <f>IF($B$5="","Enter Record_ID",IFERROR(VLOOKUP($B$5,cleaned!$A$2:$Q$2001,6,FALSE),"Record ID not found"))</f>
        <v>Customer 220</v>
      </c>
    </row>
    <row r="12" spans="1:4" x14ac:dyDescent="0.3">
      <c r="A12" s="33" t="s">
        <v>6</v>
      </c>
      <c r="B12" s="37" t="str">
        <f>IF($B$5="","Enter Record_ID",IFERROR(VLOOKUP($B$5,cleaned!$A$2:$Q$2001,7,FALSE),"Record ID not found"))</f>
        <v>CRM</v>
      </c>
    </row>
    <row r="13" spans="1:4" x14ac:dyDescent="0.3">
      <c r="A13" s="33" t="s">
        <v>2782</v>
      </c>
      <c r="B13" s="37" t="str">
        <f>IF($B$5="","Enter Record_ID",IFERROR(VLOOKUP($B$5,cleaned!$A$2:$Q$2001,9,FALSE),"Record ID not found"))</f>
        <v>Won</v>
      </c>
    </row>
    <row r="14" spans="1:4" x14ac:dyDescent="0.3">
      <c r="A14" s="33" t="s">
        <v>9</v>
      </c>
      <c r="B14" s="39">
        <f>IF($B$5="","Enter Record_ID",IFERROR(VLOOKUP($B$5,cleaned!$A$2:$Q$2001,10,FALSE),"Record ID not found"))</f>
        <v>1</v>
      </c>
    </row>
    <row r="15" spans="1:4" x14ac:dyDescent="0.3">
      <c r="A15" s="33" t="s">
        <v>2783</v>
      </c>
      <c r="B15" s="41">
        <f>IF($B$5="","Enter Record_ID",IFERROR(VLOOKUP($B$5,cleaned!$A$2:$Q$2001,11,FALSE),"Record ID not found"))</f>
        <v>67500</v>
      </c>
    </row>
    <row r="16" spans="1:4" x14ac:dyDescent="0.3">
      <c r="A16" s="33" t="s">
        <v>2784</v>
      </c>
      <c r="B16" s="42">
        <f>IF($B$5="","Enter Record_ID",IFERROR(VLOOKUP($B$5,cleaned!$A$2:$Q$2001,12,FALSE),"Record ID not found"))</f>
        <v>67500</v>
      </c>
    </row>
    <row r="17" spans="1:2" x14ac:dyDescent="0.3">
      <c r="A17" s="33" t="s">
        <v>12</v>
      </c>
      <c r="B17" s="40">
        <f>IF($B$5="","Enter Record_ID",IFERROR(VLOOKUP($B$5,cleaned!$A$2:$Q$2001,13,FALSE),"Record ID not found"))</f>
        <v>0</v>
      </c>
    </row>
    <row r="18" spans="1:2" x14ac:dyDescent="0.3">
      <c r="A18" s="34" t="s">
        <v>2785</v>
      </c>
      <c r="B18" s="39">
        <f>IF($B$5="","Enter Record_ID",IFERROR(VLOOKUP($B$5,cleaned!$A$2:$Q$2001,14,FALSE),"Record ID not found"))</f>
        <v>2</v>
      </c>
    </row>
    <row r="19" spans="1:2" x14ac:dyDescent="0.3">
      <c r="A19" s="34" t="s">
        <v>2786</v>
      </c>
      <c r="B19" s="39">
        <f>IF($B$5="","Enter Record_ID",IFERROR(VLOOKUP($B$5,cleaned!$A$2:$Q$2001,15,FALSE),"Record ID not found"))</f>
        <v>0</v>
      </c>
    </row>
    <row r="20" spans="1:2" x14ac:dyDescent="0.3">
      <c r="A20" s="33" t="s">
        <v>2787</v>
      </c>
      <c r="B20" s="37">
        <f>IF($B$5="","Enter Record_ID",IFERROR(VLOOKUP($B$5,cleaned!$A$2:$Q$2001,16,FALSE),"Record ID not found"))</f>
        <v>0</v>
      </c>
    </row>
    <row r="21" spans="1:2" x14ac:dyDescent="0.3">
      <c r="A21" s="35" t="s">
        <v>16</v>
      </c>
      <c r="B21" s="38" t="str">
        <f>IF($B$5="","Enter Record_ID",IFERROR(VLOOKUP($B$5,cleaned!$A$2:$Q$2001,17,FALSE),"Record ID not found"))</f>
        <v>Won</v>
      </c>
    </row>
    <row r="25" spans="1:2" x14ac:dyDescent="0.3">
      <c r="A25" s="30"/>
    </row>
  </sheetData>
  <mergeCells count="4">
    <mergeCell ref="A1:B1"/>
    <mergeCell ref="A2:B2"/>
    <mergeCell ref="A3:B3"/>
    <mergeCell ref="A7:B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12BCA-BB06-4F00-BC45-7FF288DA2B1E}">
  <dimension ref="A1:B8"/>
  <sheetViews>
    <sheetView zoomScale="151" workbookViewId="0">
      <selection activeCell="C6" sqref="C6"/>
    </sheetView>
  </sheetViews>
  <sheetFormatPr defaultRowHeight="14.4" x14ac:dyDescent="0.3"/>
  <cols>
    <col min="1" max="1" width="30.109375" bestFit="1" customWidth="1"/>
  </cols>
  <sheetData>
    <row r="1" spans="1:2" ht="18" x14ac:dyDescent="0.3">
      <c r="A1" s="88" t="s">
        <v>2789</v>
      </c>
      <c r="B1" s="88"/>
    </row>
    <row r="2" spans="1:2" ht="10.8" customHeight="1" x14ac:dyDescent="0.3">
      <c r="A2" s="89" t="s">
        <v>2790</v>
      </c>
      <c r="B2" s="89"/>
    </row>
    <row r="3" spans="1:2" ht="10.8" customHeight="1" x14ac:dyDescent="0.3"/>
    <row r="4" spans="1:2" x14ac:dyDescent="0.3">
      <c r="A4" s="47" t="s">
        <v>2791</v>
      </c>
      <c r="B4" s="45">
        <f>summary!F6</f>
        <v>6835500</v>
      </c>
    </row>
    <row r="5" spans="1:2" x14ac:dyDescent="0.3">
      <c r="A5" s="47" t="s">
        <v>2792</v>
      </c>
      <c r="B5" s="46">
        <v>-0.85370492282934685</v>
      </c>
    </row>
    <row r="6" spans="1:2" x14ac:dyDescent="0.3">
      <c r="A6" s="47" t="s">
        <v>2793</v>
      </c>
      <c r="B6" s="45">
        <f>B4*(1+B5)</f>
        <v>999999.99999999965</v>
      </c>
    </row>
    <row r="7" spans="1:2" x14ac:dyDescent="0.3">
      <c r="A7" s="47" t="s">
        <v>2794</v>
      </c>
      <c r="B7" s="45">
        <v>1000000</v>
      </c>
    </row>
    <row r="8" spans="1:2" x14ac:dyDescent="0.3">
      <c r="A8" s="47" t="s">
        <v>2795</v>
      </c>
      <c r="B8" s="45">
        <f>B7-B6</f>
        <v>0</v>
      </c>
    </row>
  </sheetData>
  <mergeCells count="2">
    <mergeCell ref="A1:B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cleaned</vt:lpstr>
      <vt:lpstr>summary</vt:lpstr>
      <vt:lpstr>DASHBOARD</vt:lpstr>
      <vt:lpstr>pivot table</vt:lpstr>
      <vt:lpstr>pivot_dashboard</vt:lpstr>
      <vt:lpstr>VLOOKUP_Analysis</vt:lpstr>
      <vt:lpstr>What_If_Analysis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sonal gupta</cp:lastModifiedBy>
  <dcterms:created xsi:type="dcterms:W3CDTF">2026-09-21T10:24:09Z</dcterms:created>
  <dcterms:modified xsi:type="dcterms:W3CDTF">2026-10-25T06:42:48Z</dcterms:modified>
</cp:coreProperties>
</file>